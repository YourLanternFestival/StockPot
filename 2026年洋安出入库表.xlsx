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1月台账表" sheetId="2" r:id="rId1"/>
    <sheet name="产品数据" sheetId="1" r:id="rId2"/>
    <sheet name="入库流水账" sheetId="4" r:id="rId3"/>
    <sheet name="出库流水账" sheetId="3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<sst xmlns="http://schemas.openxmlformats.org/spreadsheetml/2006/main" count="2998" uniqueCount="130">
  <si>
    <t>米油调味品出入库台账</t>
  </si>
  <si>
    <t>序号</t>
  </si>
  <si>
    <t>品名</t>
  </si>
  <si>
    <t>单位</t>
  </si>
  <si>
    <t>上月
结存</t>
  </si>
  <si>
    <t>入库</t>
  </si>
  <si>
    <t>出库</t>
  </si>
  <si>
    <t>当前
库存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</si>
  <si>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</si>
  <si>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</si>
  <si>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</si>
  <si>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</si>
  <si>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</si>
  <si>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</si>
  <si>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</si>
  <si>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</si>
  <si>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</si>
  <si>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</si>
  <si>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</si>
  <si>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</si>
  <si>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</si>
  <si>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</si>
  <si>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</si>
  <si>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</si>
  <si>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</si>
  <si>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</si>
  <si>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</si>
  <si>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</si>
  <si>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</si>
  <si>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</si>
  <si>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</si>
  <si>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</si>
  <si>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</si>
  <si>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</si>
  <si>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</si>
  <si>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</si>
  <si>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</si>
  <si>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</si>
  <si>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</si>
  <si>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秋然香米10千克/袋</t>
  </si>
  <si>
    <t>兆丰雪花粉</t>
  </si>
  <si>
    <t>鲁花压榨特香玉米胚芽油5升/桶*4/箱</t>
  </si>
  <si>
    <t>厨邦美味鲜酱油</t>
  </si>
  <si>
    <t>海天老抽酱油</t>
  </si>
  <si>
    <t>海天鲜味生抽</t>
  </si>
  <si>
    <t>李锦记蒸鱼豉油</t>
  </si>
  <si>
    <t>李锦记番茄沙司</t>
  </si>
  <si>
    <t>恒顺陈醋</t>
  </si>
  <si>
    <t>恒顺白醋</t>
  </si>
  <si>
    <t>海之佳紫菜</t>
  </si>
  <si>
    <t>滇玉小米辣</t>
  </si>
  <si>
    <t>雪涛加碘精制盐</t>
  </si>
  <si>
    <t>李锦记锦珍鲜味蚝油</t>
  </si>
  <si>
    <t>大桶料酒</t>
  </si>
  <si>
    <t>家乐浓缩鸡汁</t>
  </si>
  <si>
    <t>湖羊黄豆酱油</t>
  </si>
  <si>
    <t>博鸿小菜榨菜丝</t>
  </si>
  <si>
    <t>太太乐味精</t>
  </si>
  <si>
    <t>国良白胡椒粉</t>
  </si>
  <si>
    <t>王守义麻辣鲜</t>
  </si>
  <si>
    <t>三五火锅底料</t>
  </si>
  <si>
    <t>国产风车生粉</t>
  </si>
  <si>
    <t>国良椒盐</t>
  </si>
  <si>
    <t>中盐低钠湖盐</t>
  </si>
  <si>
    <t>材料名称</t>
  </si>
  <si>
    <t>规格</t>
  </si>
  <si>
    <t>月份</t>
  </si>
  <si>
    <t>保质期（日）</t>
  </si>
  <si>
    <t>10千克/袋</t>
  </si>
  <si>
    <t>袋</t>
  </si>
  <si>
    <t>10kg/包</t>
  </si>
  <si>
    <t>包</t>
  </si>
  <si>
    <t>5l/*4桶/箱</t>
  </si>
  <si>
    <t>桶</t>
  </si>
  <si>
    <t>1.68L*6壶</t>
  </si>
  <si>
    <t>壶</t>
  </si>
  <si>
    <t>1.9升/瓶*6瓶/箱</t>
  </si>
  <si>
    <t>瓶</t>
  </si>
  <si>
    <t>1.9kg/瓶</t>
  </si>
  <si>
    <t>340g/瓶</t>
  </si>
  <si>
    <t>500克/瓶*24瓶/箱</t>
  </si>
  <si>
    <t>180g/包</t>
  </si>
  <si>
    <t>2kg/包*6包/箱</t>
  </si>
  <si>
    <t>500克/包*40包/袋</t>
  </si>
  <si>
    <t>705ml/瓶</t>
  </si>
  <si>
    <t>2.5L*6桶/箱</t>
  </si>
  <si>
    <t>1kg*6瓶/箱</t>
  </si>
  <si>
    <t>1升*12瓶/箱</t>
  </si>
  <si>
    <t>178g*50包/箱</t>
  </si>
  <si>
    <t>400g*25包/箱</t>
  </si>
  <si>
    <t>200克/包</t>
  </si>
  <si>
    <t>102克/包</t>
  </si>
  <si>
    <t>150克/包</t>
  </si>
  <si>
    <t>2.5kg/包</t>
  </si>
  <si>
    <t>600克/瓶</t>
  </si>
  <si>
    <t>280g/包</t>
  </si>
  <si>
    <t>润如玉五常大米</t>
  </si>
  <si>
    <t>佳惠陈年花雕五年陈黄酒</t>
  </si>
  <si>
    <t>海底捞牛油火锅底料</t>
  </si>
  <si>
    <t>360g/包</t>
  </si>
  <si>
    <t>金沙河筋冠麦芯雪花小麦粉</t>
  </si>
  <si>
    <t>5kg/包</t>
  </si>
  <si>
    <t>李锦记芝麻油</t>
  </si>
  <si>
    <t>410毫升*12瓶/箱</t>
  </si>
  <si>
    <t>古越龙山金三年绍兴花雕酒</t>
  </si>
  <si>
    <t>500ml*6瓶/箱</t>
  </si>
  <si>
    <t>海天老抽王</t>
  </si>
  <si>
    <t>小厨邦美味鲜酱油</t>
  </si>
  <si>
    <t>1.43L/壶*6壶/箱</t>
  </si>
  <si>
    <t>海天上等蚝油</t>
  </si>
  <si>
    <t>1L/瓶*12瓶/箱</t>
  </si>
  <si>
    <t>海天草菇老抽酱油</t>
  </si>
  <si>
    <t>塞翁福马铃薯淀粉</t>
  </si>
  <si>
    <t>250g/包</t>
  </si>
  <si>
    <t>广合微辣腐乳</t>
  </si>
  <si>
    <t>300g/瓶*36瓶/箱</t>
  </si>
  <si>
    <t>入库时间</t>
  </si>
  <si>
    <t>数量</t>
  </si>
  <si>
    <t>备注</t>
  </si>
  <si>
    <t>生产日期</t>
  </si>
  <si>
    <t>到期日（推算）</t>
  </si>
  <si>
    <t xml:space="preserve"> </t>
  </si>
  <si>
    <t>出库时间</t>
  </si>
  <si>
    <t>名称</t>
  </si>
  <si>
    <t>领取人</t>
  </si>
  <si>
    <t>厨房</t>
  </si>
  <si>
    <t>小食堂</t>
  </si>
  <si>
    <t>烧饭</t>
  </si>
  <si>
    <t>面点房</t>
  </si>
  <si>
    <t>明档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</si>
</sst>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aaa;@"/>
    <numFmt numFmtId="178" formatCode="[=0]&quot;&quot;;General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36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</font>
    <font>
      <b/>
      <sz val="14"/>
      <name val="宋体"/>
      <charset val="134"/>
      <scheme val="minor"/>
    </font>
    <font>
      <sz val="14"/>
      <color theme="1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7" applyNumberFormat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4" fillId="0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centerContinuous" vertical="center"/>
    </xf>
    <xf numFmtId="0" fontId="11" fillId="0" borderId="0" xfId="0" applyFont="1" applyFill="1" applyAlignment="1">
      <alignment horizontal="centerContinuous" vertical="center"/>
    </xf>
    <xf numFmtId="0" fontId="12" fillId="0" borderId="0" xfId="0" applyFont="1" applyFill="1" applyAlignment="1">
      <alignment horizontal="centerContinuous" vertical="center"/>
    </xf>
    <xf numFmtId="0" fontId="13" fillId="0" borderId="0" xfId="0" applyFont="1" applyFill="1" applyAlignment="1">
      <alignment horizontal="centerContinuous"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</font>
    </dxf>
    <dxf>
      <numFmt numFmtId="176" formatCode="yyyy/m/d;@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&#27915;&#23433;&#39135;&#22530;&#20986;&#20837;&#2421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7915;&#23433;&#39135;&#22530;&#20986;&#20837;&#24211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米油调味规格数据"/>
      <sheetName val="洋安调味品盘库基础"/>
      <sheetName val="米油调味出入库流水账"/>
      <sheetName val="米油调味品台账表10月"/>
      <sheetName val="米油调味品台账表 11月"/>
      <sheetName val="米油调味品台账表 12月 "/>
      <sheetName val="米油调味品台账表 1月"/>
      <sheetName val="米油调味品台账表 2月"/>
      <sheetName val="新安食堂10月盘库参考基础"/>
      <sheetName val="各所领料总表 "/>
      <sheetName val="米油调味品台账表 3月 "/>
      <sheetName val="米油调味品台账表 4月"/>
      <sheetName val="米油调味品台账表 5月 "/>
      <sheetName val="米油调味品台账表 6月  "/>
      <sheetName val="米油调味品台账表 7月   "/>
      <sheetName val="米油调味品台账表 8月    "/>
      <sheetName val="米油调味品台账表 9月    "/>
      <sheetName val="米油调味品台账表 10月    "/>
      <sheetName val="米油调味品台账表 11月     "/>
      <sheetName val="米油调味品台账表 12月      "/>
      <sheetName val="申请单样例 "/>
      <sheetName val="Sheet1"/>
    </sheetNames>
    <sheetDataSet>
      <sheetData sheetId="0">
        <row r="1">
          <cell r="B1" t="str">
            <v>材料名称</v>
          </cell>
          <cell r="C1" t="str">
            <v>品牌</v>
          </cell>
          <cell r="D1" t="str">
            <v>规格</v>
          </cell>
          <cell r="E1" t="str">
            <v>单位</v>
          </cell>
        </row>
        <row r="2">
          <cell r="B2" t="str">
            <v>橄榄油</v>
          </cell>
        </row>
        <row r="2">
          <cell r="D2" t="str">
            <v>5l/桶</v>
          </cell>
          <cell r="E2" t="str">
            <v>桶</v>
          </cell>
        </row>
        <row r="3">
          <cell r="B3" t="str">
            <v>崇明软香米</v>
          </cell>
        </row>
        <row r="3">
          <cell r="D3" t="str">
            <v>10kg/包</v>
          </cell>
          <cell r="E3" t="str">
            <v>包</v>
          </cell>
        </row>
        <row r="4">
          <cell r="B4" t="str">
            <v>蟹稻上品大米</v>
          </cell>
        </row>
        <row r="4">
          <cell r="D4" t="str">
            <v>10kg/包</v>
          </cell>
          <cell r="E4" t="str">
            <v>包</v>
          </cell>
        </row>
        <row r="5">
          <cell r="B5" t="str">
            <v>红牛优质雪花面粉</v>
          </cell>
        </row>
        <row r="5">
          <cell r="D5" t="str">
            <v>25kg/包</v>
          </cell>
          <cell r="E5" t="str">
            <v>包</v>
          </cell>
        </row>
        <row r="6">
          <cell r="B6" t="str">
            <v>鸡笼山芝麻油</v>
          </cell>
        </row>
        <row r="6">
          <cell r="D6" t="str">
            <v>420ml*12瓶</v>
          </cell>
          <cell r="E6" t="str">
            <v>瓶</v>
          </cell>
        </row>
        <row r="7">
          <cell r="B7" t="str">
            <v>厨邦美味鲜酱油</v>
          </cell>
        </row>
        <row r="7">
          <cell r="D7" t="str">
            <v>1.68L*6壶</v>
          </cell>
          <cell r="E7" t="str">
            <v>壶</v>
          </cell>
        </row>
        <row r="8">
          <cell r="B8" t="str">
            <v>海天老抽酱油</v>
          </cell>
        </row>
        <row r="8">
          <cell r="D8" t="str">
            <v>1.9升/瓶*6瓶/箱</v>
          </cell>
          <cell r="E8" t="str">
            <v>瓶</v>
          </cell>
        </row>
        <row r="9">
          <cell r="B9" t="str">
            <v>海天鲜味生抽</v>
          </cell>
        </row>
        <row r="9">
          <cell r="D9" t="str">
            <v>1.9升/瓶*6瓶/箱</v>
          </cell>
          <cell r="E9" t="str">
            <v>瓶</v>
          </cell>
        </row>
        <row r="10">
          <cell r="B10" t="str">
            <v>海天上等蚝油</v>
          </cell>
        </row>
        <row r="10">
          <cell r="D10" t="str">
            <v>700克/瓶*12瓶/箱</v>
          </cell>
          <cell r="E10" t="str">
            <v>瓶</v>
          </cell>
        </row>
        <row r="11">
          <cell r="B11" t="str">
            <v>李锦记蒸鱼豉油</v>
          </cell>
        </row>
        <row r="11">
          <cell r="D11" t="str">
            <v>2.3kg/瓶</v>
          </cell>
          <cell r="E11" t="str">
            <v>瓶</v>
          </cell>
        </row>
        <row r="12">
          <cell r="B12" t="str">
            <v>李锦记番茄沙司</v>
          </cell>
        </row>
        <row r="12">
          <cell r="D12" t="str">
            <v>340g/瓶</v>
          </cell>
          <cell r="E12" t="str">
            <v>瓶</v>
          </cell>
        </row>
        <row r="13">
          <cell r="B13" t="str">
            <v>太太乐三鲜鸡精</v>
          </cell>
        </row>
        <row r="13">
          <cell r="D13" t="str">
            <v>454g/包</v>
          </cell>
          <cell r="E13" t="str">
            <v>包</v>
          </cell>
        </row>
        <row r="14">
          <cell r="B14" t="str">
            <v>太太乐味精</v>
          </cell>
        </row>
        <row r="14">
          <cell r="D14" t="str">
            <v>1kg*10包</v>
          </cell>
          <cell r="E14" t="str">
            <v>包</v>
          </cell>
        </row>
        <row r="15">
          <cell r="B15" t="str">
            <v>港顺浓缩鸡汁</v>
          </cell>
        </row>
        <row r="15">
          <cell r="D15" t="str">
            <v>550g/瓶</v>
          </cell>
          <cell r="E15" t="str">
            <v>瓶</v>
          </cell>
        </row>
        <row r="16">
          <cell r="B16" t="str">
            <v>李锦记锦珍豆瓣酱</v>
          </cell>
        </row>
        <row r="16">
          <cell r="D16" t="str">
            <v>7kg/瓶</v>
          </cell>
          <cell r="E16" t="str">
            <v>瓶</v>
          </cell>
        </row>
        <row r="17">
          <cell r="B17" t="str">
            <v>李锦记蒜蓉酱</v>
          </cell>
        </row>
        <row r="17">
          <cell r="D17" t="str">
            <v>226g/瓶</v>
          </cell>
          <cell r="E17" t="str">
            <v>瓶</v>
          </cell>
        </row>
        <row r="18">
          <cell r="B18" t="str">
            <v>李锦记海鲜酱</v>
          </cell>
        </row>
        <row r="18">
          <cell r="D18" t="str">
            <v>240g*12瓶</v>
          </cell>
          <cell r="E18" t="str">
            <v>瓶</v>
          </cell>
        </row>
        <row r="19">
          <cell r="B19" t="str">
            <v>李锦记排骨酱</v>
          </cell>
        </row>
        <row r="19">
          <cell r="D19" t="str">
            <v>240g*12瓶</v>
          </cell>
          <cell r="E19" t="str">
            <v>瓶</v>
          </cell>
        </row>
        <row r="20">
          <cell r="B20" t="str">
            <v>丹水郫县红油豆瓣酱</v>
          </cell>
        </row>
        <row r="20">
          <cell r="D20" t="str">
            <v>1.1kg/瓶</v>
          </cell>
          <cell r="E20" t="str">
            <v>桶</v>
          </cell>
        </row>
        <row r="21">
          <cell r="B21" t="str">
            <v>青山湖陈年花雕黄酒</v>
          </cell>
        </row>
        <row r="21">
          <cell r="D21" t="str">
            <v>2.5L*6桶/箱</v>
          </cell>
          <cell r="E21" t="str">
            <v>桶</v>
          </cell>
        </row>
        <row r="22">
          <cell r="B22" t="str">
            <v>恒顺陈醋</v>
          </cell>
        </row>
        <row r="22">
          <cell r="D22" t="str">
            <v>500克/瓶*24瓶/箱</v>
          </cell>
          <cell r="E22" t="str">
            <v>瓶</v>
          </cell>
        </row>
        <row r="23">
          <cell r="B23" t="str">
            <v>恒顺白醋</v>
          </cell>
        </row>
        <row r="23">
          <cell r="D23" t="str">
            <v>500克/瓶*24瓶/箱</v>
          </cell>
          <cell r="E23" t="str">
            <v>瓶</v>
          </cell>
        </row>
        <row r="24">
          <cell r="B24" t="str">
            <v>海之佳紫菜</v>
          </cell>
        </row>
        <row r="24">
          <cell r="D24" t="str">
            <v>180g/包</v>
          </cell>
          <cell r="E24" t="str">
            <v>包</v>
          </cell>
        </row>
        <row r="25">
          <cell r="B25" t="str">
            <v>小白兔榨菜丝</v>
          </cell>
        </row>
        <row r="25">
          <cell r="D25" t="str">
            <v>100g*50包/箱</v>
          </cell>
          <cell r="E25" t="str">
            <v>包</v>
          </cell>
        </row>
        <row r="26">
          <cell r="B26" t="str">
            <v>紫云堂雪菜王</v>
          </cell>
        </row>
        <row r="26">
          <cell r="D26" t="str">
            <v>150g*50包/箱</v>
          </cell>
          <cell r="E26" t="str">
            <v>包</v>
          </cell>
        </row>
        <row r="27">
          <cell r="B27" t="str">
            <v>广合腐乳</v>
          </cell>
        </row>
        <row r="27">
          <cell r="D27" t="str">
            <v>300g/瓶</v>
          </cell>
          <cell r="E27" t="str">
            <v>瓶</v>
          </cell>
        </row>
        <row r="28">
          <cell r="B28" t="str">
            <v>宝阳峰小米辣</v>
          </cell>
        </row>
        <row r="28">
          <cell r="D28" t="str">
            <v>2kg/包*6包/箱</v>
          </cell>
          <cell r="E28" t="str">
            <v>包</v>
          </cell>
        </row>
        <row r="29">
          <cell r="B29" t="str">
            <v>雪涛加碘精制盐</v>
          </cell>
        </row>
        <row r="29">
          <cell r="D29" t="str">
            <v>500克/包*40包/袋</v>
          </cell>
          <cell r="E29" t="str">
            <v>包</v>
          </cell>
        </row>
        <row r="30">
          <cell r="B30" t="str">
            <v>兰溪小萝卜</v>
          </cell>
        </row>
        <row r="30">
          <cell r="D30" t="str">
            <v>2.5kg/瓶</v>
          </cell>
          <cell r="E30" t="str">
            <v>瓶</v>
          </cell>
        </row>
        <row r="31">
          <cell r="B31" t="str">
            <v>李锦记锦珍鲜味蚝油</v>
          </cell>
        </row>
        <row r="31">
          <cell r="D31" t="str">
            <v>705ml/瓶</v>
          </cell>
          <cell r="E31" t="str">
            <v>瓶</v>
          </cell>
        </row>
        <row r="32">
          <cell r="B32" t="str">
            <v>恒丰和陈年料酒</v>
          </cell>
        </row>
        <row r="32">
          <cell r="D32" t="str">
            <v>2.5L*6桶/箱</v>
          </cell>
          <cell r="E32" t="str">
            <v>桶</v>
          </cell>
        </row>
        <row r="33">
          <cell r="B33" t="str">
            <v>宜兴香米</v>
          </cell>
        </row>
        <row r="33">
          <cell r="D33" t="str">
            <v>10kg/包</v>
          </cell>
          <cell r="E33" t="str">
            <v>包</v>
          </cell>
        </row>
        <row r="34">
          <cell r="B34" t="str">
            <v>金龙鱼玉米油</v>
          </cell>
        </row>
        <row r="34">
          <cell r="D34" t="str">
            <v>5l/*4桶/箱</v>
          </cell>
          <cell r="E34" t="str">
            <v>桶</v>
          </cell>
        </row>
        <row r="35">
          <cell r="B35" t="str">
            <v>小瓶李锦记蒸鱼豉油</v>
          </cell>
        </row>
        <row r="35">
          <cell r="D35" t="str">
            <v>410MI/瓶</v>
          </cell>
          <cell r="E35" t="str">
            <v>瓶</v>
          </cell>
        </row>
        <row r="36">
          <cell r="B36" t="str">
            <v>海天生抽</v>
          </cell>
        </row>
        <row r="36">
          <cell r="D36" t="str">
            <v>1.9升/瓶*6瓶/箱</v>
          </cell>
          <cell r="E36" t="str">
            <v>瓶</v>
          </cell>
        </row>
        <row r="37">
          <cell r="B37" t="str">
            <v>金元宝优选苏北大米</v>
          </cell>
        </row>
        <row r="37">
          <cell r="D37" t="str">
            <v>10kg/包</v>
          </cell>
          <cell r="E37" t="str">
            <v>包</v>
          </cell>
        </row>
        <row r="38">
          <cell r="B38" t="str">
            <v>农场大米</v>
          </cell>
        </row>
        <row r="38">
          <cell r="D38" t="str">
            <v>10kg/包</v>
          </cell>
          <cell r="E38" t="str">
            <v>包</v>
          </cell>
        </row>
        <row r="39">
          <cell r="B39" t="str">
            <v>五得利六星面粉</v>
          </cell>
        </row>
        <row r="39">
          <cell r="D39" t="str">
            <v>25kg/包</v>
          </cell>
          <cell r="E39" t="str">
            <v>包</v>
          </cell>
        </row>
        <row r="40">
          <cell r="B40" t="str">
            <v>太太乐鸡汁</v>
          </cell>
        </row>
        <row r="40">
          <cell r="D40" t="str">
            <v>408克*12瓶/箱</v>
          </cell>
          <cell r="E40" t="str">
            <v>瓶</v>
          </cell>
        </row>
        <row r="41">
          <cell r="B41" t="str">
            <v>鲁花压榨特香玉米胚芽油5升/桶*4/箱</v>
          </cell>
        </row>
        <row r="41">
          <cell r="D41" t="str">
            <v>5l/*4桶/箱</v>
          </cell>
          <cell r="E41" t="str">
            <v>桶</v>
          </cell>
        </row>
        <row r="42">
          <cell r="B42" t="str">
            <v>秋然香米10千克/袋</v>
          </cell>
        </row>
        <row r="42">
          <cell r="D42" t="str">
            <v>10千克/袋</v>
          </cell>
          <cell r="E42" t="str">
            <v>袋</v>
          </cell>
        </row>
        <row r="43">
          <cell r="B43" t="str">
            <v>1kg家乐浓缩鸡汁</v>
          </cell>
        </row>
        <row r="43">
          <cell r="D43" t="str">
            <v>1kg*6瓶/箱</v>
          </cell>
          <cell r="E43" t="str">
            <v>瓶</v>
          </cell>
        </row>
        <row r="44">
          <cell r="B44" t="str">
            <v>湖羊黄豆酱油</v>
          </cell>
        </row>
        <row r="44">
          <cell r="D44" t="str">
            <v>1升*12瓶/箱</v>
          </cell>
          <cell r="E44" t="str">
            <v>瓶</v>
          </cell>
        </row>
        <row r="45">
          <cell r="B45" t="str">
            <v>博鸿小菜榨菜丝</v>
          </cell>
        </row>
        <row r="45">
          <cell r="D45" t="str">
            <v>178g*50包/箱</v>
          </cell>
          <cell r="E45" t="str">
            <v>包</v>
          </cell>
        </row>
        <row r="46">
          <cell r="B46" t="str">
            <v>小包太太乐味精</v>
          </cell>
        </row>
        <row r="46">
          <cell r="D46" t="str">
            <v>400g*25包/箱</v>
          </cell>
          <cell r="E46" t="str">
            <v>包</v>
          </cell>
        </row>
        <row r="47">
          <cell r="B47" t="str">
            <v>国良白胡椒粉</v>
          </cell>
        </row>
        <row r="47">
          <cell r="D47" t="str">
            <v>200克/包</v>
          </cell>
          <cell r="E47" t="str">
            <v>包</v>
          </cell>
        </row>
        <row r="48">
          <cell r="B48" t="str">
            <v>王守义麻辣鲜</v>
          </cell>
        </row>
        <row r="48">
          <cell r="D48" t="str">
            <v>102克/包</v>
          </cell>
          <cell r="E48" t="str">
            <v>包</v>
          </cell>
        </row>
        <row r="49">
          <cell r="B49" t="str">
            <v>三五火锅料</v>
          </cell>
        </row>
        <row r="49">
          <cell r="D49" t="str">
            <v>150克/包</v>
          </cell>
          <cell r="E49" t="str">
            <v>包</v>
          </cell>
        </row>
        <row r="50">
          <cell r="B50" t="str">
            <v>国产风车生粉</v>
          </cell>
        </row>
        <row r="50">
          <cell r="D50" t="str">
            <v>2.5kg/包</v>
          </cell>
          <cell r="E50" t="str">
            <v>包</v>
          </cell>
        </row>
        <row r="51">
          <cell r="B51" t="str">
            <v>国良椒盐</v>
          </cell>
        </row>
        <row r="51">
          <cell r="D51" t="str">
            <v>600克/瓶</v>
          </cell>
          <cell r="E51" t="str">
            <v>瓶</v>
          </cell>
        </row>
        <row r="52">
          <cell r="B52" t="str">
            <v>兆丰雪花粉</v>
          </cell>
        </row>
        <row r="52">
          <cell r="D52" t="str">
            <v>10kg/包</v>
          </cell>
          <cell r="E52" t="str">
            <v>包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米油调味规格数据"/>
      <sheetName val="洋安调味品盘库基础"/>
      <sheetName val="米油调味出入库流水账"/>
      <sheetName val="米油调味品台账表10月"/>
      <sheetName val="米油调味品台账表 11月"/>
      <sheetName val="米油调味品台账表 12月 "/>
      <sheetName val="米油调味品台账表 1月"/>
      <sheetName val="米油调味品台账表 2月"/>
      <sheetName val="新安食堂10月盘库参考基础"/>
      <sheetName val="各所领料总表 "/>
      <sheetName val="米油调味品台账表 3月 "/>
      <sheetName val="米油调味品台账表 4月"/>
      <sheetName val="米油调味品台账表 5月 "/>
      <sheetName val="米油调味品台账表 6月  "/>
      <sheetName val="米油调味品台账表 7月   "/>
      <sheetName val="米油调味品台账表 8月    "/>
      <sheetName val="米油调味品台账表 9月    "/>
      <sheetName val="米油调味品台账表 10月    "/>
      <sheetName val="米油调味品台账表 11月     "/>
      <sheetName val="米油调味品台账表 12月      "/>
      <sheetName val="申请单样例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</v>
          </cell>
        </row>
        <row r="11">
          <cell r="G11">
            <v>10</v>
          </cell>
        </row>
        <row r="18">
          <cell r="G18">
            <v>0</v>
          </cell>
        </row>
        <row r="29">
          <cell r="G29">
            <v>0</v>
          </cell>
        </row>
      </sheetData>
      <sheetData sheetId="20"/>
      <sheetData sheetId="21"/>
    </sheetDataSet>
  </externalBook>
</externalLink>
</file>

<file path=xl/tables/table1.xml><?xml version="1.0" encoding="utf-8"?>
<table xmlns="http://schemas.openxmlformats.org/spreadsheetml/2006/main" id="1" name="表3" displayName="表3" ref="A1:F211" totalsRowShown="0">
  <autoFilter xmlns:etc="http://www.wps.cn/officeDocument/2017/etCustomData" ref="A1:F211" etc:filterBottomFollowUsedRange="0"/>
  <tableColumns count="6">
    <tableColumn id="1" name="序号"/>
    <tableColumn id="2" name="材料名称"/>
    <tableColumn id="4" name="规格"/>
    <tableColumn id="5" name="单位"/>
    <tableColumn id="3" name="月份"/>
    <tableColumn id="7" name="保质期（日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G1839" totalsRowShown="0">
  <autoFilter xmlns:etc="http://www.wps.cn/officeDocument/2017/etCustomData" ref="A1:G1839" etc:filterBottomFollowUsedRange="0"/>
  <tableColumns count="7">
    <tableColumn id="1" name="序号" dataDxfId="0"/>
    <tableColumn id="2" name="出库时间" dataDxfId="1"/>
    <tableColumn id="3" name="名称"/>
    <tableColumn id="4" name="规格"/>
    <tableColumn id="6" name="数量" dataDxfId="2"/>
    <tableColumn id="5" name="单位"/>
    <tableColumn id="7" name="领取人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9"/>
  <sheetViews>
    <sheetView tabSelected="1" zoomScale="82" zoomScaleNormal="82" topLeftCell="A8" workbookViewId="0">
      <selection activeCell="N5" sqref="N5"/>
    </sheetView>
  </sheetViews>
  <sheetFormatPr defaultColWidth="9" defaultRowHeight="15.6"/>
  <cols>
    <col min="1" max="1" width="4.12962962962963" style="35" customWidth="1"/>
    <col min="2" max="2" width="26.537037037037" style="35" customWidth="1"/>
    <col min="3" max="3" width="4.87962962962963" style="35" customWidth="1"/>
    <col min="4" max="4" width="5.77777777777778" style="35" customWidth="1"/>
    <col min="5" max="5" width="7.0462962962963" style="35" customWidth="1"/>
    <col min="6" max="6" width="8.12037037037037" style="35" customWidth="1"/>
    <col min="7" max="7" width="7.25925925925926" style="35" customWidth="1"/>
    <col min="8" max="8" width="5.55555555555556" style="35" customWidth="1"/>
    <col min="9" max="15" width="5.77777777777778" style="35" customWidth="1"/>
    <col min="16" max="16" width="7.68518518518519" style="35" customWidth="1"/>
    <col min="17" max="27" width="5.77777777777778" style="35" customWidth="1"/>
    <col min="28" max="28" width="5.77777777777778" style="36" customWidth="1"/>
    <col min="29" max="29" width="5.77777777777778" style="35" customWidth="1"/>
    <col min="30" max="30" width="5.55555555555556" style="35" customWidth="1"/>
    <col min="31" max="31" width="5.77777777777778" style="35" customWidth="1"/>
    <col min="32" max="32" width="5.12962962962963" style="35" customWidth="1"/>
    <col min="33" max="35" width="5.77777777777778" style="35" customWidth="1"/>
    <col min="36" max="36" width="7.68518518518519" style="35" customWidth="1"/>
    <col min="37" max="47" width="5.77777777777778" style="35" customWidth="1"/>
    <col min="48" max="48" width="5.77777777777778" style="37" customWidth="1"/>
    <col min="49" max="65" width="5.77777777777778" style="35" customWidth="1"/>
    <col min="66" max="66" width="8.12037037037037" style="35" customWidth="1"/>
    <col min="67" max="69" width="5.77777777777778" style="35" customWidth="1"/>
    <col min="70" max="70" width="4.62962962962963" style="35" customWidth="1"/>
    <col min="71" max="16384" width="9" style="35"/>
  </cols>
  <sheetData>
    <row r="1" s="35" customFormat="1" ht="55" customHeight="1" spans="1:69">
      <c r="A1" s="38" t="s">
        <v>0</v>
      </c>
      <c r="B1" s="38"/>
      <c r="C1" s="38"/>
      <c r="D1" s="38"/>
      <c r="E1" s="38"/>
      <c r="F1" s="38"/>
      <c r="G1" s="38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40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41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</row>
    <row r="2" s="35" customFormat="1" ht="18" customHeight="1" spans="1:69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3" t="s">
        <v>8</v>
      </c>
      <c r="I2" s="43"/>
      <c r="J2" s="43" t="s">
        <v>9</v>
      </c>
      <c r="K2" s="43"/>
      <c r="L2" s="43" t="s">
        <v>10</v>
      </c>
      <c r="M2" s="43"/>
      <c r="N2" s="43" t="s">
        <v>11</v>
      </c>
      <c r="O2" s="43"/>
      <c r="P2" s="43" t="s">
        <v>12</v>
      </c>
      <c r="Q2" s="43"/>
      <c r="R2" s="43" t="s">
        <v>13</v>
      </c>
      <c r="S2" s="43"/>
      <c r="T2" s="43" t="s">
        <v>14</v>
      </c>
      <c r="U2" s="43"/>
      <c r="V2" s="43" t="s">
        <v>15</v>
      </c>
      <c r="W2" s="43"/>
      <c r="X2" s="43" t="s">
        <v>16</v>
      </c>
      <c r="Y2" s="43"/>
      <c r="Z2" s="43" t="s">
        <v>17</v>
      </c>
      <c r="AA2" s="43"/>
      <c r="AB2" s="43" t="s">
        <v>18</v>
      </c>
      <c r="AC2" s="43"/>
      <c r="AD2" s="43" t="s">
        <v>19</v>
      </c>
      <c r="AE2" s="43"/>
      <c r="AF2" s="43" t="s">
        <v>20</v>
      </c>
      <c r="AG2" s="43"/>
      <c r="AH2" s="43" t="s">
        <v>21</v>
      </c>
      <c r="AI2" s="43"/>
      <c r="AJ2" s="43" t="s">
        <v>22</v>
      </c>
      <c r="AK2" s="43"/>
      <c r="AL2" s="43" t="s">
        <v>23</v>
      </c>
      <c r="AM2" s="43"/>
      <c r="AN2" s="43" t="s">
        <v>24</v>
      </c>
      <c r="AO2" s="43"/>
      <c r="AP2" s="43" t="s">
        <v>25</v>
      </c>
      <c r="AQ2" s="43"/>
      <c r="AR2" s="43" t="s">
        <v>26</v>
      </c>
      <c r="AS2" s="43"/>
      <c r="AT2" s="43" t="s">
        <v>27</v>
      </c>
      <c r="AU2" s="43"/>
      <c r="AV2" s="43" t="s">
        <v>28</v>
      </c>
      <c r="AW2" s="43"/>
      <c r="AX2" s="43" t="s">
        <v>29</v>
      </c>
      <c r="AY2" s="43"/>
      <c r="AZ2" s="43" t="s">
        <v>30</v>
      </c>
      <c r="BA2" s="43"/>
      <c r="BB2" s="43" t="s">
        <v>31</v>
      </c>
      <c r="BC2" s="43"/>
      <c r="BD2" s="43" t="s">
        <v>32</v>
      </c>
      <c r="BE2" s="43"/>
      <c r="BF2" s="43" t="s">
        <v>33</v>
      </c>
      <c r="BG2" s="43"/>
      <c r="BH2" s="44" t="s">
        <v>34</v>
      </c>
      <c r="BI2" s="44"/>
      <c r="BJ2" s="44" t="s">
        <v>35</v>
      </c>
      <c r="BK2" s="44"/>
      <c r="BL2" s="44" t="s">
        <v>36</v>
      </c>
      <c r="BM2" s="44"/>
      <c r="BN2" s="44" t="s">
        <v>37</v>
      </c>
      <c r="BO2" s="44"/>
      <c r="BP2" s="44" t="s">
        <v>38</v>
      </c>
      <c r="BQ2" s="44"/>
    </row>
    <row r="3" s="35" customFormat="1" ht="43" customHeight="1" spans="1:69">
      <c r="A3" s="42"/>
      <c r="B3" s="42"/>
      <c r="C3" s="42"/>
      <c r="D3" s="42"/>
      <c r="E3" s="42"/>
      <c r="F3" s="42"/>
      <c r="G3" s="42"/>
      <c r="H3" s="45">
        <v>46023</v>
      </c>
      <c r="I3" s="45"/>
      <c r="J3" s="45">
        <v>46024</v>
      </c>
      <c r="K3" s="45"/>
      <c r="L3" s="45">
        <v>46025</v>
      </c>
      <c r="M3" s="45"/>
      <c r="N3" s="45">
        <v>46026</v>
      </c>
      <c r="O3" s="45"/>
      <c r="P3" s="45">
        <v>46027</v>
      </c>
      <c r="Q3" s="45"/>
      <c r="R3" s="45">
        <v>46028</v>
      </c>
      <c r="S3" s="45"/>
      <c r="T3" s="45">
        <v>46029</v>
      </c>
      <c r="U3" s="45"/>
      <c r="V3" s="45">
        <v>46030</v>
      </c>
      <c r="W3" s="45"/>
      <c r="X3" s="45">
        <v>46031</v>
      </c>
      <c r="Y3" s="45"/>
      <c r="Z3" s="45">
        <v>46032</v>
      </c>
      <c r="AA3" s="45"/>
      <c r="AB3" s="45">
        <v>46033</v>
      </c>
      <c r="AC3" s="45"/>
      <c r="AD3" s="45">
        <v>46034</v>
      </c>
      <c r="AE3" s="45"/>
      <c r="AF3" s="45">
        <v>46035</v>
      </c>
      <c r="AG3" s="45"/>
      <c r="AH3" s="45">
        <v>46036</v>
      </c>
      <c r="AI3" s="45"/>
      <c r="AJ3" s="45">
        <v>46037</v>
      </c>
      <c r="AK3" s="45"/>
      <c r="AL3" s="45">
        <v>46038</v>
      </c>
      <c r="AM3" s="45"/>
      <c r="AN3" s="45">
        <v>46039</v>
      </c>
      <c r="AO3" s="45"/>
      <c r="AP3" s="45">
        <v>46040</v>
      </c>
      <c r="AQ3" s="45"/>
      <c r="AR3" s="45">
        <v>46041</v>
      </c>
      <c r="AS3" s="45"/>
      <c r="AT3" s="45">
        <v>46042</v>
      </c>
      <c r="AU3" s="45"/>
      <c r="AV3" s="45">
        <v>46043</v>
      </c>
      <c r="AW3" s="45"/>
      <c r="AX3" s="45">
        <v>46044</v>
      </c>
      <c r="AY3" s="45"/>
      <c r="AZ3" s="45">
        <v>46045</v>
      </c>
      <c r="BA3" s="45"/>
      <c r="BB3" s="45">
        <v>46046</v>
      </c>
      <c r="BC3" s="45"/>
      <c r="BD3" s="45">
        <v>46047</v>
      </c>
      <c r="BE3" s="45"/>
      <c r="BF3" s="45">
        <v>46048</v>
      </c>
      <c r="BG3" s="45"/>
      <c r="BH3" s="45">
        <v>46049</v>
      </c>
      <c r="BI3" s="45"/>
      <c r="BJ3" s="45">
        <v>46050</v>
      </c>
      <c r="BK3" s="45"/>
      <c r="BL3" s="45">
        <v>46051</v>
      </c>
      <c r="BM3" s="45"/>
      <c r="BN3" s="45">
        <v>46052</v>
      </c>
      <c r="BO3" s="45"/>
      <c r="BP3" s="45">
        <v>46053</v>
      </c>
      <c r="BQ3" s="45"/>
    </row>
    <row r="4" s="35" customFormat="1" ht="43" customHeight="1" spans="1:69">
      <c r="A4" s="42"/>
      <c r="B4" s="42"/>
      <c r="C4" s="42"/>
      <c r="D4" s="42"/>
      <c r="E4" s="42"/>
      <c r="F4" s="42"/>
      <c r="G4" s="42"/>
      <c r="H4" s="43" t="s">
        <v>5</v>
      </c>
      <c r="I4" s="43" t="s">
        <v>6</v>
      </c>
      <c r="J4" s="43" t="s">
        <v>5</v>
      </c>
      <c r="K4" s="43" t="s">
        <v>6</v>
      </c>
      <c r="L4" s="43" t="s">
        <v>5</v>
      </c>
      <c r="M4" s="43" t="s">
        <v>6</v>
      </c>
      <c r="N4" s="43" t="s">
        <v>5</v>
      </c>
      <c r="O4" s="43" t="s">
        <v>6</v>
      </c>
      <c r="P4" s="43" t="s">
        <v>5</v>
      </c>
      <c r="Q4" s="43" t="s">
        <v>6</v>
      </c>
      <c r="R4" s="43" t="s">
        <v>5</v>
      </c>
      <c r="S4" s="43" t="s">
        <v>6</v>
      </c>
      <c r="T4" s="43" t="s">
        <v>5</v>
      </c>
      <c r="U4" s="43" t="s">
        <v>6</v>
      </c>
      <c r="V4" s="43" t="s">
        <v>5</v>
      </c>
      <c r="W4" s="43" t="s">
        <v>6</v>
      </c>
      <c r="X4" s="43" t="s">
        <v>5</v>
      </c>
      <c r="Y4" s="43" t="s">
        <v>6</v>
      </c>
      <c r="Z4" s="43" t="s">
        <v>5</v>
      </c>
      <c r="AA4" s="43" t="s">
        <v>6</v>
      </c>
      <c r="AB4" s="43" t="s">
        <v>5</v>
      </c>
      <c r="AC4" s="43" t="s">
        <v>6</v>
      </c>
      <c r="AD4" s="43" t="s">
        <v>5</v>
      </c>
      <c r="AE4" s="43" t="s">
        <v>6</v>
      </c>
      <c r="AF4" s="43" t="s">
        <v>5</v>
      </c>
      <c r="AG4" s="43" t="s">
        <v>6</v>
      </c>
      <c r="AH4" s="43" t="s">
        <v>5</v>
      </c>
      <c r="AI4" s="43" t="s">
        <v>6</v>
      </c>
      <c r="AJ4" s="43" t="s">
        <v>5</v>
      </c>
      <c r="AK4" s="43" t="s">
        <v>6</v>
      </c>
      <c r="AL4" s="43" t="s">
        <v>5</v>
      </c>
      <c r="AM4" s="43" t="s">
        <v>6</v>
      </c>
      <c r="AN4" s="43" t="s">
        <v>5</v>
      </c>
      <c r="AO4" s="43" t="s">
        <v>6</v>
      </c>
      <c r="AP4" s="43" t="s">
        <v>5</v>
      </c>
      <c r="AQ4" s="43" t="s">
        <v>6</v>
      </c>
      <c r="AR4" s="43" t="s">
        <v>5</v>
      </c>
      <c r="AS4" s="43" t="s">
        <v>6</v>
      </c>
      <c r="AT4" s="43" t="s">
        <v>5</v>
      </c>
      <c r="AU4" s="43" t="s">
        <v>6</v>
      </c>
      <c r="AV4" s="43" t="s">
        <v>5</v>
      </c>
      <c r="AW4" s="43" t="s">
        <v>6</v>
      </c>
      <c r="AX4" s="43" t="s">
        <v>5</v>
      </c>
      <c r="AY4" s="43" t="s">
        <v>6</v>
      </c>
      <c r="AZ4" s="43" t="s">
        <v>5</v>
      </c>
      <c r="BA4" s="43" t="s">
        <v>6</v>
      </c>
      <c r="BB4" s="43" t="s">
        <v>5</v>
      </c>
      <c r="BC4" s="43" t="s">
        <v>6</v>
      </c>
      <c r="BD4" s="43" t="s">
        <v>5</v>
      </c>
      <c r="BE4" s="43" t="s">
        <v>6</v>
      </c>
      <c r="BF4" s="43" t="s">
        <v>5</v>
      </c>
      <c r="BG4" s="43" t="s">
        <v>6</v>
      </c>
      <c r="BH4" s="44" t="s">
        <v>5</v>
      </c>
      <c r="BI4" s="44" t="s">
        <v>6</v>
      </c>
      <c r="BJ4" s="44" t="s">
        <v>5</v>
      </c>
      <c r="BK4" s="44" t="s">
        <v>6</v>
      </c>
      <c r="BL4" s="44" t="s">
        <v>5</v>
      </c>
      <c r="BM4" s="44" t="s">
        <v>6</v>
      </c>
      <c r="BN4" s="44" t="s">
        <v>5</v>
      </c>
      <c r="BO4" s="44" t="s">
        <v>6</v>
      </c>
      <c r="BP4" s="44" t="s">
        <v>5</v>
      </c>
      <c r="BQ4" s="44" t="s">
        <v>6</v>
      </c>
    </row>
    <row r="5" s="35" customFormat="1" ht="18" customHeight="1" spans="1:69">
      <c r="A5" s="46">
        <f>ROW()-4</f>
        <v>1</v>
      </c>
      <c r="B5" s="47" t="s">
        <v>39</v>
      </c>
      <c r="C5" s="48" t="str">
        <f>IFERROR(VLOOKUP(B5,产品数据!$B:$D,3,FALSE),"")</f>
        <v>袋</v>
      </c>
      <c r="D5" s="23">
        <v>22</v>
      </c>
      <c r="E5" s="46">
        <f>SUMIF($H$4:$BQ$4,$E$2,H5:BQ5)</f>
        <v>40</v>
      </c>
      <c r="F5" s="49">
        <f>SUMIF($H$4:$BQ$4,$F$2,H5:BQ5)</f>
        <v>51</v>
      </c>
      <c r="G5" s="50">
        <f>D5+E5-F5</f>
        <v>11</v>
      </c>
      <c r="H5" s="51">
        <f>SUMIFS(入库流水账!$E:$E,入库流水账!$C:$C,$B5,入库流水账!$B:$B,H$3)</f>
        <v>0</v>
      </c>
      <c r="I5" s="51">
        <f>SUMIFS(出库流水账!$E:$E,出库流水账!$C:$C,$B5,出库流水账!$B:$B,H$3)</f>
        <v>0</v>
      </c>
      <c r="J5" s="51">
        <f>SUMIFS(入库流水账!$E:$E,入库流水账!$C:$C,$B5,入库流水账!$B:$B,J$3)</f>
        <v>0</v>
      </c>
      <c r="K5" s="51">
        <f>SUMIFS(出库流水账!$E:$E,出库流水账!$C:$C,$B5,出库流水账!$B:$B,J$3)</f>
        <v>0</v>
      </c>
      <c r="L5" s="51">
        <f>SUMIFS(入库流水账!$E:$E,入库流水账!$C:$C,$B5,入库流水账!$B:$B,L$3)</f>
        <v>0</v>
      </c>
      <c r="M5" s="51">
        <f>SUMIFS(出库流水账!$E:$E,出库流水账!$C:$C,$B5,出库流水账!$B:$B,L$3)</f>
        <v>0</v>
      </c>
      <c r="N5" s="51">
        <f>SUMIFS(入库流水账!$E:$E,入库流水账!$C:$C,$B5,入库流水账!$B:$B,N$3)</f>
        <v>0</v>
      </c>
      <c r="O5" s="51">
        <f>SUMIFS(出库流水账!$E:$E,出库流水账!$C:$C,$B5,出库流水账!$B:$B,N$3)</f>
        <v>2</v>
      </c>
      <c r="P5" s="51">
        <f>SUMIFS(入库流水账!$E:$E,入库流水账!$C:$C,$B5,入库流水账!$B:$B,P$3)</f>
        <v>0</v>
      </c>
      <c r="Q5" s="51">
        <f>SUMIFS(出库流水账!$E:$E,出库流水账!$C:$C,$B5,出库流水账!$B:$B,P$3)</f>
        <v>2</v>
      </c>
      <c r="R5" s="51">
        <f>SUMIFS(入库流水账!$E:$E,入库流水账!$C:$C,$B5,入库流水账!$B:$B,R$3)</f>
        <v>0</v>
      </c>
      <c r="S5" s="51">
        <f>SUMIFS(出库流水账!$E:$E,出库流水账!$C:$C,$B5,出库流水账!$B:$B,R$3)</f>
        <v>2</v>
      </c>
      <c r="T5" s="51">
        <f>SUMIFS(入库流水账!$E:$E,入库流水账!$C:$C,$B5,入库流水账!$B:$B,T$3)</f>
        <v>0</v>
      </c>
      <c r="U5" s="51">
        <f>SUMIFS(出库流水账!$E:$E,出库流水账!$C:$C,$B5,出库流水账!$B:$B,T$3)</f>
        <v>2</v>
      </c>
      <c r="V5" s="51">
        <f>SUMIFS(入库流水账!$E:$E,入库流水账!$C:$C,$B5,入库流水账!$B:$B,V$3)</f>
        <v>0</v>
      </c>
      <c r="W5" s="51">
        <f>SUMIFS(出库流水账!$E:$E,出库流水账!$C:$C,$B5,出库流水账!$B:$B,V$3)</f>
        <v>2</v>
      </c>
      <c r="X5" s="51">
        <f>SUMIFS(入库流水账!$E:$E,入库流水账!$C:$C,$B5,入库流水账!$B:$B,X$3)</f>
        <v>0</v>
      </c>
      <c r="Y5" s="51">
        <f>SUMIFS(出库流水账!$E:$E,出库流水账!$C:$C,$B5,出库流水账!$B:$B,X$3)</f>
        <v>2</v>
      </c>
      <c r="Z5" s="51">
        <f>SUMIFS(入库流水账!$E:$E,入库流水账!$C:$C,$B5,入库流水账!$B:$B,Z$3)</f>
        <v>0</v>
      </c>
      <c r="AA5" s="51">
        <f>SUMIFS(出库流水账!$E:$E,出库流水账!$C:$C,$B5,出库流水账!$B:$B,Z$3)</f>
        <v>0</v>
      </c>
      <c r="AB5" s="51">
        <f>SUMIFS(入库流水账!$E:$E,入库流水账!$C:$C,$B5,入库流水账!$B:$B,AB$3)</f>
        <v>0</v>
      </c>
      <c r="AC5" s="51">
        <f>SUMIFS(出库流水账!$E:$E,出库流水账!$C:$C,$B5,出库流水账!$B:$B,AB$3)</f>
        <v>0</v>
      </c>
      <c r="AD5" s="51">
        <f>SUMIFS(入库流水账!$E:$E,入库流水账!$C:$C,$B5,入库流水账!$B:$B,AD$3)</f>
        <v>20</v>
      </c>
      <c r="AE5" s="51">
        <f>SUMIFS(出库流水账!$E:$E,出库流水账!$C:$C,$B5,出库流水账!$B:$B,AD$3)</f>
        <v>3</v>
      </c>
      <c r="AF5" s="51">
        <f>SUMIFS(入库流水账!$E:$E,入库流水账!$C:$C,$B5,入库流水账!$B:$B,AF$3)</f>
        <v>0</v>
      </c>
      <c r="AG5" s="51">
        <f>SUMIFS(出库流水账!$E:$E,出库流水账!$C:$C,$B5,出库流水账!$B:$B,AF$3)</f>
        <v>2</v>
      </c>
      <c r="AH5" s="51">
        <f>SUMIFS(入库流水账!$E:$E,入库流水账!$C:$C,$B5,入库流水账!$B:$B,AH$3)</f>
        <v>0</v>
      </c>
      <c r="AI5" s="51">
        <f>SUMIFS(出库流水账!$E:$E,出库流水账!$C:$C,$B5,出库流水账!$B:$B,AH$3)</f>
        <v>2</v>
      </c>
      <c r="AJ5" s="51">
        <f>SUMIFS(入库流水账!$E:$E,入库流水账!$C:$C,$B5,入库流水账!$B:$B,AJ$3)</f>
        <v>0</v>
      </c>
      <c r="AK5" s="51">
        <f>SUMIFS(出库流水账!$E:$E,出库流水账!$C:$C,$B5,出库流水账!$B:$B,AJ$3)</f>
        <v>2</v>
      </c>
      <c r="AL5" s="51">
        <f>SUMIFS(入库流水账!$E:$E,入库流水账!$C:$C,$B5,入库流水账!$B:$B,AL$3)</f>
        <v>0</v>
      </c>
      <c r="AM5" s="51">
        <f>SUMIFS(出库流水账!$E:$E,出库流水账!$C:$C,$B5,出库流水账!$B:$B,AL$3)</f>
        <v>3</v>
      </c>
      <c r="AN5" s="51">
        <f>SUMIFS(入库流水账!$E:$E,入库流水账!$C:$C,$B5,入库流水账!$B:$B,AN$3)</f>
        <v>0</v>
      </c>
      <c r="AO5" s="51">
        <f>SUMIFS(出库流水账!$E:$E,出库流水账!$C:$C,$B5,出库流水账!$B:$B,AN$3)</f>
        <v>0</v>
      </c>
      <c r="AP5" s="51">
        <f>SUMIFS(入库流水账!$E:$E,入库流水账!$C:$C,$B5,入库流水账!$B:$B,AP$3)</f>
        <v>0</v>
      </c>
      <c r="AQ5" s="51">
        <f>SUMIFS(出库流水账!$E:$E,出库流水账!$C:$C,$B5,出库流水账!$B:$B,AP$3)</f>
        <v>0</v>
      </c>
      <c r="AR5" s="51">
        <f>SUMIFS(入库流水账!$E:$E,入库流水账!$C:$C,$B5,入库流水账!$B:$B,AR$3)</f>
        <v>0</v>
      </c>
      <c r="AS5" s="51">
        <f>SUMIFS(出库流水账!$E:$E,出库流水账!$C:$C,$B5,出库流水账!$B:$B,AR$3)</f>
        <v>3</v>
      </c>
      <c r="AT5" s="51">
        <f>SUMIFS(入库流水账!$E:$E,入库流水账!$C:$C,$B5,入库流水账!$B:$B,AT$3)</f>
        <v>0</v>
      </c>
      <c r="AU5" s="51">
        <f>SUMIFS(出库流水账!$E:$E,出库流水账!$C:$C,$B5,出库流水账!$B:$B,AT$3)</f>
        <v>3</v>
      </c>
      <c r="AV5" s="51">
        <f>SUMIFS(入库流水账!$E:$E,入库流水账!$C:$C,$B5,入库流水账!$B:$B,AV$3)</f>
        <v>0</v>
      </c>
      <c r="AW5" s="51">
        <f>SUMIFS(出库流水账!$E:$E,出库流水账!$C:$C,$B5,出库流水账!$B:$B,AV$3)</f>
        <v>2</v>
      </c>
      <c r="AX5" s="51">
        <f>SUMIFS(入库流水账!$E:$E,入库流水账!$C:$C,$B5,入库流水账!$B:$B,AX$3)</f>
        <v>0</v>
      </c>
      <c r="AY5" s="51">
        <f>SUMIFS(出库流水账!$E:$E,出库流水账!$C:$C,$B5,出库流水账!$B:$B,AX$3)</f>
        <v>3</v>
      </c>
      <c r="AZ5" s="51">
        <f>SUMIFS(入库流水账!$E:$E,入库流水账!$C:$C,$B5,入库流水账!$B:$B,AZ$3)</f>
        <v>20</v>
      </c>
      <c r="BA5" s="51">
        <f>SUMIFS(出库流水账!$E:$E,出库流水账!$C:$C,$B5,出库流水账!$B:$B,AZ$3)</f>
        <v>3</v>
      </c>
      <c r="BB5" s="51">
        <f>SUMIFS(入库流水账!$E:$E,入库流水账!$C:$C,$B5,入库流水账!$B:$B,BB$3)</f>
        <v>0</v>
      </c>
      <c r="BC5" s="51">
        <f>SUMIFS(出库流水账!$E:$E,出库流水账!$C:$C,$B5,出库流水账!$B:$B,BB$3)</f>
        <v>0</v>
      </c>
      <c r="BD5" s="51">
        <f>SUMIFS(入库流水账!$E:$E,入库流水账!$C:$C,$B5,入库流水账!$B:$B,BD$3)</f>
        <v>0</v>
      </c>
      <c r="BE5" s="51">
        <f>SUMIFS(出库流水账!$E:$E,出库流水账!$C:$C,$B5,出库流水账!$B:$B,BD$3)</f>
        <v>0</v>
      </c>
      <c r="BF5" s="51">
        <f>SUMIFS(入库流水账!$E:$E,入库流水账!$C:$C,$B5,入库流水账!$B:$B,BF$3)</f>
        <v>0</v>
      </c>
      <c r="BG5" s="51">
        <f>SUMIFS(出库流水账!$E:$E,出库流水账!$C:$C,$B5,出库流水账!$B:$B,BF$3)</f>
        <v>3</v>
      </c>
      <c r="BH5" s="51">
        <f>SUMIFS(入库流水账!$E:$E,入库流水账!$C:$C,$B5,入库流水账!$B:$B,BH$3)</f>
        <v>0</v>
      </c>
      <c r="BI5" s="51">
        <f>SUMIFS(出库流水账!$E:$E,出库流水账!$C:$C,$B5,出库流水账!$B:$B,BH$3)</f>
        <v>2</v>
      </c>
      <c r="BJ5" s="51">
        <f>SUMIFS(入库流水账!$E:$E,入库流水账!$C:$C,$B5,入库流水账!$B:$B,BJ$3)</f>
        <v>0</v>
      </c>
      <c r="BK5" s="51">
        <f>SUMIFS(出库流水账!$E:$E,出库流水账!$C:$C,$B5,出库流水账!$B:$B,BJ$3)</f>
        <v>2</v>
      </c>
      <c r="BL5" s="51">
        <f>SUMIFS(入库流水账!$E:$E,入库流水账!$C:$C,$B5,入库流水账!$B:$B,BL$3)</f>
        <v>0</v>
      </c>
      <c r="BM5" s="51">
        <f>SUMIFS(出库流水账!$E:$E,出库流水账!$C:$C,$B5,出库流水账!$B:$B,BL$3)</f>
        <v>2</v>
      </c>
      <c r="BN5" s="51">
        <f>SUMIFS(入库流水账!$E:$E,入库流水账!$C:$C,$B5,入库流水账!$B:$B,BN$3)</f>
        <v>0</v>
      </c>
      <c r="BO5" s="51">
        <f>SUMIFS(出库流水账!$E:$E,出库流水账!$C:$C,$B5,出库流水账!$B:$B,BN$3)</f>
        <v>4</v>
      </c>
      <c r="BP5" s="51">
        <f>SUMIFS(入库流水账!$E:$E,入库流水账!$C:$C,$B5,入库流水账!$B:$B,BP$3)</f>
        <v>0</v>
      </c>
      <c r="BQ5" s="51">
        <f>SUMIFS(出库流水账!$E:$E,出库流水账!$C:$C,$B5,出库流水账!$B:$B,BP$3)</f>
        <v>0</v>
      </c>
    </row>
    <row r="6" s="35" customFormat="1" ht="18" customHeight="1" spans="1:69">
      <c r="A6" s="46">
        <f>ROW()-4</f>
        <v>2</v>
      </c>
      <c r="B6" s="47" t="s">
        <v>40</v>
      </c>
      <c r="C6" s="48" t="str">
        <f>IFERROR(VLOOKUP(B6,产品数据!$B:$D,3,FALSE),"")</f>
        <v>包</v>
      </c>
      <c r="D6" s="23">
        <v>12</v>
      </c>
      <c r="E6" s="46">
        <f>SUMIF($H$4:$BQ$4,$E$2,H6:BQ6)</f>
        <v>48</v>
      </c>
      <c r="F6" s="46">
        <f>SUMIF($H$4:$BQ$4,$F$2,H6:BQ6)</f>
        <v>30</v>
      </c>
      <c r="G6" s="50">
        <f>D6+E6-F6</f>
        <v>30</v>
      </c>
      <c r="H6" s="51">
        <f>SUMIFS(入库流水账!$E:$E,入库流水账!$C:$C,$B6,入库流水账!$B:$B,H$3)</f>
        <v>0</v>
      </c>
      <c r="I6" s="51">
        <f>SUMIFS(出库流水账!$E:$E,出库流水账!$C:$C,$B6,出库流水账!$B:$B,H$3)</f>
        <v>0</v>
      </c>
      <c r="J6" s="51">
        <f>SUMIFS(入库流水账!$E:$E,入库流水账!$C:$C,$B6,入库流水账!$B:$B,J$3)</f>
        <v>0</v>
      </c>
      <c r="K6" s="51">
        <f>SUMIFS(出库流水账!$E:$E,出库流水账!$C:$C,$B6,出库流水账!$B:$B,J$3)</f>
        <v>0</v>
      </c>
      <c r="L6" s="51">
        <f>SUMIFS(入库流水账!$E:$E,入库流水账!$C:$C,$B6,入库流水账!$B:$B,L$3)</f>
        <v>0</v>
      </c>
      <c r="M6" s="51">
        <f>SUMIFS(出库流水账!$E:$E,出库流水账!$C:$C,$B6,出库流水账!$B:$B,L$3)</f>
        <v>0</v>
      </c>
      <c r="N6" s="51">
        <f>SUMIFS(入库流水账!$E:$E,入库流水账!$C:$C,$B6,入库流水账!$B:$B,N$3)</f>
        <v>0</v>
      </c>
      <c r="O6" s="51">
        <f>SUMIFS(出库流水账!$E:$E,出库流水账!$C:$C,$B6,出库流水账!$B:$B,N$3)</f>
        <v>3</v>
      </c>
      <c r="P6" s="51">
        <f>SUMIFS(入库流水账!$E:$E,入库流水账!$C:$C,$B6,入库流水账!$B:$B,P$3)</f>
        <v>0</v>
      </c>
      <c r="Q6" s="51">
        <f>SUMIFS(出库流水账!$E:$E,出库流水账!$C:$C,$B6,出库流水账!$B:$B,P$3)</f>
        <v>3</v>
      </c>
      <c r="R6" s="51">
        <f>SUMIFS(入库流水账!$E:$E,入库流水账!$C:$C,$B6,入库流水账!$B:$B,R$3)</f>
        <v>0</v>
      </c>
      <c r="S6" s="51">
        <f>SUMIFS(出库流水账!$E:$E,出库流水账!$C:$C,$B6,出库流水账!$B:$B,R$3)</f>
        <v>0</v>
      </c>
      <c r="T6" s="51">
        <f>SUMIFS(入库流水账!$E:$E,入库流水账!$C:$C,$B6,入库流水账!$B:$B,T$3)</f>
        <v>0</v>
      </c>
      <c r="U6" s="51">
        <f>SUMIFS(出库流水账!$E:$E,出库流水账!$C:$C,$B6,出库流水账!$B:$B,T$3)</f>
        <v>3</v>
      </c>
      <c r="V6" s="51">
        <f>SUMIFS(入库流水账!$E:$E,入库流水账!$C:$C,$B6,入库流水账!$B:$B,V$3)</f>
        <v>12</v>
      </c>
      <c r="W6" s="51">
        <f>SUMIFS(出库流水账!$E:$E,出库流水账!$C:$C,$B6,出库流水账!$B:$B,V$3)</f>
        <v>0</v>
      </c>
      <c r="X6" s="51">
        <f>SUMIFS(入库流水账!$E:$E,入库流水账!$C:$C,$B6,入库流水账!$B:$B,X$3)</f>
        <v>0</v>
      </c>
      <c r="Y6" s="51">
        <f>SUMIFS(出库流水账!$E:$E,出库流水账!$C:$C,$B6,出库流水账!$B:$B,X$3)</f>
        <v>0</v>
      </c>
      <c r="Z6" s="51">
        <f>SUMIFS(入库流水账!$E:$E,入库流水账!$C:$C,$B6,入库流水账!$B:$B,Z$3)</f>
        <v>0</v>
      </c>
      <c r="AA6" s="51">
        <f>SUMIFS(出库流水账!$E:$E,出库流水账!$C:$C,$B6,出库流水账!$B:$B,Z$3)</f>
        <v>0</v>
      </c>
      <c r="AB6" s="51">
        <f>SUMIFS(入库流水账!$E:$E,入库流水账!$C:$C,$B6,入库流水账!$B:$B,AB$3)</f>
        <v>0</v>
      </c>
      <c r="AC6" s="51">
        <f>SUMIFS(出库流水账!$E:$E,出库流水账!$C:$C,$B6,出库流水账!$B:$B,AB$3)</f>
        <v>0</v>
      </c>
      <c r="AD6" s="51">
        <f>SUMIFS(入库流水账!$E:$E,入库流水账!$C:$C,$B6,入库流水账!$B:$B,AD$3)</f>
        <v>0</v>
      </c>
      <c r="AE6" s="51">
        <f>SUMIFS(出库流水账!$E:$E,出库流水账!$C:$C,$B6,出库流水账!$B:$B,AD$3)</f>
        <v>3</v>
      </c>
      <c r="AF6" s="51">
        <f>SUMIFS(入库流水账!$E:$E,入库流水账!$C:$C,$B6,入库流水账!$B:$B,AF$3)</f>
        <v>0</v>
      </c>
      <c r="AG6" s="51">
        <f>SUMIFS(出库流水账!$E:$E,出库流水账!$C:$C,$B6,出库流水账!$B:$B,AF$3)</f>
        <v>0</v>
      </c>
      <c r="AH6" s="51">
        <f>SUMIFS(入库流水账!$E:$E,入库流水账!$C:$C,$B6,入库流水账!$B:$B,AH$3)</f>
        <v>0</v>
      </c>
      <c r="AI6" s="51">
        <f>SUMIFS(出库流水账!$E:$E,出库流水账!$C:$C,$B6,出库流水账!$B:$B,AH$3)</f>
        <v>0</v>
      </c>
      <c r="AJ6" s="51">
        <f>SUMIFS(入库流水账!$E:$E,入库流水账!$C:$C,$B6,入库流水账!$B:$B,AJ$3)</f>
        <v>0</v>
      </c>
      <c r="AK6" s="51">
        <f>SUMIFS(出库流水账!$E:$E,出库流水账!$C:$C,$B6,出库流水账!$B:$B,AJ$3)</f>
        <v>1</v>
      </c>
      <c r="AL6" s="51">
        <f>SUMIFS(入库流水账!$E:$E,入库流水账!$C:$C,$B6,入库流水账!$B:$B,AL$3)</f>
        <v>0</v>
      </c>
      <c r="AM6" s="51">
        <f>SUMIFS(出库流水账!$E:$E,出库流水账!$C:$C,$B6,出库流水账!$B:$B,AL$3)</f>
        <v>0</v>
      </c>
      <c r="AN6" s="51">
        <f>SUMIFS(入库流水账!$E:$E,入库流水账!$C:$C,$B6,入库流水账!$B:$B,AN$3)</f>
        <v>0</v>
      </c>
      <c r="AO6" s="51">
        <f>SUMIFS(出库流水账!$E:$E,出库流水账!$C:$C,$B6,出库流水账!$B:$B,AN$3)</f>
        <v>0</v>
      </c>
      <c r="AP6" s="51">
        <f>SUMIFS(入库流水账!$E:$E,入库流水账!$C:$C,$B6,入库流水账!$B:$B,AP$3)</f>
        <v>0</v>
      </c>
      <c r="AQ6" s="51">
        <f>SUMIFS(出库流水账!$E:$E,出库流水账!$C:$C,$B6,出库流水账!$B:$B,AP$3)</f>
        <v>0</v>
      </c>
      <c r="AR6" s="51">
        <f>SUMIFS(入库流水账!$E:$E,入库流水账!$C:$C,$B6,入库流水账!$B:$B,AR$3)</f>
        <v>0</v>
      </c>
      <c r="AS6" s="51">
        <f>SUMIFS(出库流水账!$E:$E,出库流水账!$C:$C,$B6,出库流水账!$B:$B,AR$3)</f>
        <v>5</v>
      </c>
      <c r="AT6" s="51">
        <f>SUMIFS(入库流水账!$E:$E,入库流水账!$C:$C,$B6,入库流水账!$B:$B,AT$3)</f>
        <v>0</v>
      </c>
      <c r="AU6" s="51">
        <f>SUMIFS(出库流水账!$E:$E,出库流水账!$C:$C,$B6,出库流水账!$B:$B,AT$3)</f>
        <v>0</v>
      </c>
      <c r="AV6" s="51">
        <f>SUMIFS(入库流水账!$E:$E,入库流水账!$C:$C,$B6,入库流水账!$B:$B,AV$3)</f>
        <v>0</v>
      </c>
      <c r="AW6" s="51">
        <f>SUMIFS(出库流水账!$E:$E,出库流水账!$C:$C,$B6,出库流水账!$B:$B,AV$3)</f>
        <v>0</v>
      </c>
      <c r="AX6" s="51">
        <f>SUMIFS(入库流水账!$E:$E,入库流水账!$C:$C,$B6,入库流水账!$B:$B,AX$3)</f>
        <v>0</v>
      </c>
      <c r="AY6" s="51">
        <f>SUMIFS(出库流水账!$E:$E,出库流水账!$C:$C,$B6,出库流水账!$B:$B,AX$3)</f>
        <v>4</v>
      </c>
      <c r="AZ6" s="51">
        <f>SUMIFS(入库流水账!$E:$E,入库流水账!$C:$C,$B6,入库流水账!$B:$B,AZ$3)</f>
        <v>27</v>
      </c>
      <c r="BA6" s="51">
        <f>SUMIFS(出库流水账!$E:$E,出库流水账!$C:$C,$B6,出库流水账!$B:$B,AZ$3)</f>
        <v>0</v>
      </c>
      <c r="BB6" s="51">
        <f>SUMIFS(入库流水账!$E:$E,入库流水账!$C:$C,$B6,入库流水账!$B:$B,BB$3)</f>
        <v>0</v>
      </c>
      <c r="BC6" s="51">
        <f>SUMIFS(出库流水账!$E:$E,出库流水账!$C:$C,$B6,出库流水账!$B:$B,BB$3)</f>
        <v>0</v>
      </c>
      <c r="BD6" s="51">
        <f>SUMIFS(入库流水账!$E:$E,入库流水账!$C:$C,$B6,入库流水账!$B:$B,BD$3)</f>
        <v>0</v>
      </c>
      <c r="BE6" s="51">
        <f>SUMIFS(出库流水账!$E:$E,出库流水账!$C:$C,$B6,出库流水账!$B:$B,BD$3)</f>
        <v>0</v>
      </c>
      <c r="BF6" s="51">
        <f>SUMIFS(入库流水账!$E:$E,入库流水账!$C:$C,$B6,入库流水账!$B:$B,BF$3)</f>
        <v>0</v>
      </c>
      <c r="BG6" s="51">
        <f>SUMIFS(出库流水账!$E:$E,出库流水账!$C:$C,$B6,出库流水账!$B:$B,BF$3)</f>
        <v>3</v>
      </c>
      <c r="BH6" s="51">
        <f>SUMIFS(入库流水账!$E:$E,入库流水账!$C:$C,$B6,入库流水账!$B:$B,BH$3)</f>
        <v>9</v>
      </c>
      <c r="BI6" s="51">
        <f>SUMIFS(出库流水账!$E:$E,出库流水账!$C:$C,$B6,出库流水账!$B:$B,BH$3)</f>
        <v>3</v>
      </c>
      <c r="BJ6" s="51">
        <f>SUMIFS(入库流水账!$E:$E,入库流水账!$C:$C,$B6,入库流水账!$B:$B,BJ$3)</f>
        <v>0</v>
      </c>
      <c r="BK6" s="51">
        <f>SUMIFS(出库流水账!$E:$E,出库流水账!$C:$C,$B6,出库流水账!$B:$B,BJ$3)</f>
        <v>1</v>
      </c>
      <c r="BL6" s="51">
        <f>SUMIFS(入库流水账!$E:$E,入库流水账!$C:$C,$B6,入库流水账!$B:$B,BL$3)</f>
        <v>0</v>
      </c>
      <c r="BM6" s="51">
        <f>SUMIFS(出库流水账!$E:$E,出库流水账!$C:$C,$B6,出库流水账!$B:$B,BL$3)</f>
        <v>1</v>
      </c>
      <c r="BN6" s="51">
        <f>SUMIFS(入库流水账!$E:$E,入库流水账!$C:$C,$B6,入库流水账!$B:$B,BN$3)</f>
        <v>0</v>
      </c>
      <c r="BO6" s="51">
        <f>SUMIFS(出库流水账!$E:$E,出库流水账!$C:$C,$B6,出库流水账!$B:$B,BN$3)</f>
        <v>0</v>
      </c>
      <c r="BP6" s="51">
        <f>SUMIFS(入库流水账!$E:$E,入库流水账!$C:$C,$B6,入库流水账!$B:$B,BP$3)</f>
        <v>0</v>
      </c>
      <c r="BQ6" s="51">
        <f>SUMIFS(出库流水账!$E:$E,出库流水账!$C:$C,$B6,出库流水账!$B:$B,BP$3)</f>
        <v>0</v>
      </c>
    </row>
    <row r="7" s="35" customFormat="1" ht="18" customHeight="1" spans="1:69">
      <c r="A7" s="46">
        <f>ROW()-4</f>
        <v>3</v>
      </c>
      <c r="B7" s="47" t="s">
        <v>41</v>
      </c>
      <c r="C7" s="48" t="str">
        <f>IFERROR(VLOOKUP(B7,产品数据!$B:$D,3,FALSE),"")</f>
        <v>桶</v>
      </c>
      <c r="D7" s="23">
        <v>22</v>
      </c>
      <c r="E7" s="46">
        <f>SUMIF($H$4:$BQ$4,$E$2,H7:BQ7)</f>
        <v>80</v>
      </c>
      <c r="F7" s="46">
        <f>SUMIF($H$4:$BQ$4,$F$2,H7:BQ7)</f>
        <v>83</v>
      </c>
      <c r="G7" s="50">
        <f>D7+E7-F7</f>
        <v>19</v>
      </c>
      <c r="H7" s="51">
        <f>SUMIFS(入库流水账!$E:$E,入库流水账!$C:$C,$B7,入库流水账!$B:$B,H$3)</f>
        <v>0</v>
      </c>
      <c r="I7" s="51">
        <f>SUMIFS(出库流水账!$E:$E,出库流水账!$C:$C,$B7,出库流水账!$B:$B,H$3)</f>
        <v>0</v>
      </c>
      <c r="J7" s="51">
        <f>SUMIFS(入库流水账!$E:$E,入库流水账!$C:$C,$B7,入库流水账!$B:$B,J$3)</f>
        <v>0</v>
      </c>
      <c r="K7" s="51">
        <f>SUMIFS(出库流水账!$E:$E,出库流水账!$C:$C,$B7,出库流水账!$B:$B,J$3)</f>
        <v>0</v>
      </c>
      <c r="L7" s="51">
        <f>SUMIFS(入库流水账!$E:$E,入库流水账!$C:$C,$B7,入库流水账!$B:$B,L$3)</f>
        <v>0</v>
      </c>
      <c r="M7" s="51">
        <f>SUMIFS(出库流水账!$E:$E,出库流水账!$C:$C,$B7,出库流水账!$B:$B,L$3)</f>
        <v>0</v>
      </c>
      <c r="N7" s="51">
        <f>SUMIFS(入库流水账!$E:$E,入库流水账!$C:$C,$B7,入库流水账!$B:$B,N$3)</f>
        <v>0</v>
      </c>
      <c r="O7" s="51">
        <f>SUMIFS(出库流水账!$E:$E,出库流水账!$C:$C,$B7,出库流水账!$B:$B,N$3)</f>
        <v>6</v>
      </c>
      <c r="P7" s="51">
        <f>SUMIFS(入库流水账!$E:$E,入库流水账!$C:$C,$B7,入库流水账!$B:$B,P$3)</f>
        <v>0</v>
      </c>
      <c r="Q7" s="51">
        <f>SUMIFS(出库流水账!$E:$E,出库流水账!$C:$C,$B7,出库流水账!$B:$B,P$3)</f>
        <v>3</v>
      </c>
      <c r="R7" s="51">
        <f>SUMIFS(入库流水账!$E:$E,入库流水账!$C:$C,$B7,入库流水账!$B:$B,R$3)</f>
        <v>0</v>
      </c>
      <c r="S7" s="51">
        <f>SUMIFS(出库流水账!$E:$E,出库流水账!$C:$C,$B7,出库流水账!$B:$B,R$3)</f>
        <v>3</v>
      </c>
      <c r="T7" s="51">
        <f>SUMIFS(入库流水账!$E:$E,入库流水账!$C:$C,$B7,入库流水账!$B:$B,T$3)</f>
        <v>20</v>
      </c>
      <c r="U7" s="51">
        <f>SUMIFS(出库流水账!$E:$E,出库流水账!$C:$C,$B7,出库流水账!$B:$B,T$3)</f>
        <v>3</v>
      </c>
      <c r="V7" s="51">
        <f>SUMIFS(入库流水账!$E:$E,入库流水账!$C:$C,$B7,入库流水账!$B:$B,V$3)</f>
        <v>0</v>
      </c>
      <c r="W7" s="51">
        <f>SUMIFS(出库流水账!$E:$E,出库流水账!$C:$C,$B7,出库流水账!$B:$B,V$3)</f>
        <v>4</v>
      </c>
      <c r="X7" s="51">
        <f>SUMIFS(入库流水账!$E:$E,入库流水账!$C:$C,$B7,入库流水账!$B:$B,X$3)</f>
        <v>0</v>
      </c>
      <c r="Y7" s="51">
        <f>SUMIFS(出库流水账!$E:$E,出库流水账!$C:$C,$B7,出库流水账!$B:$B,X$3)</f>
        <v>5</v>
      </c>
      <c r="Z7" s="51">
        <f>SUMIFS(入库流水账!$E:$E,入库流水账!$C:$C,$B7,入库流水账!$B:$B,Z$3)</f>
        <v>0</v>
      </c>
      <c r="AA7" s="51">
        <f>SUMIFS(出库流水账!$E:$E,出库流水账!$C:$C,$B7,出库流水账!$B:$B,Z$3)</f>
        <v>0</v>
      </c>
      <c r="AB7" s="51">
        <f>SUMIFS(入库流水账!$E:$E,入库流水账!$C:$C,$B7,入库流水账!$B:$B,AB$3)</f>
        <v>0</v>
      </c>
      <c r="AC7" s="51">
        <f>SUMIFS(出库流水账!$E:$E,出库流水账!$C:$C,$B7,出库流水账!$B:$B,AB$3)</f>
        <v>0</v>
      </c>
      <c r="AD7" s="51">
        <f>SUMIFS(入库流水账!$E:$E,入库流水账!$C:$C,$B7,入库流水账!$B:$B,AD$3)</f>
        <v>0</v>
      </c>
      <c r="AE7" s="51">
        <f>SUMIFS(出库流水账!$E:$E,出库流水账!$C:$C,$B7,出库流水账!$B:$B,AD$3)</f>
        <v>4</v>
      </c>
      <c r="AF7" s="51">
        <f>SUMIFS(入库流水账!$E:$E,入库流水账!$C:$C,$B7,入库流水账!$B:$B,AF$3)</f>
        <v>0</v>
      </c>
      <c r="AG7" s="51">
        <f>SUMIFS(出库流水账!$E:$E,出库流水账!$C:$C,$B7,出库流水账!$B:$B,AF$3)</f>
        <v>3</v>
      </c>
      <c r="AH7" s="51">
        <f>SUMIFS(入库流水账!$E:$E,入库流水账!$C:$C,$B7,入库流水账!$B:$B,AH$3)</f>
        <v>0</v>
      </c>
      <c r="AI7" s="51">
        <f>SUMIFS(出库流水账!$E:$E,出库流水账!$C:$C,$B7,出库流水账!$B:$B,AH$3)</f>
        <v>4</v>
      </c>
      <c r="AJ7" s="51">
        <f>SUMIFS(入库流水账!$E:$E,入库流水账!$C:$C,$B7,入库流水账!$B:$B,AJ$3)</f>
        <v>20</v>
      </c>
      <c r="AK7" s="51">
        <f>SUMIFS(出库流水账!$E:$E,出库流水账!$C:$C,$B7,出库流水账!$B:$B,AJ$3)</f>
        <v>3</v>
      </c>
      <c r="AL7" s="51">
        <f>SUMIFS(入库流水账!$E:$E,入库流水账!$C:$C,$B7,入库流水账!$B:$B,AL$3)</f>
        <v>0</v>
      </c>
      <c r="AM7" s="51">
        <f>SUMIFS(出库流水账!$E:$E,出库流水账!$C:$C,$B7,出库流水账!$B:$B,AL$3)</f>
        <v>4</v>
      </c>
      <c r="AN7" s="51">
        <f>SUMIFS(入库流水账!$E:$E,入库流水账!$C:$C,$B7,入库流水账!$B:$B,AN$3)</f>
        <v>0</v>
      </c>
      <c r="AO7" s="51">
        <f>SUMIFS(出库流水账!$E:$E,出库流水账!$C:$C,$B7,出库流水账!$B:$B,AN$3)</f>
        <v>0</v>
      </c>
      <c r="AP7" s="51">
        <f>SUMIFS(入库流水账!$E:$E,入库流水账!$C:$C,$B7,入库流水账!$B:$B,AP$3)</f>
        <v>0</v>
      </c>
      <c r="AQ7" s="51">
        <f>SUMIFS(出库流水账!$E:$E,出库流水账!$C:$C,$B7,出库流水账!$B:$B,AP$3)</f>
        <v>0</v>
      </c>
      <c r="AR7" s="51">
        <f>SUMIFS(入库流水账!$E:$E,入库流水账!$C:$C,$B7,入库流水账!$B:$B,AR$3)</f>
        <v>0</v>
      </c>
      <c r="AS7" s="51">
        <f>SUMIFS(出库流水账!$E:$E,出库流水账!$C:$C,$B7,出库流水账!$B:$B,AR$3)</f>
        <v>4</v>
      </c>
      <c r="AT7" s="51">
        <f>SUMIFS(入库流水账!$E:$E,入库流水账!$C:$C,$B7,入库流水账!$B:$B,AT$3)</f>
        <v>20</v>
      </c>
      <c r="AU7" s="51">
        <f>SUMIFS(出库流水账!$E:$E,出库流水账!$C:$C,$B7,出库流水账!$B:$B,AT$3)</f>
        <v>4</v>
      </c>
      <c r="AV7" s="51">
        <f>SUMIFS(入库流水账!$E:$E,入库流水账!$C:$C,$B7,入库流水账!$B:$B,AV$3)</f>
        <v>0</v>
      </c>
      <c r="AW7" s="51">
        <f>SUMIFS(出库流水账!$E:$E,出库流水账!$C:$C,$B7,出库流水账!$B:$B,AV$3)</f>
        <v>3</v>
      </c>
      <c r="AX7" s="51">
        <f>SUMIFS(入库流水账!$E:$E,入库流水账!$C:$C,$B7,入库流水账!$B:$B,AX$3)</f>
        <v>0</v>
      </c>
      <c r="AY7" s="51">
        <f>SUMIFS(出库流水账!$E:$E,出库流水账!$C:$C,$B7,出库流水账!$B:$B,AX$3)</f>
        <v>3</v>
      </c>
      <c r="AZ7" s="51">
        <f>SUMIFS(入库流水账!$E:$E,入库流水账!$C:$C,$B7,入库流水账!$B:$B,AZ$3)</f>
        <v>20</v>
      </c>
      <c r="BA7" s="51">
        <f>SUMIFS(出库流水账!$E:$E,出库流水账!$C:$C,$B7,出库流水账!$B:$B,AZ$3)</f>
        <v>4</v>
      </c>
      <c r="BB7" s="51">
        <f>SUMIFS(入库流水账!$E:$E,入库流水账!$C:$C,$B7,入库流水账!$B:$B,BB$3)</f>
        <v>0</v>
      </c>
      <c r="BC7" s="51">
        <f>SUMIFS(出库流水账!$E:$E,出库流水账!$C:$C,$B7,出库流水账!$B:$B,BB$3)</f>
        <v>0</v>
      </c>
      <c r="BD7" s="51">
        <f>SUMIFS(入库流水账!$E:$E,入库流水账!$C:$C,$B7,入库流水账!$B:$B,BD$3)</f>
        <v>0</v>
      </c>
      <c r="BE7" s="51">
        <f>SUMIFS(出库流水账!$E:$E,出库流水账!$C:$C,$B7,出库流水账!$B:$B,BD$3)</f>
        <v>0</v>
      </c>
      <c r="BF7" s="51">
        <f>SUMIFS(入库流水账!$E:$E,入库流水账!$C:$C,$B7,入库流水账!$B:$B,BF$3)</f>
        <v>0</v>
      </c>
      <c r="BG7" s="51">
        <f>SUMIFS(出库流水账!$E:$E,出库流水账!$C:$C,$B7,出库流水账!$B:$B,BF$3)</f>
        <v>6</v>
      </c>
      <c r="BH7" s="51">
        <f>SUMIFS(入库流水账!$E:$E,入库流水账!$C:$C,$B7,入库流水账!$B:$B,BH$3)</f>
        <v>0</v>
      </c>
      <c r="BI7" s="51">
        <f>SUMIFS(出库流水账!$E:$E,出库流水账!$C:$C,$B7,出库流水账!$B:$B,BH$3)</f>
        <v>3</v>
      </c>
      <c r="BJ7" s="51">
        <f>SUMIFS(入库流水账!$E:$E,入库流水账!$C:$C,$B7,入库流水账!$B:$B,BJ$3)</f>
        <v>0</v>
      </c>
      <c r="BK7" s="51">
        <f>SUMIFS(出库流水账!$E:$E,出库流水账!$C:$C,$B7,出库流水账!$B:$B,BJ$3)</f>
        <v>3</v>
      </c>
      <c r="BL7" s="51">
        <f>SUMIFS(入库流水账!$E:$E,入库流水账!$C:$C,$B7,入库流水账!$B:$B,BL$3)</f>
        <v>0</v>
      </c>
      <c r="BM7" s="51">
        <f>SUMIFS(出库流水账!$E:$E,出库流水账!$C:$C,$B7,出库流水账!$B:$B,BL$3)</f>
        <v>4</v>
      </c>
      <c r="BN7" s="51">
        <f>SUMIFS(入库流水账!$E:$E,入库流水账!$C:$C,$B7,入库流水账!$B:$B,BN$3)</f>
        <v>0</v>
      </c>
      <c r="BO7" s="51">
        <f>SUMIFS(出库流水账!$E:$E,出库流水账!$C:$C,$B7,出库流水账!$B:$B,BN$3)</f>
        <v>7</v>
      </c>
      <c r="BP7" s="51">
        <f>SUMIFS(入库流水账!$E:$E,入库流水账!$C:$C,$B7,入库流水账!$B:$B,BP$3)</f>
        <v>0</v>
      </c>
      <c r="BQ7" s="51">
        <f>SUMIFS(出库流水账!$E:$E,出库流水账!$C:$C,$B7,出库流水账!$B:$B,BP$3)</f>
        <v>0</v>
      </c>
    </row>
    <row r="8" s="35" customFormat="1" ht="18" customHeight="1" spans="1:69">
      <c r="A8" s="46">
        <f>ROW()-4</f>
        <v>4</v>
      </c>
      <c r="B8" s="47" t="s">
        <v>42</v>
      </c>
      <c r="C8" s="48" t="str">
        <f>IFERROR(VLOOKUP(B8,产品数据!$B:$D,3,FALSE),"")</f>
        <v>壶</v>
      </c>
      <c r="D8" s="23">
        <v>6</v>
      </c>
      <c r="E8" s="46">
        <f>SUMIF($H$4:$BQ$4,$E$2,H8:BQ8)</f>
        <v>36</v>
      </c>
      <c r="F8" s="46">
        <f>SUMIF($H$4:$BQ$4,$F$2,H8:BQ8)</f>
        <v>28</v>
      </c>
      <c r="G8" s="50">
        <f>D8+E8-F8</f>
        <v>14</v>
      </c>
      <c r="H8" s="51">
        <f>SUMIFS(入库流水账!$E:$E,入库流水账!$C:$C,$B8,入库流水账!$B:$B,H$3)</f>
        <v>0</v>
      </c>
      <c r="I8" s="51">
        <f>SUMIFS(出库流水账!$E:$E,出库流水账!$C:$C,$B8,出库流水账!$B:$B,H$3)</f>
        <v>0</v>
      </c>
      <c r="J8" s="51">
        <f>SUMIFS(入库流水账!$E:$E,入库流水账!$C:$C,$B8,入库流水账!$B:$B,J$3)</f>
        <v>0</v>
      </c>
      <c r="K8" s="51">
        <f>SUMIFS(出库流水账!$E:$E,出库流水账!$C:$C,$B8,出库流水账!$B:$B,J$3)</f>
        <v>0</v>
      </c>
      <c r="L8" s="51">
        <f>SUMIFS(入库流水账!$E:$E,入库流水账!$C:$C,$B8,入库流水账!$B:$B,L$3)</f>
        <v>0</v>
      </c>
      <c r="M8" s="51">
        <f>SUMIFS(出库流水账!$E:$E,出库流水账!$C:$C,$B8,出库流水账!$B:$B,L$3)</f>
        <v>0</v>
      </c>
      <c r="N8" s="51">
        <f>SUMIFS(入库流水账!$E:$E,入库流水账!$C:$C,$B8,入库流水账!$B:$B,N$3)</f>
        <v>0</v>
      </c>
      <c r="O8" s="51">
        <f>SUMIFS(出库流水账!$E:$E,出库流水账!$C:$C,$B8,出库流水账!$B:$B,N$3)</f>
        <v>2</v>
      </c>
      <c r="P8" s="51">
        <f>SUMIFS(入库流水账!$E:$E,入库流水账!$C:$C,$B8,入库流水账!$B:$B,P$3)</f>
        <v>0</v>
      </c>
      <c r="Q8" s="51">
        <f>SUMIFS(出库流水账!$E:$E,出库流水账!$C:$C,$B8,出库流水账!$B:$B,P$3)</f>
        <v>0</v>
      </c>
      <c r="R8" s="51">
        <f>SUMIFS(入库流水账!$E:$E,入库流水账!$C:$C,$B8,入库流水账!$B:$B,R$3)</f>
        <v>0</v>
      </c>
      <c r="S8" s="51">
        <f>SUMIFS(出库流水账!$E:$E,出库流水账!$C:$C,$B8,出库流水账!$B:$B,R$3)</f>
        <v>2</v>
      </c>
      <c r="T8" s="51">
        <f>SUMIFS(入库流水账!$E:$E,入库流水账!$C:$C,$B8,入库流水账!$B:$B,T$3)</f>
        <v>18</v>
      </c>
      <c r="U8" s="51">
        <f>SUMIFS(出库流水账!$E:$E,出库流水账!$C:$C,$B8,出库流水账!$B:$B,T$3)</f>
        <v>0</v>
      </c>
      <c r="V8" s="51">
        <f>SUMIFS(入库流水账!$E:$E,入库流水账!$C:$C,$B8,入库流水账!$B:$B,V$3)</f>
        <v>0</v>
      </c>
      <c r="W8" s="51">
        <f>SUMIFS(出库流水账!$E:$E,出库流水账!$C:$C,$B8,出库流水账!$B:$B,V$3)</f>
        <v>1</v>
      </c>
      <c r="X8" s="51">
        <f>SUMIFS(入库流水账!$E:$E,入库流水账!$C:$C,$B8,入库流水账!$B:$B,X$3)</f>
        <v>0</v>
      </c>
      <c r="Y8" s="51">
        <f>SUMIFS(出库流水账!$E:$E,出库流水账!$C:$C,$B8,出库流水账!$B:$B,X$3)</f>
        <v>1</v>
      </c>
      <c r="Z8" s="51">
        <f>SUMIFS(入库流水账!$E:$E,入库流水账!$C:$C,$B8,入库流水账!$B:$B,Z$3)</f>
        <v>0</v>
      </c>
      <c r="AA8" s="51">
        <f>SUMIFS(出库流水账!$E:$E,出库流水账!$C:$C,$B8,出库流水账!$B:$B,Z$3)</f>
        <v>0</v>
      </c>
      <c r="AB8" s="51">
        <f>SUMIFS(入库流水账!$E:$E,入库流水账!$C:$C,$B8,入库流水账!$B:$B,AB$3)</f>
        <v>0</v>
      </c>
      <c r="AC8" s="51">
        <f>SUMIFS(出库流水账!$E:$E,出库流水账!$C:$C,$B8,出库流水账!$B:$B,AB$3)</f>
        <v>0</v>
      </c>
      <c r="AD8" s="51">
        <f>SUMIFS(入库流水账!$E:$E,入库流水账!$C:$C,$B8,入库流水账!$B:$B,AD$3)</f>
        <v>0</v>
      </c>
      <c r="AE8" s="51">
        <f>SUMIFS(出库流水账!$E:$E,出库流水账!$C:$C,$B8,出库流水账!$B:$B,AD$3)</f>
        <v>3</v>
      </c>
      <c r="AF8" s="51">
        <f>SUMIFS(入库流水账!$E:$E,入库流水账!$C:$C,$B8,入库流水账!$B:$B,AF$3)</f>
        <v>0</v>
      </c>
      <c r="AG8" s="51">
        <f>SUMIFS(出库流水账!$E:$E,出库流水账!$C:$C,$B8,出库流水账!$B:$B,AF$3)</f>
        <v>1</v>
      </c>
      <c r="AH8" s="51">
        <f>SUMIFS(入库流水账!$E:$E,入库流水账!$C:$C,$B8,入库流水账!$B:$B,AH$3)</f>
        <v>0</v>
      </c>
      <c r="AI8" s="51">
        <f>SUMIFS(出库流水账!$E:$E,出库流水账!$C:$C,$B8,出库流水账!$B:$B,AH$3)</f>
        <v>1</v>
      </c>
      <c r="AJ8" s="51">
        <f>SUMIFS(入库流水账!$E:$E,入库流水账!$C:$C,$B8,入库流水账!$B:$B,AJ$3)</f>
        <v>0</v>
      </c>
      <c r="AK8" s="51">
        <f>SUMIFS(出库流水账!$E:$E,出库流水账!$C:$C,$B8,出库流水账!$B:$B,AJ$3)</f>
        <v>1</v>
      </c>
      <c r="AL8" s="51">
        <f>SUMIFS(入库流水账!$E:$E,入库流水账!$C:$C,$B8,入库流水账!$B:$B,AL$3)</f>
        <v>0</v>
      </c>
      <c r="AM8" s="51">
        <f>SUMIFS(出库流水账!$E:$E,出库流水账!$C:$C,$B8,出库流水账!$B:$B,AL$3)</f>
        <v>2</v>
      </c>
      <c r="AN8" s="51">
        <f>SUMIFS(入库流水账!$E:$E,入库流水账!$C:$C,$B8,入库流水账!$B:$B,AN$3)</f>
        <v>0</v>
      </c>
      <c r="AO8" s="51">
        <f>SUMIFS(出库流水账!$E:$E,出库流水账!$C:$C,$B8,出库流水账!$B:$B,AN$3)</f>
        <v>0</v>
      </c>
      <c r="AP8" s="51">
        <f>SUMIFS(入库流水账!$E:$E,入库流水账!$C:$C,$B8,入库流水账!$B:$B,AP$3)</f>
        <v>0</v>
      </c>
      <c r="AQ8" s="51">
        <f>SUMIFS(出库流水账!$E:$E,出库流水账!$C:$C,$B8,出库流水账!$B:$B,AP$3)</f>
        <v>0</v>
      </c>
      <c r="AR8" s="51">
        <f>SUMIFS(入库流水账!$E:$E,入库流水账!$C:$C,$B8,入库流水账!$B:$B,AR$3)</f>
        <v>0</v>
      </c>
      <c r="AS8" s="51">
        <f>SUMIFS(出库流水账!$E:$E,出库流水账!$C:$C,$B8,出库流水账!$B:$B,AR$3)</f>
        <v>2</v>
      </c>
      <c r="AT8" s="51">
        <f>SUMIFS(入库流水账!$E:$E,入库流水账!$C:$C,$B8,入库流水账!$B:$B,AT$3)</f>
        <v>0</v>
      </c>
      <c r="AU8" s="51">
        <f>SUMIFS(出库流水账!$E:$E,出库流水账!$C:$C,$B8,出库流水账!$B:$B,AT$3)</f>
        <v>1</v>
      </c>
      <c r="AV8" s="51">
        <f>SUMIFS(入库流水账!$E:$E,入库流水账!$C:$C,$B8,入库流水账!$B:$B,AV$3)</f>
        <v>0</v>
      </c>
      <c r="AW8" s="51">
        <f>SUMIFS(出库流水账!$E:$E,出库流水账!$C:$C,$B8,出库流水账!$B:$B,AV$3)</f>
        <v>1</v>
      </c>
      <c r="AX8" s="51">
        <f>SUMIFS(入库流水账!$E:$E,入库流水账!$C:$C,$B8,入库流水账!$B:$B,AX$3)</f>
        <v>0</v>
      </c>
      <c r="AY8" s="51">
        <f>SUMIFS(出库流水账!$E:$E,出库流水账!$C:$C,$B8,出库流水账!$B:$B,AX$3)</f>
        <v>0</v>
      </c>
      <c r="AZ8" s="51">
        <f>SUMIFS(入库流水账!$E:$E,入库流水账!$C:$C,$B8,入库流水账!$B:$B,AZ$3)</f>
        <v>18</v>
      </c>
      <c r="BA8" s="51">
        <f>SUMIFS(出库流水账!$E:$E,出库流水账!$C:$C,$B8,出库流水账!$B:$B,AZ$3)</f>
        <v>2</v>
      </c>
      <c r="BB8" s="51">
        <f>SUMIFS(入库流水账!$E:$E,入库流水账!$C:$C,$B8,入库流水账!$B:$B,BB$3)</f>
        <v>0</v>
      </c>
      <c r="BC8" s="51">
        <f>SUMIFS(出库流水账!$E:$E,出库流水账!$C:$C,$B8,出库流水账!$B:$B,BB$3)</f>
        <v>0</v>
      </c>
      <c r="BD8" s="51">
        <f>SUMIFS(入库流水账!$E:$E,入库流水账!$C:$C,$B8,入库流水账!$B:$B,BD$3)</f>
        <v>0</v>
      </c>
      <c r="BE8" s="51">
        <f>SUMIFS(出库流水账!$E:$E,出库流水账!$C:$C,$B8,出库流水账!$B:$B,BD$3)</f>
        <v>0</v>
      </c>
      <c r="BF8" s="51">
        <f>SUMIFS(入库流水账!$E:$E,入库流水账!$C:$C,$B8,入库流水账!$B:$B,BF$3)</f>
        <v>0</v>
      </c>
      <c r="BG8" s="51">
        <f>SUMIFS(出库流水账!$E:$E,出库流水账!$C:$C,$B8,出库流水账!$B:$B,BF$3)</f>
        <v>2</v>
      </c>
      <c r="BH8" s="51">
        <f>SUMIFS(入库流水账!$E:$E,入库流水账!$C:$C,$B8,入库流水账!$B:$B,BH$3)</f>
        <v>0</v>
      </c>
      <c r="BI8" s="51">
        <f>SUMIFS(出库流水账!$E:$E,出库流水账!$C:$C,$B8,出库流水账!$B:$B,BH$3)</f>
        <v>2</v>
      </c>
      <c r="BJ8" s="51">
        <f>SUMIFS(入库流水账!$E:$E,入库流水账!$C:$C,$B8,入库流水账!$B:$B,BJ$3)</f>
        <v>0</v>
      </c>
      <c r="BK8" s="51">
        <f>SUMIFS(出库流水账!$E:$E,出库流水账!$C:$C,$B8,出库流水账!$B:$B,BJ$3)</f>
        <v>1</v>
      </c>
      <c r="BL8" s="51">
        <f>SUMIFS(入库流水账!$E:$E,入库流水账!$C:$C,$B8,入库流水账!$B:$B,BL$3)</f>
        <v>0</v>
      </c>
      <c r="BM8" s="51">
        <f>SUMIFS(出库流水账!$E:$E,出库流水账!$C:$C,$B8,出库流水账!$B:$B,BL$3)</f>
        <v>1</v>
      </c>
      <c r="BN8" s="51">
        <f>SUMIFS(入库流水账!$E:$E,入库流水账!$C:$C,$B8,入库流水账!$B:$B,BN$3)</f>
        <v>0</v>
      </c>
      <c r="BO8" s="51">
        <f>SUMIFS(出库流水账!$E:$E,出库流水账!$C:$C,$B8,出库流水账!$B:$B,BN$3)</f>
        <v>2</v>
      </c>
      <c r="BP8" s="51">
        <f>SUMIFS(入库流水账!$E:$E,入库流水账!$C:$C,$B8,入库流水账!$B:$B,BP$3)</f>
        <v>0</v>
      </c>
      <c r="BQ8" s="51">
        <f>SUMIFS(出库流水账!$E:$E,出库流水账!$C:$C,$B8,出库流水账!$B:$B,BP$3)</f>
        <v>0</v>
      </c>
    </row>
    <row r="9" s="35" customFormat="1" ht="18" customHeight="1" spans="1:69">
      <c r="A9" s="46">
        <f>ROW()-4</f>
        <v>5</v>
      </c>
      <c r="B9" s="47" t="s">
        <v>43</v>
      </c>
      <c r="C9" s="48" t="str">
        <f>IFERROR(VLOOKUP(B9,产品数据!$B:$D,3,FALSE),"")</f>
        <v>瓶</v>
      </c>
      <c r="D9" s="23">
        <f>'[2]米油调味品台账表 12月      '!G10</f>
        <v>2</v>
      </c>
      <c r="E9" s="46">
        <f>SUMIF($H$4:$BQ$4,$E$2,H9:BQ9)</f>
        <v>24</v>
      </c>
      <c r="F9" s="46">
        <f>SUMIF($H$4:$BQ$4,$F$2,H9:BQ9)</f>
        <v>15</v>
      </c>
      <c r="G9" s="50">
        <f>D9+E9-F9</f>
        <v>11</v>
      </c>
      <c r="H9" s="51">
        <f>SUMIFS(入库流水账!$E:$E,入库流水账!$C:$C,$B9,入库流水账!$B:$B,H$3)</f>
        <v>0</v>
      </c>
      <c r="I9" s="51">
        <f>SUMIFS(出库流水账!$E:$E,出库流水账!$C:$C,$B9,出库流水账!$B:$B,H$3)</f>
        <v>0</v>
      </c>
      <c r="J9" s="51">
        <f>SUMIFS(入库流水账!$E:$E,入库流水账!$C:$C,$B9,入库流水账!$B:$B,J$3)</f>
        <v>0</v>
      </c>
      <c r="K9" s="51">
        <f>SUMIFS(出库流水账!$E:$E,出库流水账!$C:$C,$B9,出库流水账!$B:$B,J$3)</f>
        <v>0</v>
      </c>
      <c r="L9" s="51">
        <f>SUMIFS(入库流水账!$E:$E,入库流水账!$C:$C,$B9,入库流水账!$B:$B,L$3)</f>
        <v>0</v>
      </c>
      <c r="M9" s="51">
        <f>SUMIFS(出库流水账!$E:$E,出库流水账!$C:$C,$B9,出库流水账!$B:$B,L$3)</f>
        <v>0</v>
      </c>
      <c r="N9" s="51">
        <f>SUMIFS(入库流水账!$E:$E,入库流水账!$C:$C,$B9,入库流水账!$B:$B,N$3)</f>
        <v>0</v>
      </c>
      <c r="O9" s="51">
        <f>SUMIFS(出库流水账!$E:$E,出库流水账!$C:$C,$B9,出库流水账!$B:$B,N$3)</f>
        <v>0</v>
      </c>
      <c r="P9" s="51">
        <f>SUMIFS(入库流水账!$E:$E,入库流水账!$C:$C,$B9,入库流水账!$B:$B,P$3)</f>
        <v>0</v>
      </c>
      <c r="Q9" s="51">
        <f>SUMIFS(出库流水账!$E:$E,出库流水账!$C:$C,$B9,出库流水账!$B:$B,P$3)</f>
        <v>1</v>
      </c>
      <c r="R9" s="51">
        <f>SUMIFS(入库流水账!$E:$E,入库流水账!$C:$C,$B9,入库流水账!$B:$B,R$3)</f>
        <v>0</v>
      </c>
      <c r="S9" s="51">
        <f>SUMIFS(出库流水账!$E:$E,出库流水账!$C:$C,$B9,出库流水账!$B:$B,R$3)</f>
        <v>0</v>
      </c>
      <c r="T9" s="51">
        <f>SUMIFS(入库流水账!$E:$E,入库流水账!$C:$C,$B9,入库流水账!$B:$B,T$3)</f>
        <v>6</v>
      </c>
      <c r="U9" s="51">
        <f>SUMIFS(出库流水账!$E:$E,出库流水账!$C:$C,$B9,出库流水账!$B:$B,T$3)</f>
        <v>1</v>
      </c>
      <c r="V9" s="51">
        <f>SUMIFS(入库流水账!$E:$E,入库流水账!$C:$C,$B9,入库流水账!$B:$B,V$3)</f>
        <v>0</v>
      </c>
      <c r="W9" s="51">
        <f>SUMIFS(出库流水账!$E:$E,出库流水账!$C:$C,$B9,出库流水账!$B:$B,V$3)</f>
        <v>0</v>
      </c>
      <c r="X9" s="51">
        <f>SUMIFS(入库流水账!$E:$E,入库流水账!$C:$C,$B9,入库流水账!$B:$B,X$3)</f>
        <v>0</v>
      </c>
      <c r="Y9" s="51">
        <f>SUMIFS(出库流水账!$E:$E,出库流水账!$C:$C,$B9,出库流水账!$B:$B,X$3)</f>
        <v>1</v>
      </c>
      <c r="Z9" s="51">
        <f>SUMIFS(入库流水账!$E:$E,入库流水账!$C:$C,$B9,入库流水账!$B:$B,Z$3)</f>
        <v>0</v>
      </c>
      <c r="AA9" s="51">
        <f>SUMIFS(出库流水账!$E:$E,出库流水账!$C:$C,$B9,出库流水账!$B:$B,Z$3)</f>
        <v>0</v>
      </c>
      <c r="AB9" s="51">
        <f>SUMIFS(入库流水账!$E:$E,入库流水账!$C:$C,$B9,入库流水账!$B:$B,AB$3)</f>
        <v>0</v>
      </c>
      <c r="AC9" s="51">
        <f>SUMIFS(出库流水账!$E:$E,出库流水账!$C:$C,$B9,出库流水账!$B:$B,AB$3)</f>
        <v>0</v>
      </c>
      <c r="AD9" s="51">
        <f>SUMIFS(入库流水账!$E:$E,入库流水账!$C:$C,$B9,入库流水账!$B:$B,AD$3)</f>
        <v>0</v>
      </c>
      <c r="AE9" s="51">
        <f>SUMIFS(出库流水账!$E:$E,出库流水账!$C:$C,$B9,出库流水账!$B:$B,AD$3)</f>
        <v>2</v>
      </c>
      <c r="AF9" s="51">
        <f>SUMIFS(入库流水账!$E:$E,入库流水账!$C:$C,$B9,入库流水账!$B:$B,AF$3)</f>
        <v>0</v>
      </c>
      <c r="AG9" s="51">
        <f>SUMIFS(出库流水账!$E:$E,出库流水账!$C:$C,$B9,出库流水账!$B:$B,AF$3)</f>
        <v>0</v>
      </c>
      <c r="AH9" s="51">
        <f>SUMIFS(入库流水账!$E:$E,入库流水账!$C:$C,$B9,入库流水账!$B:$B,AH$3)</f>
        <v>0</v>
      </c>
      <c r="AI9" s="51">
        <f>SUMIFS(出库流水账!$E:$E,出库流水账!$C:$C,$B9,出库流水账!$B:$B,AH$3)</f>
        <v>0</v>
      </c>
      <c r="AJ9" s="51">
        <f>SUMIFS(入库流水账!$E:$E,入库流水账!$C:$C,$B9,入库流水账!$B:$B,AJ$3)</f>
        <v>0</v>
      </c>
      <c r="AK9" s="51">
        <f>SUMIFS(出库流水账!$E:$E,出库流水账!$C:$C,$B9,出库流水账!$B:$B,AJ$3)</f>
        <v>1</v>
      </c>
      <c r="AL9" s="51">
        <f>SUMIFS(入库流水账!$E:$E,入库流水账!$C:$C,$B9,入库流水账!$B:$B,AL$3)</f>
        <v>0</v>
      </c>
      <c r="AM9" s="51">
        <f>SUMIFS(出库流水账!$E:$E,出库流水账!$C:$C,$B9,出库流水账!$B:$B,AL$3)</f>
        <v>1</v>
      </c>
      <c r="AN9" s="51">
        <f>SUMIFS(入库流水账!$E:$E,入库流水账!$C:$C,$B9,入库流水账!$B:$B,AN$3)</f>
        <v>0</v>
      </c>
      <c r="AO9" s="51">
        <f>SUMIFS(出库流水账!$E:$E,出库流水账!$C:$C,$B9,出库流水账!$B:$B,AN$3)</f>
        <v>0</v>
      </c>
      <c r="AP9" s="51">
        <f>SUMIFS(入库流水账!$E:$E,入库流水账!$C:$C,$B9,入库流水账!$B:$B,AP$3)</f>
        <v>0</v>
      </c>
      <c r="AQ9" s="51">
        <f>SUMIFS(出库流水账!$E:$E,出库流水账!$C:$C,$B9,出库流水账!$B:$B,AP$3)</f>
        <v>0</v>
      </c>
      <c r="AR9" s="51">
        <f>SUMIFS(入库流水账!$E:$E,入库流水账!$C:$C,$B9,入库流水账!$B:$B,AR$3)</f>
        <v>0</v>
      </c>
      <c r="AS9" s="51">
        <f>SUMIFS(出库流水账!$E:$E,出库流水账!$C:$C,$B9,出库流水账!$B:$B,AR$3)</f>
        <v>2</v>
      </c>
      <c r="AT9" s="51">
        <f>SUMIFS(入库流水账!$E:$E,入库流水账!$C:$C,$B9,入库流水账!$B:$B,AT$3)</f>
        <v>0</v>
      </c>
      <c r="AU9" s="51">
        <f>SUMIFS(出库流水账!$E:$E,出库流水账!$C:$C,$B9,出库流水账!$B:$B,AT$3)</f>
        <v>1</v>
      </c>
      <c r="AV9" s="51">
        <f>SUMIFS(入库流水账!$E:$E,入库流水账!$C:$C,$B9,入库流水账!$B:$B,AV$3)</f>
        <v>18</v>
      </c>
      <c r="AW9" s="51">
        <f>SUMIFS(出库流水账!$E:$E,出库流水账!$C:$C,$B9,出库流水账!$B:$B,AV$3)</f>
        <v>1</v>
      </c>
      <c r="AX9" s="51">
        <f>SUMIFS(入库流水账!$E:$E,入库流水账!$C:$C,$B9,入库流水账!$B:$B,AX$3)</f>
        <v>0</v>
      </c>
      <c r="AY9" s="51">
        <f>SUMIFS(出库流水账!$E:$E,出库流水账!$C:$C,$B9,出库流水账!$B:$B,AX$3)</f>
        <v>0</v>
      </c>
      <c r="AZ9" s="51">
        <f>SUMIFS(入库流水账!$E:$E,入库流水账!$C:$C,$B9,入库流水账!$B:$B,AZ$3)</f>
        <v>0</v>
      </c>
      <c r="BA9" s="51">
        <f>SUMIFS(出库流水账!$E:$E,出库流水账!$C:$C,$B9,出库流水账!$B:$B,AZ$3)</f>
        <v>1</v>
      </c>
      <c r="BB9" s="51">
        <f>SUMIFS(入库流水账!$E:$E,入库流水账!$C:$C,$B9,入库流水账!$B:$B,BB$3)</f>
        <v>0</v>
      </c>
      <c r="BC9" s="51">
        <f>SUMIFS(出库流水账!$E:$E,出库流水账!$C:$C,$B9,出库流水账!$B:$B,BB$3)</f>
        <v>0</v>
      </c>
      <c r="BD9" s="51">
        <f>SUMIFS(入库流水账!$E:$E,入库流水账!$C:$C,$B9,入库流水账!$B:$B,BD$3)</f>
        <v>0</v>
      </c>
      <c r="BE9" s="51">
        <f>SUMIFS(出库流水账!$E:$E,出库流水账!$C:$C,$B9,出库流水账!$B:$B,BD$3)</f>
        <v>0</v>
      </c>
      <c r="BF9" s="51">
        <f>SUMIFS(入库流水账!$E:$E,入库流水账!$C:$C,$B9,入库流水账!$B:$B,BF$3)</f>
        <v>0</v>
      </c>
      <c r="BG9" s="51">
        <f>SUMIFS(出库流水账!$E:$E,出库流水账!$C:$C,$B9,出库流水账!$B:$B,BF$3)</f>
        <v>0</v>
      </c>
      <c r="BH9" s="51">
        <f>SUMIFS(入库流水账!$E:$E,入库流水账!$C:$C,$B9,入库流水账!$B:$B,BH$3)</f>
        <v>0</v>
      </c>
      <c r="BI9" s="51">
        <f>SUMIFS(出库流水账!$E:$E,出库流水账!$C:$C,$B9,出库流水账!$B:$B,BH$3)</f>
        <v>0</v>
      </c>
      <c r="BJ9" s="51">
        <f>SUMIFS(入库流水账!$E:$E,入库流水账!$C:$C,$B9,入库流水账!$B:$B,BJ$3)</f>
        <v>0</v>
      </c>
      <c r="BK9" s="51">
        <f>SUMIFS(出库流水账!$E:$E,出库流水账!$C:$C,$B9,出库流水账!$B:$B,BJ$3)</f>
        <v>1</v>
      </c>
      <c r="BL9" s="51">
        <f>SUMIFS(入库流水账!$E:$E,入库流水账!$C:$C,$B9,入库流水账!$B:$B,BL$3)</f>
        <v>0</v>
      </c>
      <c r="BM9" s="51">
        <f>SUMIFS(出库流水账!$E:$E,出库流水账!$C:$C,$B9,出库流水账!$B:$B,BL$3)</f>
        <v>1</v>
      </c>
      <c r="BN9" s="51">
        <f>SUMIFS(入库流水账!$E:$E,入库流水账!$C:$C,$B9,入库流水账!$B:$B,BN$3)</f>
        <v>0</v>
      </c>
      <c r="BO9" s="51">
        <f>SUMIFS(出库流水账!$E:$E,出库流水账!$C:$C,$B9,出库流水账!$B:$B,BN$3)</f>
        <v>1</v>
      </c>
      <c r="BP9" s="51">
        <f>SUMIFS(入库流水账!$E:$E,入库流水账!$C:$C,$B9,入库流水账!$B:$B,BP$3)</f>
        <v>0</v>
      </c>
      <c r="BQ9" s="51">
        <f>SUMIFS(出库流水账!$E:$E,出库流水账!$C:$C,$B9,出库流水账!$B:$B,BP$3)</f>
        <v>0</v>
      </c>
    </row>
    <row r="10" s="35" customFormat="1" ht="18" customHeight="1" spans="1:69">
      <c r="A10" s="46">
        <f>ROW()-4</f>
        <v>6</v>
      </c>
      <c r="B10" s="47" t="s">
        <v>44</v>
      </c>
      <c r="C10" s="48" t="str">
        <f>IFERROR(VLOOKUP(B10,产品数据!$B:$D,3,FALSE),"")</f>
        <v>瓶</v>
      </c>
      <c r="D10" s="23">
        <f>'[2]米油调味品台账表 12月      '!G11</f>
        <v>10</v>
      </c>
      <c r="E10" s="46">
        <f>SUMIF($H$4:$BQ$4,$E$2,H10:BQ10)</f>
        <v>6</v>
      </c>
      <c r="F10" s="46">
        <f>SUMIF($H$4:$BQ$4,$F$2,H10:BQ10)</f>
        <v>11</v>
      </c>
      <c r="G10" s="50">
        <f>D10+E10-F10</f>
        <v>5</v>
      </c>
      <c r="H10" s="51">
        <f>SUMIFS(入库流水账!$E:$E,入库流水账!$C:$C,$B10,入库流水账!$B:$B,H$3)</f>
        <v>0</v>
      </c>
      <c r="I10" s="51">
        <f>SUMIFS(出库流水账!$E:$E,出库流水账!$C:$C,$B10,出库流水账!$B:$B,H$3)</f>
        <v>0</v>
      </c>
      <c r="J10" s="51">
        <f>SUMIFS(入库流水账!$E:$E,入库流水账!$C:$C,$B10,入库流水账!$B:$B,J$3)</f>
        <v>0</v>
      </c>
      <c r="K10" s="51">
        <f>SUMIFS(出库流水账!$E:$E,出库流水账!$C:$C,$B10,出库流水账!$B:$B,J$3)</f>
        <v>0</v>
      </c>
      <c r="L10" s="51">
        <f>SUMIFS(入库流水账!$E:$E,入库流水账!$C:$C,$B10,入库流水账!$B:$B,L$3)</f>
        <v>0</v>
      </c>
      <c r="M10" s="51">
        <f>SUMIFS(出库流水账!$E:$E,出库流水账!$C:$C,$B10,出库流水账!$B:$B,L$3)</f>
        <v>0</v>
      </c>
      <c r="N10" s="51">
        <f>SUMIFS(入库流水账!$E:$E,入库流水账!$C:$C,$B10,入库流水账!$B:$B,N$3)</f>
        <v>0</v>
      </c>
      <c r="O10" s="51">
        <f>SUMIFS(出库流水账!$E:$E,出库流水账!$C:$C,$B10,出库流水账!$B:$B,N$3)</f>
        <v>0</v>
      </c>
      <c r="P10" s="51">
        <f>SUMIFS(入库流水账!$E:$E,入库流水账!$C:$C,$B10,入库流水账!$B:$B,P$3)</f>
        <v>0</v>
      </c>
      <c r="Q10" s="51">
        <f>SUMIFS(出库流水账!$E:$E,出库流水账!$C:$C,$B10,出库流水账!$B:$B,P$3)</f>
        <v>0</v>
      </c>
      <c r="R10" s="51">
        <f>SUMIFS(入库流水账!$E:$E,入库流水账!$C:$C,$B10,入库流水账!$B:$B,R$3)</f>
        <v>0</v>
      </c>
      <c r="S10" s="51">
        <f>SUMIFS(出库流水账!$E:$E,出库流水账!$C:$C,$B10,出库流水账!$B:$B,R$3)</f>
        <v>1</v>
      </c>
      <c r="T10" s="51">
        <f>SUMIFS(入库流水账!$E:$E,入库流水账!$C:$C,$B10,入库流水账!$B:$B,T$3)</f>
        <v>0</v>
      </c>
      <c r="U10" s="51">
        <f>SUMIFS(出库流水账!$E:$E,出库流水账!$C:$C,$B10,出库流水账!$B:$B,T$3)</f>
        <v>1</v>
      </c>
      <c r="V10" s="51">
        <f>SUMIFS(入库流水账!$E:$E,入库流水账!$C:$C,$B10,入库流水账!$B:$B,V$3)</f>
        <v>0</v>
      </c>
      <c r="W10" s="51">
        <f>SUMIFS(出库流水账!$E:$E,出库流水账!$C:$C,$B10,出库流水账!$B:$B,V$3)</f>
        <v>0</v>
      </c>
      <c r="X10" s="51">
        <f>SUMIFS(入库流水账!$E:$E,入库流水账!$C:$C,$B10,入库流水账!$B:$B,X$3)</f>
        <v>0</v>
      </c>
      <c r="Y10" s="51">
        <f>SUMIFS(出库流水账!$E:$E,出库流水账!$C:$C,$B10,出库流水账!$B:$B,X$3)</f>
        <v>1</v>
      </c>
      <c r="Z10" s="51">
        <f>SUMIFS(入库流水账!$E:$E,入库流水账!$C:$C,$B10,入库流水账!$B:$B,Z$3)</f>
        <v>0</v>
      </c>
      <c r="AA10" s="51">
        <f>SUMIFS(出库流水账!$E:$E,出库流水账!$C:$C,$B10,出库流水账!$B:$B,Z$3)</f>
        <v>0</v>
      </c>
      <c r="AB10" s="51">
        <f>SUMIFS(入库流水账!$E:$E,入库流水账!$C:$C,$B10,入库流水账!$B:$B,AB$3)</f>
        <v>0</v>
      </c>
      <c r="AC10" s="51">
        <f>SUMIFS(出库流水账!$E:$E,出库流水账!$C:$C,$B10,出库流水账!$B:$B,AB$3)</f>
        <v>0</v>
      </c>
      <c r="AD10" s="51">
        <f>SUMIFS(入库流水账!$E:$E,入库流水账!$C:$C,$B10,入库流水账!$B:$B,AD$3)</f>
        <v>0</v>
      </c>
      <c r="AE10" s="51">
        <f>SUMIFS(出库流水账!$E:$E,出库流水账!$C:$C,$B10,出库流水账!$B:$B,AD$3)</f>
        <v>1</v>
      </c>
      <c r="AF10" s="51">
        <f>SUMIFS(入库流水账!$E:$E,入库流水账!$C:$C,$B10,入库流水账!$B:$B,AF$3)</f>
        <v>0</v>
      </c>
      <c r="AG10" s="51">
        <f>SUMIFS(出库流水账!$E:$E,出库流水账!$C:$C,$B10,出库流水账!$B:$B,AF$3)</f>
        <v>0</v>
      </c>
      <c r="AH10" s="51">
        <f>SUMIFS(入库流水账!$E:$E,入库流水账!$C:$C,$B10,入库流水账!$B:$B,AH$3)</f>
        <v>0</v>
      </c>
      <c r="AI10" s="51">
        <f>SUMIFS(出库流水账!$E:$E,出库流水账!$C:$C,$B10,出库流水账!$B:$B,AH$3)</f>
        <v>0</v>
      </c>
      <c r="AJ10" s="51">
        <f>SUMIFS(入库流水账!$E:$E,入库流水账!$C:$C,$B10,入库流水账!$B:$B,AJ$3)</f>
        <v>0</v>
      </c>
      <c r="AK10" s="51">
        <f>SUMIFS(出库流水账!$E:$E,出库流水账!$C:$C,$B10,出库流水账!$B:$B,AJ$3)</f>
        <v>1</v>
      </c>
      <c r="AL10" s="51">
        <f>SUMIFS(入库流水账!$E:$E,入库流水账!$C:$C,$B10,入库流水账!$B:$B,AL$3)</f>
        <v>0</v>
      </c>
      <c r="AM10" s="51">
        <f>SUMIFS(出库流水账!$E:$E,出库流水账!$C:$C,$B10,出库流水账!$B:$B,AL$3)</f>
        <v>0</v>
      </c>
      <c r="AN10" s="51">
        <f>SUMIFS(入库流水账!$E:$E,入库流水账!$C:$C,$B10,入库流水账!$B:$B,AN$3)</f>
        <v>0</v>
      </c>
      <c r="AO10" s="51">
        <f>SUMIFS(出库流水账!$E:$E,出库流水账!$C:$C,$B10,出库流水账!$B:$B,AN$3)</f>
        <v>0</v>
      </c>
      <c r="AP10" s="51">
        <f>SUMIFS(入库流水账!$E:$E,入库流水账!$C:$C,$B10,入库流水账!$B:$B,AP$3)</f>
        <v>0</v>
      </c>
      <c r="AQ10" s="51">
        <f>SUMIFS(出库流水账!$E:$E,出库流水账!$C:$C,$B10,出库流水账!$B:$B,AP$3)</f>
        <v>0</v>
      </c>
      <c r="AR10" s="51">
        <f>SUMIFS(入库流水账!$E:$E,入库流水账!$C:$C,$B10,入库流水账!$B:$B,AR$3)</f>
        <v>0</v>
      </c>
      <c r="AS10" s="51">
        <f>SUMIFS(出库流水账!$E:$E,出库流水账!$C:$C,$B10,出库流水账!$B:$B,AR$3)</f>
        <v>1</v>
      </c>
      <c r="AT10" s="51">
        <f>SUMIFS(入库流水账!$E:$E,入库流水账!$C:$C,$B10,入库流水账!$B:$B,AT$3)</f>
        <v>6</v>
      </c>
      <c r="AU10" s="51">
        <f>SUMIFS(出库流水账!$E:$E,出库流水账!$C:$C,$B10,出库流水账!$B:$B,AT$3)</f>
        <v>0</v>
      </c>
      <c r="AV10" s="51">
        <f>SUMIFS(入库流水账!$E:$E,入库流水账!$C:$C,$B10,入库流水账!$B:$B,AV$3)</f>
        <v>0</v>
      </c>
      <c r="AW10" s="51">
        <f>SUMIFS(出库流水账!$E:$E,出库流水账!$C:$C,$B10,出库流水账!$B:$B,AV$3)</f>
        <v>1</v>
      </c>
      <c r="AX10" s="51">
        <f>SUMIFS(入库流水账!$E:$E,入库流水账!$C:$C,$B10,入库流水账!$B:$B,AX$3)</f>
        <v>0</v>
      </c>
      <c r="AY10" s="51">
        <f>SUMIFS(出库流水账!$E:$E,出库流水账!$C:$C,$B10,出库流水账!$B:$B,AX$3)</f>
        <v>0</v>
      </c>
      <c r="AZ10" s="51">
        <f>SUMIFS(入库流水账!$E:$E,入库流水账!$C:$C,$B10,入库流水账!$B:$B,AZ$3)</f>
        <v>0</v>
      </c>
      <c r="BA10" s="51">
        <f>SUMIFS(出库流水账!$E:$E,出库流水账!$C:$C,$B10,出库流水账!$B:$B,AZ$3)</f>
        <v>1</v>
      </c>
      <c r="BB10" s="51">
        <f>SUMIFS(入库流水账!$E:$E,入库流水账!$C:$C,$B10,入库流水账!$B:$B,BB$3)</f>
        <v>0</v>
      </c>
      <c r="BC10" s="51">
        <f>SUMIFS(出库流水账!$E:$E,出库流水账!$C:$C,$B10,出库流水账!$B:$B,BB$3)</f>
        <v>0</v>
      </c>
      <c r="BD10" s="51">
        <f>SUMIFS(入库流水账!$E:$E,入库流水账!$C:$C,$B10,入库流水账!$B:$B,BD$3)</f>
        <v>0</v>
      </c>
      <c r="BE10" s="51">
        <f>SUMIFS(出库流水账!$E:$E,出库流水账!$C:$C,$B10,出库流水账!$B:$B,BD$3)</f>
        <v>0</v>
      </c>
      <c r="BF10" s="51">
        <f>SUMIFS(入库流水账!$E:$E,入库流水账!$C:$C,$B10,入库流水账!$B:$B,BF$3)</f>
        <v>0</v>
      </c>
      <c r="BG10" s="51">
        <f>SUMIFS(出库流水账!$E:$E,出库流水账!$C:$C,$B10,出库流水账!$B:$B,BF$3)</f>
        <v>1</v>
      </c>
      <c r="BH10" s="51">
        <f>SUMIFS(入库流水账!$E:$E,入库流水账!$C:$C,$B10,入库流水账!$B:$B,BH$3)</f>
        <v>0</v>
      </c>
      <c r="BI10" s="51">
        <f>SUMIFS(出库流水账!$E:$E,出库流水账!$C:$C,$B10,出库流水账!$B:$B,BH$3)</f>
        <v>0</v>
      </c>
      <c r="BJ10" s="51">
        <f>SUMIFS(入库流水账!$E:$E,入库流水账!$C:$C,$B10,入库流水账!$B:$B,BJ$3)</f>
        <v>0</v>
      </c>
      <c r="BK10" s="51">
        <f>SUMIFS(出库流水账!$E:$E,出库流水账!$C:$C,$B10,出库流水账!$B:$B,BJ$3)</f>
        <v>1</v>
      </c>
      <c r="BL10" s="51">
        <f>SUMIFS(入库流水账!$E:$E,入库流水账!$C:$C,$B10,入库流水账!$B:$B,BL$3)</f>
        <v>0</v>
      </c>
      <c r="BM10" s="51">
        <f>SUMIFS(出库流水账!$E:$E,出库流水账!$C:$C,$B10,出库流水账!$B:$B,BL$3)</f>
        <v>1</v>
      </c>
      <c r="BN10" s="51">
        <f>SUMIFS(入库流水账!$E:$E,入库流水账!$C:$C,$B10,入库流水账!$B:$B,BN$3)</f>
        <v>0</v>
      </c>
      <c r="BO10" s="51">
        <f>SUMIFS(出库流水账!$E:$E,出库流水账!$C:$C,$B10,出库流水账!$B:$B,BN$3)</f>
        <v>0</v>
      </c>
      <c r="BP10" s="51">
        <f>SUMIFS(入库流水账!$E:$E,入库流水账!$C:$C,$B10,入库流水账!$B:$B,BP$3)</f>
        <v>0</v>
      </c>
      <c r="BQ10" s="51">
        <f>SUMIFS(出库流水账!$E:$E,出库流水账!$C:$C,$B10,出库流水账!$B:$B,BP$3)</f>
        <v>0</v>
      </c>
    </row>
    <row r="11" s="35" customFormat="1" ht="18" customHeight="1" spans="1:69">
      <c r="A11" s="46">
        <f>ROW()-4</f>
        <v>7</v>
      </c>
      <c r="B11" s="47" t="s">
        <v>45</v>
      </c>
      <c r="C11" s="48" t="str">
        <f>IFERROR(VLOOKUP(B11,产品数据!$B:$D,3,FALSE),"")</f>
        <v>瓶</v>
      </c>
      <c r="D11" s="23">
        <v>3</v>
      </c>
      <c r="E11" s="46">
        <f>SUMIF($H$4:$BQ$4,$E$2,H11:BQ11)</f>
        <v>6</v>
      </c>
      <c r="F11" s="46">
        <f>SUMIF($H$4:$BQ$4,$F$2,H11:BQ11)</f>
        <v>4</v>
      </c>
      <c r="G11" s="50">
        <f>D11+E11-F11</f>
        <v>5</v>
      </c>
      <c r="H11" s="51">
        <f>SUMIFS(入库流水账!$E:$E,入库流水账!$C:$C,$B11,入库流水账!$B:$B,H$3)</f>
        <v>0</v>
      </c>
      <c r="I11" s="51">
        <f>SUMIFS(出库流水账!$E:$E,出库流水账!$C:$C,$B11,出库流水账!$B:$B,H$3)</f>
        <v>0</v>
      </c>
      <c r="J11" s="51">
        <f>SUMIFS(入库流水账!$E:$E,入库流水账!$C:$C,$B11,入库流水账!$B:$B,J$3)</f>
        <v>0</v>
      </c>
      <c r="K11" s="51">
        <f>SUMIFS(出库流水账!$E:$E,出库流水账!$C:$C,$B11,出库流水账!$B:$B,J$3)</f>
        <v>0</v>
      </c>
      <c r="L11" s="51">
        <f>SUMIFS(入库流水账!$E:$E,入库流水账!$C:$C,$B11,入库流水账!$B:$B,L$3)</f>
        <v>0</v>
      </c>
      <c r="M11" s="51">
        <f>SUMIFS(出库流水账!$E:$E,出库流水账!$C:$C,$B11,出库流水账!$B:$B,L$3)</f>
        <v>0</v>
      </c>
      <c r="N11" s="51">
        <f>SUMIFS(入库流水账!$E:$E,入库流水账!$C:$C,$B11,入库流水账!$B:$B,N$3)</f>
        <v>0</v>
      </c>
      <c r="O11" s="51">
        <f>SUMIFS(出库流水账!$E:$E,出库流水账!$C:$C,$B11,出库流水账!$B:$B,N$3)</f>
        <v>0</v>
      </c>
      <c r="P11" s="51">
        <f>SUMIFS(入库流水账!$E:$E,入库流水账!$C:$C,$B11,入库流水账!$B:$B,P$3)</f>
        <v>0</v>
      </c>
      <c r="Q11" s="51">
        <f>SUMIFS(出库流水账!$E:$E,出库流水账!$C:$C,$B11,出库流水账!$B:$B,P$3)</f>
        <v>0</v>
      </c>
      <c r="R11" s="51">
        <f>SUMIFS(入库流水账!$E:$E,入库流水账!$C:$C,$B11,入库流水账!$B:$B,R$3)</f>
        <v>0</v>
      </c>
      <c r="S11" s="51">
        <f>SUMIFS(出库流水账!$E:$E,出库流水账!$C:$C,$B11,出库流水账!$B:$B,R$3)</f>
        <v>1</v>
      </c>
      <c r="T11" s="51">
        <f>SUMIFS(入库流水账!$E:$E,入库流水账!$C:$C,$B11,入库流水账!$B:$B,T$3)</f>
        <v>6</v>
      </c>
      <c r="U11" s="51">
        <f>SUMIFS(出库流水账!$E:$E,出库流水账!$C:$C,$B11,出库流水账!$B:$B,T$3)</f>
        <v>0</v>
      </c>
      <c r="V11" s="51">
        <f>SUMIFS(入库流水账!$E:$E,入库流水账!$C:$C,$B11,入库流水账!$B:$B,V$3)</f>
        <v>0</v>
      </c>
      <c r="W11" s="51">
        <f>SUMIFS(出库流水账!$E:$E,出库流水账!$C:$C,$B11,出库流水账!$B:$B,V$3)</f>
        <v>0</v>
      </c>
      <c r="X11" s="51">
        <f>SUMIFS(入库流水账!$E:$E,入库流水账!$C:$C,$B11,入库流水账!$B:$B,X$3)</f>
        <v>0</v>
      </c>
      <c r="Y11" s="51">
        <f>SUMIFS(出库流水账!$E:$E,出库流水账!$C:$C,$B11,出库流水账!$B:$B,X$3)</f>
        <v>0</v>
      </c>
      <c r="Z11" s="51">
        <f>SUMIFS(入库流水账!$E:$E,入库流水账!$C:$C,$B11,入库流水账!$B:$B,Z$3)</f>
        <v>0</v>
      </c>
      <c r="AA11" s="51">
        <f>SUMIFS(出库流水账!$E:$E,出库流水账!$C:$C,$B11,出库流水账!$B:$B,Z$3)</f>
        <v>0</v>
      </c>
      <c r="AB11" s="51">
        <f>SUMIFS(入库流水账!$E:$E,入库流水账!$C:$C,$B11,入库流水账!$B:$B,AB$3)</f>
        <v>0</v>
      </c>
      <c r="AC11" s="51">
        <f>SUMIFS(出库流水账!$E:$E,出库流水账!$C:$C,$B11,出库流水账!$B:$B,AB$3)</f>
        <v>0</v>
      </c>
      <c r="AD11" s="51">
        <f>SUMIFS(入库流水账!$E:$E,入库流水账!$C:$C,$B11,入库流水账!$B:$B,AD$3)</f>
        <v>0</v>
      </c>
      <c r="AE11" s="51">
        <f>SUMIFS(出库流水账!$E:$E,出库流水账!$C:$C,$B11,出库流水账!$B:$B,AD$3)</f>
        <v>0</v>
      </c>
      <c r="AF11" s="51">
        <f>SUMIFS(入库流水账!$E:$E,入库流水账!$C:$C,$B11,入库流水账!$B:$B,AF$3)</f>
        <v>0</v>
      </c>
      <c r="AG11" s="51">
        <f>SUMIFS(出库流水账!$E:$E,出库流水账!$C:$C,$B11,出库流水账!$B:$B,AF$3)</f>
        <v>1</v>
      </c>
      <c r="AH11" s="51">
        <f>SUMIFS(入库流水账!$E:$E,入库流水账!$C:$C,$B11,入库流水账!$B:$B,AH$3)</f>
        <v>0</v>
      </c>
      <c r="AI11" s="51">
        <f>SUMIFS(出库流水账!$E:$E,出库流水账!$C:$C,$B11,出库流水账!$B:$B,AH$3)</f>
        <v>1</v>
      </c>
      <c r="AJ11" s="51">
        <f>SUMIFS(入库流水账!$E:$E,入库流水账!$C:$C,$B11,入库流水账!$B:$B,AJ$3)</f>
        <v>0</v>
      </c>
      <c r="AK11" s="51">
        <f>SUMIFS(出库流水账!$E:$E,出库流水账!$C:$C,$B11,出库流水账!$B:$B,AJ$3)</f>
        <v>0</v>
      </c>
      <c r="AL11" s="51">
        <f>SUMIFS(入库流水账!$E:$E,入库流水账!$C:$C,$B11,入库流水账!$B:$B,AL$3)</f>
        <v>0</v>
      </c>
      <c r="AM11" s="51">
        <f>SUMIFS(出库流水账!$E:$E,出库流水账!$C:$C,$B11,出库流水账!$B:$B,AL$3)</f>
        <v>0</v>
      </c>
      <c r="AN11" s="51">
        <f>SUMIFS(入库流水账!$E:$E,入库流水账!$C:$C,$B11,入库流水账!$B:$B,AN$3)</f>
        <v>0</v>
      </c>
      <c r="AO11" s="51">
        <f>SUMIFS(出库流水账!$E:$E,出库流水账!$C:$C,$B11,出库流水账!$B:$B,AN$3)</f>
        <v>0</v>
      </c>
      <c r="AP11" s="51">
        <f>SUMIFS(入库流水账!$E:$E,入库流水账!$C:$C,$B11,入库流水账!$B:$B,AP$3)</f>
        <v>0</v>
      </c>
      <c r="AQ11" s="51">
        <f>SUMIFS(出库流水账!$E:$E,出库流水账!$C:$C,$B11,出库流水账!$B:$B,AP$3)</f>
        <v>0</v>
      </c>
      <c r="AR11" s="51">
        <f>SUMIFS(入库流水账!$E:$E,入库流水账!$C:$C,$B11,入库流水账!$B:$B,AR$3)</f>
        <v>0</v>
      </c>
      <c r="AS11" s="51">
        <f>SUMIFS(出库流水账!$E:$E,出库流水账!$C:$C,$B11,出库流水账!$B:$B,AR$3)</f>
        <v>0</v>
      </c>
      <c r="AT11" s="51">
        <f>SUMIFS(入库流水账!$E:$E,入库流水账!$C:$C,$B11,入库流水账!$B:$B,AT$3)</f>
        <v>0</v>
      </c>
      <c r="AU11" s="51">
        <f>SUMIFS(出库流水账!$E:$E,出库流水账!$C:$C,$B11,出库流水账!$B:$B,AT$3)</f>
        <v>0</v>
      </c>
      <c r="AV11" s="51">
        <f>SUMIFS(入库流水账!$E:$E,入库流水账!$C:$C,$B11,入库流水账!$B:$B,AV$3)</f>
        <v>0</v>
      </c>
      <c r="AW11" s="51">
        <f>SUMIFS(出库流水账!$E:$E,出库流水账!$C:$C,$B11,出库流水账!$B:$B,AV$3)</f>
        <v>0</v>
      </c>
      <c r="AX11" s="51">
        <f>SUMIFS(入库流水账!$E:$E,入库流水账!$C:$C,$B11,入库流水账!$B:$B,AX$3)</f>
        <v>0</v>
      </c>
      <c r="AY11" s="51">
        <f>SUMIFS(出库流水账!$E:$E,出库流水账!$C:$C,$B11,出库流水账!$B:$B,AX$3)</f>
        <v>0</v>
      </c>
      <c r="AZ11" s="51">
        <f>SUMIFS(入库流水账!$E:$E,入库流水账!$C:$C,$B11,入库流水账!$B:$B,AZ$3)</f>
        <v>0</v>
      </c>
      <c r="BA11" s="51">
        <f>SUMIFS(出库流水账!$E:$E,出库流水账!$C:$C,$B11,出库流水账!$B:$B,AZ$3)</f>
        <v>0</v>
      </c>
      <c r="BB11" s="51">
        <f>SUMIFS(入库流水账!$E:$E,入库流水账!$C:$C,$B11,入库流水账!$B:$B,BB$3)</f>
        <v>0</v>
      </c>
      <c r="BC11" s="51">
        <f>SUMIFS(出库流水账!$E:$E,出库流水账!$C:$C,$B11,出库流水账!$B:$B,BB$3)</f>
        <v>0</v>
      </c>
      <c r="BD11" s="51">
        <f>SUMIFS(入库流水账!$E:$E,入库流水账!$C:$C,$B11,入库流水账!$B:$B,BD$3)</f>
        <v>0</v>
      </c>
      <c r="BE11" s="51">
        <f>SUMIFS(出库流水账!$E:$E,出库流水账!$C:$C,$B11,出库流水账!$B:$B,BD$3)</f>
        <v>0</v>
      </c>
      <c r="BF11" s="51">
        <f>SUMIFS(入库流水账!$E:$E,入库流水账!$C:$C,$B11,入库流水账!$B:$B,BF$3)</f>
        <v>0</v>
      </c>
      <c r="BG11" s="51">
        <f>SUMIFS(出库流水账!$E:$E,出库流水账!$C:$C,$B11,出库流水账!$B:$B,BF$3)</f>
        <v>0</v>
      </c>
      <c r="BH11" s="51">
        <f>SUMIFS(入库流水账!$E:$E,入库流水账!$C:$C,$B11,入库流水账!$B:$B,BH$3)</f>
        <v>0</v>
      </c>
      <c r="BI11" s="51">
        <f>SUMIFS(出库流水账!$E:$E,出库流水账!$C:$C,$B11,出库流水账!$B:$B,BH$3)</f>
        <v>0</v>
      </c>
      <c r="BJ11" s="51">
        <f>SUMIFS(入库流水账!$E:$E,入库流水账!$C:$C,$B11,入库流水账!$B:$B,BJ$3)</f>
        <v>0</v>
      </c>
      <c r="BK11" s="51">
        <f>SUMIFS(出库流水账!$E:$E,出库流水账!$C:$C,$B11,出库流水账!$B:$B,BJ$3)</f>
        <v>0</v>
      </c>
      <c r="BL11" s="51">
        <f>SUMIFS(入库流水账!$E:$E,入库流水账!$C:$C,$B11,入库流水账!$B:$B,BL$3)</f>
        <v>0</v>
      </c>
      <c r="BM11" s="51">
        <f>SUMIFS(出库流水账!$E:$E,出库流水账!$C:$C,$B11,出库流水账!$B:$B,BL$3)</f>
        <v>0</v>
      </c>
      <c r="BN11" s="51">
        <f>SUMIFS(入库流水账!$E:$E,入库流水账!$C:$C,$B11,入库流水账!$B:$B,BN$3)</f>
        <v>0</v>
      </c>
      <c r="BO11" s="51">
        <f>SUMIFS(出库流水账!$E:$E,出库流水账!$C:$C,$B11,出库流水账!$B:$B,BN$3)</f>
        <v>1</v>
      </c>
      <c r="BP11" s="51">
        <f>SUMIFS(入库流水账!$E:$E,入库流水账!$C:$C,$B11,入库流水账!$B:$B,BP$3)</f>
        <v>0</v>
      </c>
      <c r="BQ11" s="51">
        <f>SUMIFS(出库流水账!$E:$E,出库流水账!$C:$C,$B11,出库流水账!$B:$B,BP$3)</f>
        <v>0</v>
      </c>
    </row>
    <row r="12" s="35" customFormat="1" ht="18" customHeight="1" spans="1:69">
      <c r="A12" s="46">
        <f>ROW()-4</f>
        <v>8</v>
      </c>
      <c r="B12" s="47" t="s">
        <v>46</v>
      </c>
      <c r="C12" s="48" t="str">
        <f>IFERROR(VLOOKUP(B12,产品数据!$B:$D,3,FALSE),"")</f>
        <v>瓶</v>
      </c>
      <c r="D12" s="23">
        <v>10</v>
      </c>
      <c r="E12" s="46">
        <f>SUMIF($H$4:$BQ$4,$E$2,H12:BQ12)</f>
        <v>0</v>
      </c>
      <c r="F12" s="46">
        <f>SUMIF($H$4:$BQ$4,$F$2,H12:BQ12)</f>
        <v>0</v>
      </c>
      <c r="G12" s="50">
        <f>D12+E12-F12</f>
        <v>10</v>
      </c>
      <c r="H12" s="51">
        <f>SUMIFS(入库流水账!$E:$E,入库流水账!$C:$C,$B12,入库流水账!$B:$B,H$3)</f>
        <v>0</v>
      </c>
      <c r="I12" s="51">
        <f>SUMIFS(出库流水账!$E:$E,出库流水账!$C:$C,$B12,出库流水账!$B:$B,H$3)</f>
        <v>0</v>
      </c>
      <c r="J12" s="51">
        <f>SUMIFS(入库流水账!$E:$E,入库流水账!$C:$C,$B12,入库流水账!$B:$B,J$3)</f>
        <v>0</v>
      </c>
      <c r="K12" s="51">
        <f>SUMIFS(出库流水账!$E:$E,出库流水账!$C:$C,$B12,出库流水账!$B:$B,J$3)</f>
        <v>0</v>
      </c>
      <c r="L12" s="51">
        <f>SUMIFS(入库流水账!$E:$E,入库流水账!$C:$C,$B12,入库流水账!$B:$B,L$3)</f>
        <v>0</v>
      </c>
      <c r="M12" s="51">
        <f>SUMIFS(出库流水账!$E:$E,出库流水账!$C:$C,$B12,出库流水账!$B:$B,L$3)</f>
        <v>0</v>
      </c>
      <c r="N12" s="51">
        <f>SUMIFS(入库流水账!$E:$E,入库流水账!$C:$C,$B12,入库流水账!$B:$B,N$3)</f>
        <v>0</v>
      </c>
      <c r="O12" s="51">
        <f>SUMIFS(出库流水账!$E:$E,出库流水账!$C:$C,$B12,出库流水账!$B:$B,N$3)</f>
        <v>0</v>
      </c>
      <c r="P12" s="51">
        <f>SUMIFS(入库流水账!$E:$E,入库流水账!$C:$C,$B12,入库流水账!$B:$B,P$3)</f>
        <v>0</v>
      </c>
      <c r="Q12" s="51">
        <f>SUMIFS(出库流水账!$E:$E,出库流水账!$C:$C,$B12,出库流水账!$B:$B,P$3)</f>
        <v>0</v>
      </c>
      <c r="R12" s="51">
        <f>SUMIFS(入库流水账!$E:$E,入库流水账!$C:$C,$B12,入库流水账!$B:$B,R$3)</f>
        <v>0</v>
      </c>
      <c r="S12" s="51">
        <f>SUMIFS(出库流水账!$E:$E,出库流水账!$C:$C,$B12,出库流水账!$B:$B,R$3)</f>
        <v>0</v>
      </c>
      <c r="T12" s="51">
        <f>SUMIFS(入库流水账!$E:$E,入库流水账!$C:$C,$B12,入库流水账!$B:$B,T$3)</f>
        <v>0</v>
      </c>
      <c r="U12" s="51">
        <f>SUMIFS(出库流水账!$E:$E,出库流水账!$C:$C,$B12,出库流水账!$B:$B,T$3)</f>
        <v>0</v>
      </c>
      <c r="V12" s="51">
        <f>SUMIFS(入库流水账!$E:$E,入库流水账!$C:$C,$B12,入库流水账!$B:$B,V$3)</f>
        <v>0</v>
      </c>
      <c r="W12" s="51">
        <f>SUMIFS(出库流水账!$E:$E,出库流水账!$C:$C,$B12,出库流水账!$B:$B,V$3)</f>
        <v>0</v>
      </c>
      <c r="X12" s="51">
        <f>SUMIFS(入库流水账!$E:$E,入库流水账!$C:$C,$B12,入库流水账!$B:$B,X$3)</f>
        <v>0</v>
      </c>
      <c r="Y12" s="51">
        <f>SUMIFS(出库流水账!$E:$E,出库流水账!$C:$C,$B12,出库流水账!$B:$B,X$3)</f>
        <v>0</v>
      </c>
      <c r="Z12" s="51">
        <f>SUMIFS(入库流水账!$E:$E,入库流水账!$C:$C,$B12,入库流水账!$B:$B,Z$3)</f>
        <v>0</v>
      </c>
      <c r="AA12" s="51">
        <f>SUMIFS(出库流水账!$E:$E,出库流水账!$C:$C,$B12,出库流水账!$B:$B,Z$3)</f>
        <v>0</v>
      </c>
      <c r="AB12" s="51">
        <f>SUMIFS(入库流水账!$E:$E,入库流水账!$C:$C,$B12,入库流水账!$B:$B,AB$3)</f>
        <v>0</v>
      </c>
      <c r="AC12" s="51">
        <f>SUMIFS(出库流水账!$E:$E,出库流水账!$C:$C,$B12,出库流水账!$B:$B,AB$3)</f>
        <v>0</v>
      </c>
      <c r="AD12" s="51">
        <f>SUMIFS(入库流水账!$E:$E,入库流水账!$C:$C,$B12,入库流水账!$B:$B,AD$3)</f>
        <v>0</v>
      </c>
      <c r="AE12" s="51">
        <f>SUMIFS(出库流水账!$E:$E,出库流水账!$C:$C,$B12,出库流水账!$B:$B,AD$3)</f>
        <v>0</v>
      </c>
      <c r="AF12" s="51">
        <f>SUMIFS(入库流水账!$E:$E,入库流水账!$C:$C,$B12,入库流水账!$B:$B,AF$3)</f>
        <v>0</v>
      </c>
      <c r="AG12" s="51">
        <f>SUMIFS(出库流水账!$E:$E,出库流水账!$C:$C,$B12,出库流水账!$B:$B,AF$3)</f>
        <v>0</v>
      </c>
      <c r="AH12" s="51">
        <f>SUMIFS(入库流水账!$E:$E,入库流水账!$C:$C,$B12,入库流水账!$B:$B,AH$3)</f>
        <v>0</v>
      </c>
      <c r="AI12" s="51">
        <f>SUMIFS(出库流水账!$E:$E,出库流水账!$C:$C,$B12,出库流水账!$B:$B,AH$3)</f>
        <v>0</v>
      </c>
      <c r="AJ12" s="51">
        <f>SUMIFS(入库流水账!$E:$E,入库流水账!$C:$C,$B12,入库流水账!$B:$B,AJ$3)</f>
        <v>0</v>
      </c>
      <c r="AK12" s="51">
        <f>SUMIFS(出库流水账!$E:$E,出库流水账!$C:$C,$B12,出库流水账!$B:$B,AJ$3)</f>
        <v>0</v>
      </c>
      <c r="AL12" s="51">
        <f>SUMIFS(入库流水账!$E:$E,入库流水账!$C:$C,$B12,入库流水账!$B:$B,AL$3)</f>
        <v>0</v>
      </c>
      <c r="AM12" s="51">
        <f>SUMIFS(出库流水账!$E:$E,出库流水账!$C:$C,$B12,出库流水账!$B:$B,AL$3)</f>
        <v>0</v>
      </c>
      <c r="AN12" s="51">
        <f>SUMIFS(入库流水账!$E:$E,入库流水账!$C:$C,$B12,入库流水账!$B:$B,AN$3)</f>
        <v>0</v>
      </c>
      <c r="AO12" s="51">
        <f>SUMIFS(出库流水账!$E:$E,出库流水账!$C:$C,$B12,出库流水账!$B:$B,AN$3)</f>
        <v>0</v>
      </c>
      <c r="AP12" s="51">
        <f>SUMIFS(入库流水账!$E:$E,入库流水账!$C:$C,$B12,入库流水账!$B:$B,AP$3)</f>
        <v>0</v>
      </c>
      <c r="AQ12" s="51">
        <f>SUMIFS(出库流水账!$E:$E,出库流水账!$C:$C,$B12,出库流水账!$B:$B,AP$3)</f>
        <v>0</v>
      </c>
      <c r="AR12" s="51">
        <f>SUMIFS(入库流水账!$E:$E,入库流水账!$C:$C,$B12,入库流水账!$B:$B,AR$3)</f>
        <v>0</v>
      </c>
      <c r="AS12" s="51">
        <f>SUMIFS(出库流水账!$E:$E,出库流水账!$C:$C,$B12,出库流水账!$B:$B,AR$3)</f>
        <v>0</v>
      </c>
      <c r="AT12" s="51">
        <f>SUMIFS(入库流水账!$E:$E,入库流水账!$C:$C,$B12,入库流水账!$B:$B,AT$3)</f>
        <v>0</v>
      </c>
      <c r="AU12" s="51">
        <f>SUMIFS(出库流水账!$E:$E,出库流水账!$C:$C,$B12,出库流水账!$B:$B,AT$3)</f>
        <v>0</v>
      </c>
      <c r="AV12" s="51">
        <f>SUMIFS(入库流水账!$E:$E,入库流水账!$C:$C,$B12,入库流水账!$B:$B,AV$3)</f>
        <v>0</v>
      </c>
      <c r="AW12" s="51">
        <f>SUMIFS(出库流水账!$E:$E,出库流水账!$C:$C,$B12,出库流水账!$B:$B,AV$3)</f>
        <v>0</v>
      </c>
      <c r="AX12" s="51">
        <f>SUMIFS(入库流水账!$E:$E,入库流水账!$C:$C,$B12,入库流水账!$B:$B,AX$3)</f>
        <v>0</v>
      </c>
      <c r="AY12" s="51">
        <f>SUMIFS(出库流水账!$E:$E,出库流水账!$C:$C,$B12,出库流水账!$B:$B,AX$3)</f>
        <v>0</v>
      </c>
      <c r="AZ12" s="51">
        <f>SUMIFS(入库流水账!$E:$E,入库流水账!$C:$C,$B12,入库流水账!$B:$B,AZ$3)</f>
        <v>0</v>
      </c>
      <c r="BA12" s="51">
        <f>SUMIFS(出库流水账!$E:$E,出库流水账!$C:$C,$B12,出库流水账!$B:$B,AZ$3)</f>
        <v>0</v>
      </c>
      <c r="BB12" s="51">
        <f>SUMIFS(入库流水账!$E:$E,入库流水账!$C:$C,$B12,入库流水账!$B:$B,BB$3)</f>
        <v>0</v>
      </c>
      <c r="BC12" s="51">
        <f>SUMIFS(出库流水账!$E:$E,出库流水账!$C:$C,$B12,出库流水账!$B:$B,BB$3)</f>
        <v>0</v>
      </c>
      <c r="BD12" s="51">
        <f>SUMIFS(入库流水账!$E:$E,入库流水账!$C:$C,$B12,入库流水账!$B:$B,BD$3)</f>
        <v>0</v>
      </c>
      <c r="BE12" s="51">
        <f>SUMIFS(出库流水账!$E:$E,出库流水账!$C:$C,$B12,出库流水账!$B:$B,BD$3)</f>
        <v>0</v>
      </c>
      <c r="BF12" s="51">
        <f>SUMIFS(入库流水账!$E:$E,入库流水账!$C:$C,$B12,入库流水账!$B:$B,BF$3)</f>
        <v>0</v>
      </c>
      <c r="BG12" s="51">
        <f>SUMIFS(出库流水账!$E:$E,出库流水账!$C:$C,$B12,出库流水账!$B:$B,BF$3)</f>
        <v>0</v>
      </c>
      <c r="BH12" s="51">
        <f>SUMIFS(入库流水账!$E:$E,入库流水账!$C:$C,$B12,入库流水账!$B:$B,BH$3)</f>
        <v>0</v>
      </c>
      <c r="BI12" s="51">
        <f>SUMIFS(出库流水账!$E:$E,出库流水账!$C:$C,$B12,出库流水账!$B:$B,BH$3)</f>
        <v>0</v>
      </c>
      <c r="BJ12" s="51">
        <f>SUMIFS(入库流水账!$E:$E,入库流水账!$C:$C,$B12,入库流水账!$B:$B,BJ$3)</f>
        <v>0</v>
      </c>
      <c r="BK12" s="51">
        <f>SUMIFS(出库流水账!$E:$E,出库流水账!$C:$C,$B12,出库流水账!$B:$B,BJ$3)</f>
        <v>0</v>
      </c>
      <c r="BL12" s="51">
        <f>SUMIFS(入库流水账!$E:$E,入库流水账!$C:$C,$B12,入库流水账!$B:$B,BL$3)</f>
        <v>0</v>
      </c>
      <c r="BM12" s="51">
        <f>SUMIFS(出库流水账!$E:$E,出库流水账!$C:$C,$B12,出库流水账!$B:$B,BL$3)</f>
        <v>0</v>
      </c>
      <c r="BN12" s="51">
        <f>SUMIFS(入库流水账!$E:$E,入库流水账!$C:$C,$B12,入库流水账!$B:$B,BN$3)</f>
        <v>0</v>
      </c>
      <c r="BO12" s="51">
        <f>SUMIFS(出库流水账!$E:$E,出库流水账!$C:$C,$B12,出库流水账!$B:$B,BN$3)</f>
        <v>0</v>
      </c>
      <c r="BP12" s="51">
        <f>SUMIFS(入库流水账!$E:$E,入库流水账!$C:$C,$B12,入库流水账!$B:$B,BP$3)</f>
        <v>0</v>
      </c>
      <c r="BQ12" s="51">
        <f>SUMIFS(出库流水账!$E:$E,出库流水账!$C:$C,$B12,出库流水账!$B:$B,BP$3)</f>
        <v>0</v>
      </c>
    </row>
    <row r="13" s="35" customFormat="1" ht="18" customHeight="1" spans="1:69">
      <c r="A13" s="46">
        <f>ROW()-4</f>
        <v>9</v>
      </c>
      <c r="B13" s="47" t="s">
        <v>47</v>
      </c>
      <c r="C13" s="48" t="str">
        <f>IFERROR(VLOOKUP(B13,产品数据!$B:$D,3,FALSE),"")</f>
        <v>瓶</v>
      </c>
      <c r="D13" s="23">
        <v>7</v>
      </c>
      <c r="E13" s="46">
        <f>SUMIF($H$4:$BQ$4,$E$2,H13:BQ13)</f>
        <v>12</v>
      </c>
      <c r="F13" s="46">
        <f>SUMIF($H$4:$BQ$4,$F$2,H13:BQ13)</f>
        <v>5</v>
      </c>
      <c r="G13" s="50">
        <f>D13+E13-F13</f>
        <v>14</v>
      </c>
      <c r="H13" s="51">
        <f>SUMIFS(入库流水账!$E:$E,入库流水账!$C:$C,$B13,入库流水账!$B:$B,H$3)</f>
        <v>0</v>
      </c>
      <c r="I13" s="51">
        <f>SUMIFS(出库流水账!$E:$E,出库流水账!$C:$C,$B13,出库流水账!$B:$B,H$3)</f>
        <v>0</v>
      </c>
      <c r="J13" s="51">
        <f>SUMIFS(入库流水账!$E:$E,入库流水账!$C:$C,$B13,入库流水账!$B:$B,J$3)</f>
        <v>0</v>
      </c>
      <c r="K13" s="51">
        <f>SUMIFS(出库流水账!$E:$E,出库流水账!$C:$C,$B13,出库流水账!$B:$B,J$3)</f>
        <v>0</v>
      </c>
      <c r="L13" s="51">
        <f>SUMIFS(入库流水账!$E:$E,入库流水账!$C:$C,$B13,入库流水账!$B:$B,L$3)</f>
        <v>0</v>
      </c>
      <c r="M13" s="51">
        <f>SUMIFS(出库流水账!$E:$E,出库流水账!$C:$C,$B13,出库流水账!$B:$B,L$3)</f>
        <v>0</v>
      </c>
      <c r="N13" s="51">
        <f>SUMIFS(入库流水账!$E:$E,入库流水账!$C:$C,$B13,入库流水账!$B:$B,N$3)</f>
        <v>0</v>
      </c>
      <c r="O13" s="51">
        <f>SUMIFS(出库流水账!$E:$E,出库流水账!$C:$C,$B13,出库流水账!$B:$B,N$3)</f>
        <v>0</v>
      </c>
      <c r="P13" s="51">
        <f>SUMIFS(入库流水账!$E:$E,入库流水账!$C:$C,$B13,入库流水账!$B:$B,P$3)</f>
        <v>0</v>
      </c>
      <c r="Q13" s="51">
        <f>SUMIFS(出库流水账!$E:$E,出库流水账!$C:$C,$B13,出库流水账!$B:$B,P$3)</f>
        <v>1</v>
      </c>
      <c r="R13" s="51">
        <f>SUMIFS(入库流水账!$E:$E,入库流水账!$C:$C,$B13,入库流水账!$B:$B,R$3)</f>
        <v>0</v>
      </c>
      <c r="S13" s="51">
        <f>SUMIFS(出库流水账!$E:$E,出库流水账!$C:$C,$B13,出库流水账!$B:$B,R$3)</f>
        <v>0</v>
      </c>
      <c r="T13" s="51">
        <f>SUMIFS(入库流水账!$E:$E,入库流水账!$C:$C,$B13,入库流水账!$B:$B,T$3)</f>
        <v>0</v>
      </c>
      <c r="U13" s="51">
        <f>SUMIFS(出库流水账!$E:$E,出库流水账!$C:$C,$B13,出库流水账!$B:$B,T$3)</f>
        <v>0</v>
      </c>
      <c r="V13" s="51">
        <f>SUMIFS(入库流水账!$E:$E,入库流水账!$C:$C,$B13,入库流水账!$B:$B,V$3)</f>
        <v>0</v>
      </c>
      <c r="W13" s="51">
        <f>SUMIFS(出库流水账!$E:$E,出库流水账!$C:$C,$B13,出库流水账!$B:$B,V$3)</f>
        <v>0</v>
      </c>
      <c r="X13" s="51">
        <f>SUMIFS(入库流水账!$E:$E,入库流水账!$C:$C,$B13,入库流水账!$B:$B,X$3)</f>
        <v>0</v>
      </c>
      <c r="Y13" s="51">
        <f>SUMIFS(出库流水账!$E:$E,出库流水账!$C:$C,$B13,出库流水账!$B:$B,X$3)</f>
        <v>0</v>
      </c>
      <c r="Z13" s="51">
        <f>SUMIFS(入库流水账!$E:$E,入库流水账!$C:$C,$B13,入库流水账!$B:$B,Z$3)</f>
        <v>0</v>
      </c>
      <c r="AA13" s="51">
        <f>SUMIFS(出库流水账!$E:$E,出库流水账!$C:$C,$B13,出库流水账!$B:$B,Z$3)</f>
        <v>0</v>
      </c>
      <c r="AB13" s="51">
        <f>SUMIFS(入库流水账!$E:$E,入库流水账!$C:$C,$B13,入库流水账!$B:$B,AB$3)</f>
        <v>0</v>
      </c>
      <c r="AC13" s="51">
        <f>SUMIFS(出库流水账!$E:$E,出库流水账!$C:$C,$B13,出库流水账!$B:$B,AB$3)</f>
        <v>0</v>
      </c>
      <c r="AD13" s="51">
        <f>SUMIFS(入库流水账!$E:$E,入库流水账!$C:$C,$B13,入库流水账!$B:$B,AD$3)</f>
        <v>0</v>
      </c>
      <c r="AE13" s="51">
        <f>SUMIFS(出库流水账!$E:$E,出库流水账!$C:$C,$B13,出库流水账!$B:$B,AD$3)</f>
        <v>2</v>
      </c>
      <c r="AF13" s="51">
        <f>SUMIFS(入库流水账!$E:$E,入库流水账!$C:$C,$B13,入库流水账!$B:$B,AF$3)</f>
        <v>0</v>
      </c>
      <c r="AG13" s="51">
        <f>SUMIFS(出库流水账!$E:$E,出库流水账!$C:$C,$B13,出库流水账!$B:$B,AF$3)</f>
        <v>0</v>
      </c>
      <c r="AH13" s="51">
        <f>SUMIFS(入库流水账!$E:$E,入库流水账!$C:$C,$B13,入库流水账!$B:$B,AH$3)</f>
        <v>0</v>
      </c>
      <c r="AI13" s="51">
        <f>SUMIFS(出库流水账!$E:$E,出库流水账!$C:$C,$B13,出库流水账!$B:$B,AH$3)</f>
        <v>2</v>
      </c>
      <c r="AJ13" s="51">
        <f>SUMIFS(入库流水账!$E:$E,入库流水账!$C:$C,$B13,入库流水账!$B:$B,AJ$3)</f>
        <v>12</v>
      </c>
      <c r="AK13" s="51">
        <f>SUMIFS(出库流水账!$E:$E,出库流水账!$C:$C,$B13,出库流水账!$B:$B,AJ$3)</f>
        <v>0</v>
      </c>
      <c r="AL13" s="51">
        <f>SUMIFS(入库流水账!$E:$E,入库流水账!$C:$C,$B13,入库流水账!$B:$B,AL$3)</f>
        <v>0</v>
      </c>
      <c r="AM13" s="51">
        <f>SUMIFS(出库流水账!$E:$E,出库流水账!$C:$C,$B13,出库流水账!$B:$B,AL$3)</f>
        <v>0</v>
      </c>
      <c r="AN13" s="51">
        <f>SUMIFS(入库流水账!$E:$E,入库流水账!$C:$C,$B13,入库流水账!$B:$B,AN$3)</f>
        <v>0</v>
      </c>
      <c r="AO13" s="51">
        <f>SUMIFS(出库流水账!$E:$E,出库流水账!$C:$C,$B13,出库流水账!$B:$B,AN$3)</f>
        <v>0</v>
      </c>
      <c r="AP13" s="51">
        <f>SUMIFS(入库流水账!$E:$E,入库流水账!$C:$C,$B13,入库流水账!$B:$B,AP$3)</f>
        <v>0</v>
      </c>
      <c r="AQ13" s="51">
        <f>SUMIFS(出库流水账!$E:$E,出库流水账!$C:$C,$B13,出库流水账!$B:$B,AP$3)</f>
        <v>0</v>
      </c>
      <c r="AR13" s="51">
        <f>SUMIFS(入库流水账!$E:$E,入库流水账!$C:$C,$B13,入库流水账!$B:$B,AR$3)</f>
        <v>0</v>
      </c>
      <c r="AS13" s="51">
        <f>SUMIFS(出库流水账!$E:$E,出库流水账!$C:$C,$B13,出库流水账!$B:$B,AR$3)</f>
        <v>0</v>
      </c>
      <c r="AT13" s="51">
        <f>SUMIFS(入库流水账!$E:$E,入库流水账!$C:$C,$B13,入库流水账!$B:$B,AT$3)</f>
        <v>0</v>
      </c>
      <c r="AU13" s="51">
        <f>SUMIFS(出库流水账!$E:$E,出库流水账!$C:$C,$B13,出库流水账!$B:$B,AT$3)</f>
        <v>0</v>
      </c>
      <c r="AV13" s="51">
        <f>SUMIFS(入库流水账!$E:$E,入库流水账!$C:$C,$B13,入库流水账!$B:$B,AV$3)</f>
        <v>0</v>
      </c>
      <c r="AW13" s="51">
        <f>SUMIFS(出库流水账!$E:$E,出库流水账!$C:$C,$B13,出库流水账!$B:$B,AV$3)</f>
        <v>0</v>
      </c>
      <c r="AX13" s="51">
        <f>SUMIFS(入库流水账!$E:$E,入库流水账!$C:$C,$B13,入库流水账!$B:$B,AX$3)</f>
        <v>0</v>
      </c>
      <c r="AY13" s="51">
        <f>SUMIFS(出库流水账!$E:$E,出库流水账!$C:$C,$B13,出库流水账!$B:$B,AX$3)</f>
        <v>0</v>
      </c>
      <c r="AZ13" s="51">
        <f>SUMIFS(入库流水账!$E:$E,入库流水账!$C:$C,$B13,入库流水账!$B:$B,AZ$3)</f>
        <v>0</v>
      </c>
      <c r="BA13" s="51">
        <f>SUMIFS(出库流水账!$E:$E,出库流水账!$C:$C,$B13,出库流水账!$B:$B,AZ$3)</f>
        <v>0</v>
      </c>
      <c r="BB13" s="51">
        <f>SUMIFS(入库流水账!$E:$E,入库流水账!$C:$C,$B13,入库流水账!$B:$B,BB$3)</f>
        <v>0</v>
      </c>
      <c r="BC13" s="51">
        <f>SUMIFS(出库流水账!$E:$E,出库流水账!$C:$C,$B13,出库流水账!$B:$B,BB$3)</f>
        <v>0</v>
      </c>
      <c r="BD13" s="51">
        <f>SUMIFS(入库流水账!$E:$E,入库流水账!$C:$C,$B13,入库流水账!$B:$B,BD$3)</f>
        <v>0</v>
      </c>
      <c r="BE13" s="51">
        <f>SUMIFS(出库流水账!$E:$E,出库流水账!$C:$C,$B13,出库流水账!$B:$B,BD$3)</f>
        <v>0</v>
      </c>
      <c r="BF13" s="51">
        <f>SUMIFS(入库流水账!$E:$E,入库流水账!$C:$C,$B13,入库流水账!$B:$B,BF$3)</f>
        <v>0</v>
      </c>
      <c r="BG13" s="51">
        <f>SUMIFS(出库流水账!$E:$E,出库流水账!$C:$C,$B13,出库流水账!$B:$B,BF$3)</f>
        <v>0</v>
      </c>
      <c r="BH13" s="51">
        <f>SUMIFS(入库流水账!$E:$E,入库流水账!$C:$C,$B13,入库流水账!$B:$B,BH$3)</f>
        <v>0</v>
      </c>
      <c r="BI13" s="51">
        <f>SUMIFS(出库流水账!$E:$E,出库流水账!$C:$C,$B13,出库流水账!$B:$B,BH$3)</f>
        <v>0</v>
      </c>
      <c r="BJ13" s="51">
        <f>SUMIFS(入库流水账!$E:$E,入库流水账!$C:$C,$B13,入库流水账!$B:$B,BJ$3)</f>
        <v>0</v>
      </c>
      <c r="BK13" s="51">
        <f>SUMIFS(出库流水账!$E:$E,出库流水账!$C:$C,$B13,出库流水账!$B:$B,BJ$3)</f>
        <v>0</v>
      </c>
      <c r="BL13" s="51">
        <f>SUMIFS(入库流水账!$E:$E,入库流水账!$C:$C,$B13,入库流水账!$B:$B,BL$3)</f>
        <v>0</v>
      </c>
      <c r="BM13" s="51">
        <f>SUMIFS(出库流水账!$E:$E,出库流水账!$C:$C,$B13,出库流水账!$B:$B,BL$3)</f>
        <v>0</v>
      </c>
      <c r="BN13" s="51">
        <f>SUMIFS(入库流水账!$E:$E,入库流水账!$C:$C,$B13,入库流水账!$B:$B,BN$3)</f>
        <v>0</v>
      </c>
      <c r="BO13" s="51">
        <f>SUMIFS(出库流水账!$E:$E,出库流水账!$C:$C,$B13,出库流水账!$B:$B,BN$3)</f>
        <v>0</v>
      </c>
      <c r="BP13" s="51">
        <f>SUMIFS(入库流水账!$E:$E,入库流水账!$C:$C,$B13,入库流水账!$B:$B,BP$3)</f>
        <v>0</v>
      </c>
      <c r="BQ13" s="51">
        <f>SUMIFS(出库流水账!$E:$E,出库流水账!$C:$C,$B13,出库流水账!$B:$B,BP$3)</f>
        <v>0</v>
      </c>
    </row>
    <row r="14" s="35" customFormat="1" ht="18" customHeight="1" spans="1:69">
      <c r="A14" s="46">
        <f>ROW()-4</f>
        <v>10</v>
      </c>
      <c r="B14" s="47" t="s">
        <v>48</v>
      </c>
      <c r="C14" s="48" t="str">
        <f>IFERROR(VLOOKUP(B14,产品数据!$B:$D,3,FALSE),"")</f>
        <v>瓶</v>
      </c>
      <c r="D14" s="23">
        <v>4</v>
      </c>
      <c r="E14" s="46">
        <f>SUMIF($H$4:$BQ$4,$E$2,H14:BQ14)</f>
        <v>36</v>
      </c>
      <c r="F14" s="46">
        <f>SUMIF($H$4:$BQ$4,$F$2,H14:BQ14)</f>
        <v>7</v>
      </c>
      <c r="G14" s="50">
        <f>D14+E14-F14</f>
        <v>33</v>
      </c>
      <c r="H14" s="51">
        <f>SUMIFS(入库流水账!$E:$E,入库流水账!$C:$C,$B14,入库流水账!$B:$B,H$3)</f>
        <v>0</v>
      </c>
      <c r="I14" s="51">
        <f>SUMIFS(出库流水账!$E:$E,出库流水账!$C:$C,$B14,出库流水账!$B:$B,H$3)</f>
        <v>0</v>
      </c>
      <c r="J14" s="51">
        <f>SUMIFS(入库流水账!$E:$E,入库流水账!$C:$C,$B14,入库流水账!$B:$B,J$3)</f>
        <v>0</v>
      </c>
      <c r="K14" s="51">
        <f>SUMIFS(出库流水账!$E:$E,出库流水账!$C:$C,$B14,出库流水账!$B:$B,J$3)</f>
        <v>0</v>
      </c>
      <c r="L14" s="51">
        <f>SUMIFS(入库流水账!$E:$E,入库流水账!$C:$C,$B14,入库流水账!$B:$B,L$3)</f>
        <v>0</v>
      </c>
      <c r="M14" s="51">
        <f>SUMIFS(出库流水账!$E:$E,出库流水账!$C:$C,$B14,出库流水账!$B:$B,L$3)</f>
        <v>0</v>
      </c>
      <c r="N14" s="51">
        <f>SUMIFS(入库流水账!$E:$E,入库流水账!$C:$C,$B14,入库流水账!$B:$B,N$3)</f>
        <v>0</v>
      </c>
      <c r="O14" s="51">
        <f>SUMIFS(出库流水账!$E:$E,出库流水账!$C:$C,$B14,出库流水账!$B:$B,N$3)</f>
        <v>2</v>
      </c>
      <c r="P14" s="51">
        <f>SUMIFS(入库流水账!$E:$E,入库流水账!$C:$C,$B14,入库流水账!$B:$B,P$3)</f>
        <v>0</v>
      </c>
      <c r="Q14" s="51">
        <f>SUMIFS(出库流水账!$E:$E,出库流水账!$C:$C,$B14,出库流水账!$B:$B,P$3)</f>
        <v>1</v>
      </c>
      <c r="R14" s="51">
        <f>SUMIFS(入库流水账!$E:$E,入库流水账!$C:$C,$B14,入库流水账!$B:$B,R$3)</f>
        <v>0</v>
      </c>
      <c r="S14" s="51">
        <f>SUMIFS(出库流水账!$E:$E,出库流水账!$C:$C,$B14,出库流水账!$B:$B,R$3)</f>
        <v>0</v>
      </c>
      <c r="T14" s="51">
        <f>SUMIFS(入库流水账!$E:$E,入库流水账!$C:$C,$B14,入库流水账!$B:$B,T$3)</f>
        <v>12</v>
      </c>
      <c r="U14" s="51">
        <f>SUMIFS(出库流水账!$E:$E,出库流水账!$C:$C,$B14,出库流水账!$B:$B,T$3)</f>
        <v>0</v>
      </c>
      <c r="V14" s="51">
        <f>SUMIFS(入库流水账!$E:$E,入库流水账!$C:$C,$B14,入库流水账!$B:$B,V$3)</f>
        <v>0</v>
      </c>
      <c r="W14" s="51">
        <f>SUMIFS(出库流水账!$E:$E,出库流水账!$C:$C,$B14,出库流水账!$B:$B,V$3)</f>
        <v>0</v>
      </c>
      <c r="X14" s="51">
        <f>SUMIFS(入库流水账!$E:$E,入库流水账!$C:$C,$B14,入库流水账!$B:$B,X$3)</f>
        <v>0</v>
      </c>
      <c r="Y14" s="51">
        <f>SUMIFS(出库流水账!$E:$E,出库流水账!$C:$C,$B14,出库流水账!$B:$B,X$3)</f>
        <v>0</v>
      </c>
      <c r="Z14" s="51">
        <f>SUMIFS(入库流水账!$E:$E,入库流水账!$C:$C,$B14,入库流水账!$B:$B,Z$3)</f>
        <v>0</v>
      </c>
      <c r="AA14" s="51">
        <f>SUMIFS(出库流水账!$E:$E,出库流水账!$C:$C,$B14,出库流水账!$B:$B,Z$3)</f>
        <v>0</v>
      </c>
      <c r="AB14" s="51">
        <f>SUMIFS(入库流水账!$E:$E,入库流水账!$C:$C,$B14,入库流水账!$B:$B,AB$3)</f>
        <v>0</v>
      </c>
      <c r="AC14" s="51">
        <f>SUMIFS(出库流水账!$E:$E,出库流水账!$C:$C,$B14,出库流水账!$B:$B,AB$3)</f>
        <v>0</v>
      </c>
      <c r="AD14" s="51">
        <f>SUMIFS(入库流水账!$E:$E,入库流水账!$C:$C,$B14,入库流水账!$B:$B,AD$3)</f>
        <v>0</v>
      </c>
      <c r="AE14" s="51">
        <f>SUMIFS(出库流水账!$E:$E,出库流水账!$C:$C,$B14,出库流水账!$B:$B,AD$3)</f>
        <v>0</v>
      </c>
      <c r="AF14" s="51">
        <f>SUMIFS(入库流水账!$E:$E,入库流水账!$C:$C,$B14,入库流水账!$B:$B,AF$3)</f>
        <v>0</v>
      </c>
      <c r="AG14" s="51">
        <f>SUMIFS(出库流水账!$E:$E,出库流水账!$C:$C,$B14,出库流水账!$B:$B,AF$3)</f>
        <v>0</v>
      </c>
      <c r="AH14" s="51">
        <f>SUMIFS(入库流水账!$E:$E,入库流水账!$C:$C,$B14,入库流水账!$B:$B,AH$3)</f>
        <v>0</v>
      </c>
      <c r="AI14" s="51">
        <f>SUMIFS(出库流水账!$E:$E,出库流水账!$C:$C,$B14,出库流水账!$B:$B,AH$3)</f>
        <v>4</v>
      </c>
      <c r="AJ14" s="51">
        <f>SUMIFS(入库流水账!$E:$E,入库流水账!$C:$C,$B14,入库流水账!$B:$B,AJ$3)</f>
        <v>24</v>
      </c>
      <c r="AK14" s="51">
        <f>SUMIFS(出库流水账!$E:$E,出库流水账!$C:$C,$B14,出库流水账!$B:$B,AJ$3)</f>
        <v>0</v>
      </c>
      <c r="AL14" s="51">
        <f>SUMIFS(入库流水账!$E:$E,入库流水账!$C:$C,$B14,入库流水账!$B:$B,AL$3)</f>
        <v>0</v>
      </c>
      <c r="AM14" s="51">
        <f>SUMIFS(出库流水账!$E:$E,出库流水账!$C:$C,$B14,出库流水账!$B:$B,AL$3)</f>
        <v>0</v>
      </c>
      <c r="AN14" s="51">
        <f>SUMIFS(入库流水账!$E:$E,入库流水账!$C:$C,$B14,入库流水账!$B:$B,AN$3)</f>
        <v>0</v>
      </c>
      <c r="AO14" s="51">
        <f>SUMIFS(出库流水账!$E:$E,出库流水账!$C:$C,$B14,出库流水账!$B:$B,AN$3)</f>
        <v>0</v>
      </c>
      <c r="AP14" s="51">
        <f>SUMIFS(入库流水账!$E:$E,入库流水账!$C:$C,$B14,入库流水账!$B:$B,AP$3)</f>
        <v>0</v>
      </c>
      <c r="AQ14" s="51">
        <f>SUMIFS(出库流水账!$E:$E,出库流水账!$C:$C,$B14,出库流水账!$B:$B,AP$3)</f>
        <v>0</v>
      </c>
      <c r="AR14" s="51">
        <f>SUMIFS(入库流水账!$E:$E,入库流水账!$C:$C,$B14,入库流水账!$B:$B,AR$3)</f>
        <v>0</v>
      </c>
      <c r="AS14" s="51">
        <f>SUMIFS(出库流水账!$E:$E,出库流水账!$C:$C,$B14,出库流水账!$B:$B,AR$3)</f>
        <v>0</v>
      </c>
      <c r="AT14" s="51">
        <f>SUMIFS(入库流水账!$E:$E,入库流水账!$C:$C,$B14,入库流水账!$B:$B,AT$3)</f>
        <v>0</v>
      </c>
      <c r="AU14" s="51">
        <f>SUMIFS(出库流水账!$E:$E,出库流水账!$C:$C,$B14,出库流水账!$B:$B,AT$3)</f>
        <v>0</v>
      </c>
      <c r="AV14" s="51">
        <f>SUMIFS(入库流水账!$E:$E,入库流水账!$C:$C,$B14,入库流水账!$B:$B,AV$3)</f>
        <v>0</v>
      </c>
      <c r="AW14" s="51">
        <f>SUMIFS(出库流水账!$E:$E,出库流水账!$C:$C,$B14,出库流水账!$B:$B,AV$3)</f>
        <v>0</v>
      </c>
      <c r="AX14" s="51">
        <f>SUMIFS(入库流水账!$E:$E,入库流水账!$C:$C,$B14,入库流水账!$B:$B,AX$3)</f>
        <v>0</v>
      </c>
      <c r="AY14" s="51">
        <f>SUMIFS(出库流水账!$E:$E,出库流水账!$C:$C,$B14,出库流水账!$B:$B,AX$3)</f>
        <v>0</v>
      </c>
      <c r="AZ14" s="51">
        <f>SUMIFS(入库流水账!$E:$E,入库流水账!$C:$C,$B14,入库流水账!$B:$B,AZ$3)</f>
        <v>0</v>
      </c>
      <c r="BA14" s="51">
        <f>SUMIFS(出库流水账!$E:$E,出库流水账!$C:$C,$B14,出库流水账!$B:$B,AZ$3)</f>
        <v>0</v>
      </c>
      <c r="BB14" s="51">
        <f>SUMIFS(入库流水账!$E:$E,入库流水账!$C:$C,$B14,入库流水账!$B:$B,BB$3)</f>
        <v>0</v>
      </c>
      <c r="BC14" s="51">
        <f>SUMIFS(出库流水账!$E:$E,出库流水账!$C:$C,$B14,出库流水账!$B:$B,BB$3)</f>
        <v>0</v>
      </c>
      <c r="BD14" s="51">
        <f>SUMIFS(入库流水账!$E:$E,入库流水账!$C:$C,$B14,入库流水账!$B:$B,BD$3)</f>
        <v>0</v>
      </c>
      <c r="BE14" s="51">
        <f>SUMIFS(出库流水账!$E:$E,出库流水账!$C:$C,$B14,出库流水账!$B:$B,BD$3)</f>
        <v>0</v>
      </c>
      <c r="BF14" s="51">
        <f>SUMIFS(入库流水账!$E:$E,入库流水账!$C:$C,$B14,入库流水账!$B:$B,BF$3)</f>
        <v>0</v>
      </c>
      <c r="BG14" s="51">
        <f>SUMIFS(出库流水账!$E:$E,出库流水账!$C:$C,$B14,出库流水账!$B:$B,BF$3)</f>
        <v>0</v>
      </c>
      <c r="BH14" s="51">
        <f>SUMIFS(入库流水账!$E:$E,入库流水账!$C:$C,$B14,入库流水账!$B:$B,BH$3)</f>
        <v>0</v>
      </c>
      <c r="BI14" s="51">
        <f>SUMIFS(出库流水账!$E:$E,出库流水账!$C:$C,$B14,出库流水账!$B:$B,BH$3)</f>
        <v>0</v>
      </c>
      <c r="BJ14" s="51">
        <f>SUMIFS(入库流水账!$E:$E,入库流水账!$C:$C,$B14,入库流水账!$B:$B,BJ$3)</f>
        <v>0</v>
      </c>
      <c r="BK14" s="51">
        <f>SUMIFS(出库流水账!$E:$E,出库流水账!$C:$C,$B14,出库流水账!$B:$B,BJ$3)</f>
        <v>0</v>
      </c>
      <c r="BL14" s="51">
        <f>SUMIFS(入库流水账!$E:$E,入库流水账!$C:$C,$B14,入库流水账!$B:$B,BL$3)</f>
        <v>0</v>
      </c>
      <c r="BM14" s="51">
        <f>SUMIFS(出库流水账!$E:$E,出库流水账!$C:$C,$B14,出库流水账!$B:$B,BL$3)</f>
        <v>0</v>
      </c>
      <c r="BN14" s="51">
        <f>SUMIFS(入库流水账!$E:$E,入库流水账!$C:$C,$B14,入库流水账!$B:$B,BN$3)</f>
        <v>0</v>
      </c>
      <c r="BO14" s="51">
        <f>SUMIFS(出库流水账!$E:$E,出库流水账!$C:$C,$B14,出库流水账!$B:$B,BN$3)</f>
        <v>0</v>
      </c>
      <c r="BP14" s="51">
        <f>SUMIFS(入库流水账!$E:$E,入库流水账!$C:$C,$B14,入库流水账!$B:$B,BP$3)</f>
        <v>0</v>
      </c>
      <c r="BQ14" s="51">
        <f>SUMIFS(出库流水账!$E:$E,出库流水账!$C:$C,$B14,出库流水账!$B:$B,BP$3)</f>
        <v>0</v>
      </c>
    </row>
    <row r="15" s="35" customFormat="1" ht="18" customHeight="1" spans="1:69">
      <c r="A15" s="46">
        <f>ROW()-4</f>
        <v>11</v>
      </c>
      <c r="B15" s="47" t="s">
        <v>49</v>
      </c>
      <c r="C15" s="48" t="str">
        <f>IFERROR(VLOOKUP(B15,产品数据!$B:$D,3,FALSE),"")</f>
        <v>包</v>
      </c>
      <c r="D15" s="23">
        <v>8</v>
      </c>
      <c r="E15" s="46">
        <f>SUMIF($H$4:$BQ$4,$E$2,H15:BQ15)</f>
        <v>0</v>
      </c>
      <c r="F15" s="46">
        <f>SUMIF($H$4:$BQ$4,$F$2,H15:BQ15)</f>
        <v>2</v>
      </c>
      <c r="G15" s="50">
        <f>D15+E15-F15</f>
        <v>6</v>
      </c>
      <c r="H15" s="51">
        <f>SUMIFS(入库流水账!$E:$E,入库流水账!$C:$C,$B15,入库流水账!$B:$B,H$3)</f>
        <v>0</v>
      </c>
      <c r="I15" s="51">
        <f>SUMIFS(出库流水账!$E:$E,出库流水账!$C:$C,$B15,出库流水账!$B:$B,H$3)</f>
        <v>0</v>
      </c>
      <c r="J15" s="51">
        <f>SUMIFS(入库流水账!$E:$E,入库流水账!$C:$C,$B15,入库流水账!$B:$B,J$3)</f>
        <v>0</v>
      </c>
      <c r="K15" s="51">
        <f>SUMIFS(出库流水账!$E:$E,出库流水账!$C:$C,$B15,出库流水账!$B:$B,J$3)</f>
        <v>0</v>
      </c>
      <c r="L15" s="51">
        <f>SUMIFS(入库流水账!$E:$E,入库流水账!$C:$C,$B15,入库流水账!$B:$B,L$3)</f>
        <v>0</v>
      </c>
      <c r="M15" s="51">
        <f>SUMIFS(出库流水账!$E:$E,出库流水账!$C:$C,$B15,出库流水账!$B:$B,L$3)</f>
        <v>0</v>
      </c>
      <c r="N15" s="51">
        <f>SUMIFS(入库流水账!$E:$E,入库流水账!$C:$C,$B15,入库流水账!$B:$B,N$3)</f>
        <v>0</v>
      </c>
      <c r="O15" s="51">
        <f>SUMIFS(出库流水账!$E:$E,出库流水账!$C:$C,$B15,出库流水账!$B:$B,N$3)</f>
        <v>0</v>
      </c>
      <c r="P15" s="51">
        <f>SUMIFS(入库流水账!$E:$E,入库流水账!$C:$C,$B15,入库流水账!$B:$B,P$3)</f>
        <v>0</v>
      </c>
      <c r="Q15" s="51">
        <f>SUMIFS(出库流水账!$E:$E,出库流水账!$C:$C,$B15,出库流水账!$B:$B,P$3)</f>
        <v>0</v>
      </c>
      <c r="R15" s="51">
        <f>SUMIFS(入库流水账!$E:$E,入库流水账!$C:$C,$B15,入库流水账!$B:$B,R$3)</f>
        <v>0</v>
      </c>
      <c r="S15" s="51">
        <f>SUMIFS(出库流水账!$E:$E,出库流水账!$C:$C,$B15,出库流水账!$B:$B,R$3)</f>
        <v>0</v>
      </c>
      <c r="T15" s="51">
        <f>SUMIFS(入库流水账!$E:$E,入库流水账!$C:$C,$B15,入库流水账!$B:$B,T$3)</f>
        <v>0</v>
      </c>
      <c r="U15" s="51">
        <f>SUMIFS(出库流水账!$E:$E,出库流水账!$C:$C,$B15,出库流水账!$B:$B,T$3)</f>
        <v>0</v>
      </c>
      <c r="V15" s="51">
        <f>SUMIFS(入库流水账!$E:$E,入库流水账!$C:$C,$B15,入库流水账!$B:$B,V$3)</f>
        <v>0</v>
      </c>
      <c r="W15" s="51">
        <f>SUMIFS(出库流水账!$E:$E,出库流水账!$C:$C,$B15,出库流水账!$B:$B,V$3)</f>
        <v>0</v>
      </c>
      <c r="X15" s="51">
        <f>SUMIFS(入库流水账!$E:$E,入库流水账!$C:$C,$B15,入库流水账!$B:$B,X$3)</f>
        <v>0</v>
      </c>
      <c r="Y15" s="51">
        <f>SUMIFS(出库流水账!$E:$E,出库流水账!$C:$C,$B15,出库流水账!$B:$B,X$3)</f>
        <v>1</v>
      </c>
      <c r="Z15" s="51">
        <f>SUMIFS(入库流水账!$E:$E,入库流水账!$C:$C,$B15,入库流水账!$B:$B,Z$3)</f>
        <v>0</v>
      </c>
      <c r="AA15" s="51">
        <f>SUMIFS(出库流水账!$E:$E,出库流水账!$C:$C,$B15,出库流水账!$B:$B,Z$3)</f>
        <v>0</v>
      </c>
      <c r="AB15" s="51">
        <f>SUMIFS(入库流水账!$E:$E,入库流水账!$C:$C,$B15,入库流水账!$B:$B,AB$3)</f>
        <v>0</v>
      </c>
      <c r="AC15" s="51">
        <f>SUMIFS(出库流水账!$E:$E,出库流水账!$C:$C,$B15,出库流水账!$B:$B,AB$3)</f>
        <v>0</v>
      </c>
      <c r="AD15" s="51">
        <f>SUMIFS(入库流水账!$E:$E,入库流水账!$C:$C,$B15,入库流水账!$B:$B,AD$3)</f>
        <v>0</v>
      </c>
      <c r="AE15" s="51">
        <f>SUMIFS(出库流水账!$E:$E,出库流水账!$C:$C,$B15,出库流水账!$B:$B,AD$3)</f>
        <v>0</v>
      </c>
      <c r="AF15" s="51">
        <f>SUMIFS(入库流水账!$E:$E,入库流水账!$C:$C,$B15,入库流水账!$B:$B,AF$3)</f>
        <v>0</v>
      </c>
      <c r="AG15" s="51">
        <f>SUMIFS(出库流水账!$E:$E,出库流水账!$C:$C,$B15,出库流水账!$B:$B,AF$3)</f>
        <v>0</v>
      </c>
      <c r="AH15" s="51">
        <f>SUMIFS(入库流水账!$E:$E,入库流水账!$C:$C,$B15,入库流水账!$B:$B,AH$3)</f>
        <v>0</v>
      </c>
      <c r="AI15" s="51">
        <f>SUMIFS(出库流水账!$E:$E,出库流水账!$C:$C,$B15,出库流水账!$B:$B,AH$3)</f>
        <v>0</v>
      </c>
      <c r="AJ15" s="51">
        <f>SUMIFS(入库流水账!$E:$E,入库流水账!$C:$C,$B15,入库流水账!$B:$B,AJ$3)</f>
        <v>0</v>
      </c>
      <c r="AK15" s="51">
        <f>SUMIFS(出库流水账!$E:$E,出库流水账!$C:$C,$B15,出库流水账!$B:$B,AJ$3)</f>
        <v>0</v>
      </c>
      <c r="AL15" s="51">
        <f>SUMIFS(入库流水账!$E:$E,入库流水账!$C:$C,$B15,入库流水账!$B:$B,AL$3)</f>
        <v>0</v>
      </c>
      <c r="AM15" s="51">
        <f>SUMIFS(出库流水账!$E:$E,出库流水账!$C:$C,$B15,出库流水账!$B:$B,AL$3)</f>
        <v>0</v>
      </c>
      <c r="AN15" s="51">
        <f>SUMIFS(入库流水账!$E:$E,入库流水账!$C:$C,$B15,入库流水账!$B:$B,AN$3)</f>
        <v>0</v>
      </c>
      <c r="AO15" s="51">
        <f>SUMIFS(出库流水账!$E:$E,出库流水账!$C:$C,$B15,出库流水账!$B:$B,AN$3)</f>
        <v>0</v>
      </c>
      <c r="AP15" s="51">
        <f>SUMIFS(入库流水账!$E:$E,入库流水账!$C:$C,$B15,入库流水账!$B:$B,AP$3)</f>
        <v>0</v>
      </c>
      <c r="AQ15" s="51">
        <f>SUMIFS(出库流水账!$E:$E,出库流水账!$C:$C,$B15,出库流水账!$B:$B,AP$3)</f>
        <v>0</v>
      </c>
      <c r="AR15" s="51">
        <f>SUMIFS(入库流水账!$E:$E,入库流水账!$C:$C,$B15,入库流水账!$B:$B,AR$3)</f>
        <v>0</v>
      </c>
      <c r="AS15" s="51">
        <f>SUMIFS(出库流水账!$E:$E,出库流水账!$C:$C,$B15,出库流水账!$B:$B,AR$3)</f>
        <v>0</v>
      </c>
      <c r="AT15" s="51">
        <f>SUMIFS(入库流水账!$E:$E,入库流水账!$C:$C,$B15,入库流水账!$B:$B,AT$3)</f>
        <v>0</v>
      </c>
      <c r="AU15" s="51">
        <f>SUMIFS(出库流水账!$E:$E,出库流水账!$C:$C,$B15,出库流水账!$B:$B,AT$3)</f>
        <v>0</v>
      </c>
      <c r="AV15" s="51">
        <f>SUMIFS(入库流水账!$E:$E,入库流水账!$C:$C,$B15,入库流水账!$B:$B,AV$3)</f>
        <v>0</v>
      </c>
      <c r="AW15" s="51">
        <f>SUMIFS(出库流水账!$E:$E,出库流水账!$C:$C,$B15,出库流水账!$B:$B,AV$3)</f>
        <v>0</v>
      </c>
      <c r="AX15" s="51">
        <f>SUMIFS(入库流水账!$E:$E,入库流水账!$C:$C,$B15,入库流水账!$B:$B,AX$3)</f>
        <v>0</v>
      </c>
      <c r="AY15" s="51">
        <f>SUMIFS(出库流水账!$E:$E,出库流水账!$C:$C,$B15,出库流水账!$B:$B,AX$3)</f>
        <v>0</v>
      </c>
      <c r="AZ15" s="51">
        <f>SUMIFS(入库流水账!$E:$E,入库流水账!$C:$C,$B15,入库流水账!$B:$B,AZ$3)</f>
        <v>0</v>
      </c>
      <c r="BA15" s="51">
        <f>SUMIFS(出库流水账!$E:$E,出库流水账!$C:$C,$B15,出库流水账!$B:$B,AZ$3)</f>
        <v>1</v>
      </c>
      <c r="BB15" s="51">
        <f>SUMIFS(入库流水账!$E:$E,入库流水账!$C:$C,$B15,入库流水账!$B:$B,BB$3)</f>
        <v>0</v>
      </c>
      <c r="BC15" s="51">
        <f>SUMIFS(出库流水账!$E:$E,出库流水账!$C:$C,$B15,出库流水账!$B:$B,BB$3)</f>
        <v>0</v>
      </c>
      <c r="BD15" s="51">
        <f>SUMIFS(入库流水账!$E:$E,入库流水账!$C:$C,$B15,入库流水账!$B:$B,BD$3)</f>
        <v>0</v>
      </c>
      <c r="BE15" s="51">
        <f>SUMIFS(出库流水账!$E:$E,出库流水账!$C:$C,$B15,出库流水账!$B:$B,BD$3)</f>
        <v>0</v>
      </c>
      <c r="BF15" s="51">
        <f>SUMIFS(入库流水账!$E:$E,入库流水账!$C:$C,$B15,入库流水账!$B:$B,BF$3)</f>
        <v>0</v>
      </c>
      <c r="BG15" s="51">
        <f>SUMIFS(出库流水账!$E:$E,出库流水账!$C:$C,$B15,出库流水账!$B:$B,BF$3)</f>
        <v>0</v>
      </c>
      <c r="BH15" s="51">
        <f>SUMIFS(入库流水账!$E:$E,入库流水账!$C:$C,$B15,入库流水账!$B:$B,BH$3)</f>
        <v>0</v>
      </c>
      <c r="BI15" s="51">
        <f>SUMIFS(出库流水账!$E:$E,出库流水账!$C:$C,$B15,出库流水账!$B:$B,BH$3)</f>
        <v>0</v>
      </c>
      <c r="BJ15" s="51">
        <f>SUMIFS(入库流水账!$E:$E,入库流水账!$C:$C,$B15,入库流水账!$B:$B,BJ$3)</f>
        <v>0</v>
      </c>
      <c r="BK15" s="51">
        <f>SUMIFS(出库流水账!$E:$E,出库流水账!$C:$C,$B15,出库流水账!$B:$B,BJ$3)</f>
        <v>0</v>
      </c>
      <c r="BL15" s="51">
        <f>SUMIFS(入库流水账!$E:$E,入库流水账!$C:$C,$B15,入库流水账!$B:$B,BL$3)</f>
        <v>0</v>
      </c>
      <c r="BM15" s="51">
        <f>SUMIFS(出库流水账!$E:$E,出库流水账!$C:$C,$B15,出库流水账!$B:$B,BL$3)</f>
        <v>0</v>
      </c>
      <c r="BN15" s="51">
        <f>SUMIFS(入库流水账!$E:$E,入库流水账!$C:$C,$B15,入库流水账!$B:$B,BN$3)</f>
        <v>0</v>
      </c>
      <c r="BO15" s="51">
        <f>SUMIFS(出库流水账!$E:$E,出库流水账!$C:$C,$B15,出库流水账!$B:$B,BN$3)</f>
        <v>0</v>
      </c>
      <c r="BP15" s="51">
        <f>SUMIFS(入库流水账!$E:$E,入库流水账!$C:$C,$B15,入库流水账!$B:$B,BP$3)</f>
        <v>0</v>
      </c>
      <c r="BQ15" s="51">
        <f>SUMIFS(出库流水账!$E:$E,出库流水账!$C:$C,$B15,出库流水账!$B:$B,BP$3)</f>
        <v>0</v>
      </c>
    </row>
    <row r="16" s="35" customFormat="1" ht="18" customHeight="1" spans="1:69">
      <c r="A16" s="46">
        <f>ROW()-4</f>
        <v>12</v>
      </c>
      <c r="B16" s="47" t="s">
        <v>50</v>
      </c>
      <c r="C16" s="48" t="str">
        <f>IFERROR(VLOOKUP(B16,产品数据!$B:$D,3,FALSE),"")</f>
        <v>包</v>
      </c>
      <c r="D16" s="23">
        <v>7</v>
      </c>
      <c r="E16" s="46">
        <f>SUMIF($H$4:$BQ$4,$E$2,H16:BQ16)</f>
        <v>30</v>
      </c>
      <c r="F16" s="46">
        <f>SUMIF($H$4:$BQ$4,$F$2,H16:BQ16)</f>
        <v>5</v>
      </c>
      <c r="G16" s="50">
        <f>D16+E16-F16</f>
        <v>32</v>
      </c>
      <c r="H16" s="51">
        <f>SUMIFS(入库流水账!$E:$E,入库流水账!$C:$C,$B16,入库流水账!$B:$B,H$3)</f>
        <v>0</v>
      </c>
      <c r="I16" s="51">
        <f>SUMIFS(出库流水账!$E:$E,出库流水账!$C:$C,$B16,出库流水账!$B:$B,H$3)</f>
        <v>0</v>
      </c>
      <c r="J16" s="51">
        <f>SUMIFS(入库流水账!$E:$E,入库流水账!$C:$C,$B16,入库流水账!$B:$B,J$3)</f>
        <v>0</v>
      </c>
      <c r="K16" s="51">
        <f>SUMIFS(出库流水账!$E:$E,出库流水账!$C:$C,$B16,出库流水账!$B:$B,J$3)</f>
        <v>0</v>
      </c>
      <c r="L16" s="51">
        <f>SUMIFS(入库流水账!$E:$E,入库流水账!$C:$C,$B16,入库流水账!$B:$B,L$3)</f>
        <v>0</v>
      </c>
      <c r="M16" s="51">
        <f>SUMIFS(出库流水账!$E:$E,出库流水账!$C:$C,$B16,出库流水账!$B:$B,L$3)</f>
        <v>0</v>
      </c>
      <c r="N16" s="51">
        <f>SUMIFS(入库流水账!$E:$E,入库流水账!$C:$C,$B16,入库流水账!$B:$B,N$3)</f>
        <v>0</v>
      </c>
      <c r="O16" s="51">
        <f>SUMIFS(出库流水账!$E:$E,出库流水账!$C:$C,$B16,出库流水账!$B:$B,N$3)</f>
        <v>0</v>
      </c>
      <c r="P16" s="51">
        <f>SUMIFS(入库流水账!$E:$E,入库流水账!$C:$C,$B16,入库流水账!$B:$B,P$3)</f>
        <v>0</v>
      </c>
      <c r="Q16" s="51">
        <f>SUMIFS(出库流水账!$E:$E,出库流水账!$C:$C,$B16,出库流水账!$B:$B,P$3)</f>
        <v>2</v>
      </c>
      <c r="R16" s="51">
        <f>SUMIFS(入库流水账!$E:$E,入库流水账!$C:$C,$B16,入库流水账!$B:$B,R$3)</f>
        <v>0</v>
      </c>
      <c r="S16" s="51">
        <f>SUMIFS(出库流水账!$E:$E,出库流水账!$C:$C,$B16,出库流水账!$B:$B,R$3)</f>
        <v>1</v>
      </c>
      <c r="T16" s="51">
        <f>SUMIFS(入库流水账!$E:$E,入库流水账!$C:$C,$B16,入库流水账!$B:$B,T$3)</f>
        <v>0</v>
      </c>
      <c r="U16" s="51">
        <f>SUMIFS(出库流水账!$E:$E,出库流水账!$C:$C,$B16,出库流水账!$B:$B,T$3)</f>
        <v>0</v>
      </c>
      <c r="V16" s="51">
        <f>SUMIFS(入库流水账!$E:$E,入库流水账!$C:$C,$B16,入库流水账!$B:$B,V$3)</f>
        <v>0</v>
      </c>
      <c r="W16" s="51">
        <f>SUMIFS(出库流水账!$E:$E,出库流水账!$C:$C,$B16,出库流水账!$B:$B,V$3)</f>
        <v>0</v>
      </c>
      <c r="X16" s="51">
        <f>SUMIFS(入库流水账!$E:$E,入库流水账!$C:$C,$B16,入库流水账!$B:$B,X$3)</f>
        <v>0</v>
      </c>
      <c r="Y16" s="51">
        <f>SUMIFS(出库流水账!$E:$E,出库流水账!$C:$C,$B16,出库流水账!$B:$B,X$3)</f>
        <v>0</v>
      </c>
      <c r="Z16" s="51">
        <f>SUMIFS(入库流水账!$E:$E,入库流水账!$C:$C,$B16,入库流水账!$B:$B,Z$3)</f>
        <v>0</v>
      </c>
      <c r="AA16" s="51">
        <f>SUMIFS(出库流水账!$E:$E,出库流水账!$C:$C,$B16,出库流水账!$B:$B,Z$3)</f>
        <v>0</v>
      </c>
      <c r="AB16" s="51">
        <f>SUMIFS(入库流水账!$E:$E,入库流水账!$C:$C,$B16,入库流水账!$B:$B,AB$3)</f>
        <v>0</v>
      </c>
      <c r="AC16" s="51">
        <f>SUMIFS(出库流水账!$E:$E,出库流水账!$C:$C,$B16,出库流水账!$B:$B,AB$3)</f>
        <v>0</v>
      </c>
      <c r="AD16" s="51">
        <f>SUMIFS(入库流水账!$E:$E,入库流水账!$C:$C,$B16,入库流水账!$B:$B,AD$3)</f>
        <v>30</v>
      </c>
      <c r="AE16" s="51">
        <f>SUMIFS(出库流水账!$E:$E,出库流水账!$C:$C,$B16,出库流水账!$B:$B,AD$3)</f>
        <v>0</v>
      </c>
      <c r="AF16" s="51">
        <f>SUMIFS(入库流水账!$E:$E,入库流水账!$C:$C,$B16,入库流水账!$B:$B,AF$3)</f>
        <v>0</v>
      </c>
      <c r="AG16" s="51">
        <f>SUMIFS(出库流水账!$E:$E,出库流水账!$C:$C,$B16,出库流水账!$B:$B,AF$3)</f>
        <v>0</v>
      </c>
      <c r="AH16" s="51">
        <f>SUMIFS(入库流水账!$E:$E,入库流水账!$C:$C,$B16,入库流水账!$B:$B,AH$3)</f>
        <v>0</v>
      </c>
      <c r="AI16" s="51">
        <f>SUMIFS(出库流水账!$E:$E,出库流水账!$C:$C,$B16,出库流水账!$B:$B,AH$3)</f>
        <v>0</v>
      </c>
      <c r="AJ16" s="51">
        <f>SUMIFS(入库流水账!$E:$E,入库流水账!$C:$C,$B16,入库流水账!$B:$B,AJ$3)</f>
        <v>0</v>
      </c>
      <c r="AK16" s="51">
        <f>SUMIFS(出库流水账!$E:$E,出库流水账!$C:$C,$B16,出库流水账!$B:$B,AJ$3)</f>
        <v>1</v>
      </c>
      <c r="AL16" s="51">
        <f>SUMIFS(入库流水账!$E:$E,入库流水账!$C:$C,$B16,入库流水账!$B:$B,AL$3)</f>
        <v>0</v>
      </c>
      <c r="AM16" s="51">
        <f>SUMIFS(出库流水账!$E:$E,出库流水账!$C:$C,$B16,出库流水账!$B:$B,AL$3)</f>
        <v>0</v>
      </c>
      <c r="AN16" s="51">
        <f>SUMIFS(入库流水账!$E:$E,入库流水账!$C:$C,$B16,入库流水账!$B:$B,AN$3)</f>
        <v>0</v>
      </c>
      <c r="AO16" s="51">
        <f>SUMIFS(出库流水账!$E:$E,出库流水账!$C:$C,$B16,出库流水账!$B:$B,AN$3)</f>
        <v>0</v>
      </c>
      <c r="AP16" s="51">
        <f>SUMIFS(入库流水账!$E:$E,入库流水账!$C:$C,$B16,入库流水账!$B:$B,AP$3)</f>
        <v>0</v>
      </c>
      <c r="AQ16" s="51">
        <f>SUMIFS(出库流水账!$E:$E,出库流水账!$C:$C,$B16,出库流水账!$B:$B,AP$3)</f>
        <v>0</v>
      </c>
      <c r="AR16" s="51">
        <f>SUMIFS(入库流水账!$E:$E,入库流水账!$C:$C,$B16,入库流水账!$B:$B,AR$3)</f>
        <v>0</v>
      </c>
      <c r="AS16" s="51">
        <f>SUMIFS(出库流水账!$E:$E,出库流水账!$C:$C,$B16,出库流水账!$B:$B,AR$3)</f>
        <v>0</v>
      </c>
      <c r="AT16" s="51">
        <f>SUMIFS(入库流水账!$E:$E,入库流水账!$C:$C,$B16,入库流水账!$B:$B,AT$3)</f>
        <v>0</v>
      </c>
      <c r="AU16" s="51">
        <f>SUMIFS(出库流水账!$E:$E,出库流水账!$C:$C,$B16,出库流水账!$B:$B,AT$3)</f>
        <v>0</v>
      </c>
      <c r="AV16" s="51">
        <f>SUMIFS(入库流水账!$E:$E,入库流水账!$C:$C,$B16,入库流水账!$B:$B,AV$3)</f>
        <v>0</v>
      </c>
      <c r="AW16" s="51">
        <f>SUMIFS(出库流水账!$E:$E,出库流水账!$C:$C,$B16,出库流水账!$B:$B,AV$3)</f>
        <v>0</v>
      </c>
      <c r="AX16" s="51">
        <f>SUMIFS(入库流水账!$E:$E,入库流水账!$C:$C,$B16,入库流水账!$B:$B,AX$3)</f>
        <v>0</v>
      </c>
      <c r="AY16" s="51">
        <f>SUMIFS(出库流水账!$E:$E,出库流水账!$C:$C,$B16,出库流水账!$B:$B,AX$3)</f>
        <v>0</v>
      </c>
      <c r="AZ16" s="51">
        <f>SUMIFS(入库流水账!$E:$E,入库流水账!$C:$C,$B16,入库流水账!$B:$B,AZ$3)</f>
        <v>0</v>
      </c>
      <c r="BA16" s="51">
        <f>SUMIFS(出库流水账!$E:$E,出库流水账!$C:$C,$B16,出库流水账!$B:$B,AZ$3)</f>
        <v>0</v>
      </c>
      <c r="BB16" s="51">
        <f>SUMIFS(入库流水账!$E:$E,入库流水账!$C:$C,$B16,入库流水账!$B:$B,BB$3)</f>
        <v>0</v>
      </c>
      <c r="BC16" s="51">
        <f>SUMIFS(出库流水账!$E:$E,出库流水账!$C:$C,$B16,出库流水账!$B:$B,BB$3)</f>
        <v>0</v>
      </c>
      <c r="BD16" s="51">
        <f>SUMIFS(入库流水账!$E:$E,入库流水账!$C:$C,$B16,入库流水账!$B:$B,BD$3)</f>
        <v>0</v>
      </c>
      <c r="BE16" s="51">
        <f>SUMIFS(出库流水账!$E:$E,出库流水账!$C:$C,$B16,出库流水账!$B:$B,BD$3)</f>
        <v>0</v>
      </c>
      <c r="BF16" s="51">
        <f>SUMIFS(入库流水账!$E:$E,入库流水账!$C:$C,$B16,入库流水账!$B:$B,BF$3)</f>
        <v>0</v>
      </c>
      <c r="BG16" s="51">
        <f>SUMIFS(出库流水账!$E:$E,出库流水账!$C:$C,$B16,出库流水账!$B:$B,BF$3)</f>
        <v>0</v>
      </c>
      <c r="BH16" s="51">
        <f>SUMIFS(入库流水账!$E:$E,入库流水账!$C:$C,$B16,入库流水账!$B:$B,BH$3)</f>
        <v>0</v>
      </c>
      <c r="BI16" s="51">
        <f>SUMIFS(出库流水账!$E:$E,出库流水账!$C:$C,$B16,出库流水账!$B:$B,BH$3)</f>
        <v>1</v>
      </c>
      <c r="BJ16" s="51">
        <f>SUMIFS(入库流水账!$E:$E,入库流水账!$C:$C,$B16,入库流水账!$B:$B,BJ$3)</f>
        <v>0</v>
      </c>
      <c r="BK16" s="51">
        <f>SUMIFS(出库流水账!$E:$E,出库流水账!$C:$C,$B16,出库流水账!$B:$B,BJ$3)</f>
        <v>0</v>
      </c>
      <c r="BL16" s="51">
        <f>SUMIFS(入库流水账!$E:$E,入库流水账!$C:$C,$B16,入库流水账!$B:$B,BL$3)</f>
        <v>0</v>
      </c>
      <c r="BM16" s="51">
        <f>SUMIFS(出库流水账!$E:$E,出库流水账!$C:$C,$B16,出库流水账!$B:$B,BL$3)</f>
        <v>0</v>
      </c>
      <c r="BN16" s="51">
        <f>SUMIFS(入库流水账!$E:$E,入库流水账!$C:$C,$B16,入库流水账!$B:$B,BN$3)</f>
        <v>0</v>
      </c>
      <c r="BO16" s="51">
        <f>SUMIFS(出库流水账!$E:$E,出库流水账!$C:$C,$B16,出库流水账!$B:$B,BN$3)</f>
        <v>0</v>
      </c>
      <c r="BP16" s="51">
        <f>SUMIFS(入库流水账!$E:$E,入库流水账!$C:$C,$B16,入库流水账!$B:$B,BP$3)</f>
        <v>0</v>
      </c>
      <c r="BQ16" s="51">
        <f>SUMIFS(出库流水账!$E:$E,出库流水账!$C:$C,$B16,出库流水账!$B:$B,BP$3)</f>
        <v>0</v>
      </c>
    </row>
    <row r="17" s="35" customFormat="1" ht="18" customHeight="1" spans="1:69">
      <c r="A17" s="46">
        <f>ROW()-4</f>
        <v>13</v>
      </c>
      <c r="B17" s="47" t="s">
        <v>51</v>
      </c>
      <c r="C17" s="48" t="str">
        <f>IFERROR(VLOOKUP(B17,产品数据!$B:$D,3,FALSE),"")</f>
        <v>包</v>
      </c>
      <c r="D17" s="23">
        <f>'[2]米油调味品台账表 12月      '!G18</f>
        <v>0</v>
      </c>
      <c r="E17" s="46">
        <f>SUMIF($H$4:$BQ$4,$E$2,H17:BQ17)</f>
        <v>0</v>
      </c>
      <c r="F17" s="46">
        <f>SUMIF($H$4:$BQ$4,$F$2,H17:BQ17)</f>
        <v>0</v>
      </c>
      <c r="G17" s="50">
        <f>D17+E17-F17</f>
        <v>0</v>
      </c>
      <c r="H17" s="51">
        <f>SUMIFS(入库流水账!$E:$E,入库流水账!$C:$C,$B17,入库流水账!$B:$B,H$3)</f>
        <v>0</v>
      </c>
      <c r="I17" s="51">
        <f>SUMIFS(出库流水账!$E:$E,出库流水账!$C:$C,$B17,出库流水账!$B:$B,H$3)</f>
        <v>0</v>
      </c>
      <c r="J17" s="51">
        <f>SUMIFS(入库流水账!$E:$E,入库流水账!$C:$C,$B17,入库流水账!$B:$B,J$3)</f>
        <v>0</v>
      </c>
      <c r="K17" s="51">
        <f>SUMIFS(出库流水账!$E:$E,出库流水账!$C:$C,$B17,出库流水账!$B:$B,J$3)</f>
        <v>0</v>
      </c>
      <c r="L17" s="51">
        <f>SUMIFS(入库流水账!$E:$E,入库流水账!$C:$C,$B17,入库流水账!$B:$B,L$3)</f>
        <v>0</v>
      </c>
      <c r="M17" s="51">
        <f>SUMIFS(出库流水账!$E:$E,出库流水账!$C:$C,$B17,出库流水账!$B:$B,L$3)</f>
        <v>0</v>
      </c>
      <c r="N17" s="51">
        <f>SUMIFS(入库流水账!$E:$E,入库流水账!$C:$C,$B17,入库流水账!$B:$B,N$3)</f>
        <v>0</v>
      </c>
      <c r="O17" s="51">
        <f>SUMIFS(出库流水账!$E:$E,出库流水账!$C:$C,$B17,出库流水账!$B:$B,N$3)</f>
        <v>0</v>
      </c>
      <c r="P17" s="51">
        <f>SUMIFS(入库流水账!$E:$E,入库流水账!$C:$C,$B17,入库流水账!$B:$B,P$3)</f>
        <v>0</v>
      </c>
      <c r="Q17" s="51">
        <f>SUMIFS(出库流水账!$E:$E,出库流水账!$C:$C,$B17,出库流水账!$B:$B,P$3)</f>
        <v>0</v>
      </c>
      <c r="R17" s="51">
        <f>SUMIFS(入库流水账!$E:$E,入库流水账!$C:$C,$B17,入库流水账!$B:$B,R$3)</f>
        <v>0</v>
      </c>
      <c r="S17" s="51">
        <f>SUMIFS(出库流水账!$E:$E,出库流水账!$C:$C,$B17,出库流水账!$B:$B,R$3)</f>
        <v>0</v>
      </c>
      <c r="T17" s="51">
        <f>SUMIFS(入库流水账!$E:$E,入库流水账!$C:$C,$B17,入库流水账!$B:$B,T$3)</f>
        <v>0</v>
      </c>
      <c r="U17" s="51">
        <f>SUMIFS(出库流水账!$E:$E,出库流水账!$C:$C,$B17,出库流水账!$B:$B,T$3)</f>
        <v>0</v>
      </c>
      <c r="V17" s="51">
        <f>SUMIFS(入库流水账!$E:$E,入库流水账!$C:$C,$B17,入库流水账!$B:$B,V$3)</f>
        <v>0</v>
      </c>
      <c r="W17" s="51">
        <f>SUMIFS(出库流水账!$E:$E,出库流水账!$C:$C,$B17,出库流水账!$B:$B,V$3)</f>
        <v>0</v>
      </c>
      <c r="X17" s="51">
        <f>SUMIFS(入库流水账!$E:$E,入库流水账!$C:$C,$B17,入库流水账!$B:$B,X$3)</f>
        <v>0</v>
      </c>
      <c r="Y17" s="51">
        <f>SUMIFS(出库流水账!$E:$E,出库流水账!$C:$C,$B17,出库流水账!$B:$B,X$3)</f>
        <v>0</v>
      </c>
      <c r="Z17" s="51">
        <f>SUMIFS(入库流水账!$E:$E,入库流水账!$C:$C,$B17,入库流水账!$B:$B,Z$3)</f>
        <v>0</v>
      </c>
      <c r="AA17" s="51">
        <f>SUMIFS(出库流水账!$E:$E,出库流水账!$C:$C,$B17,出库流水账!$B:$B,Z$3)</f>
        <v>0</v>
      </c>
      <c r="AB17" s="51">
        <f>SUMIFS(入库流水账!$E:$E,入库流水账!$C:$C,$B17,入库流水账!$B:$B,AB$3)</f>
        <v>0</v>
      </c>
      <c r="AC17" s="51">
        <f>SUMIFS(出库流水账!$E:$E,出库流水账!$C:$C,$B17,出库流水账!$B:$B,AB$3)</f>
        <v>0</v>
      </c>
      <c r="AD17" s="51">
        <f>SUMIFS(入库流水账!$E:$E,入库流水账!$C:$C,$B17,入库流水账!$B:$B,AD$3)</f>
        <v>0</v>
      </c>
      <c r="AE17" s="51">
        <f>SUMIFS(出库流水账!$E:$E,出库流水账!$C:$C,$B17,出库流水账!$B:$B,AD$3)</f>
        <v>0</v>
      </c>
      <c r="AF17" s="51">
        <f>SUMIFS(入库流水账!$E:$E,入库流水账!$C:$C,$B17,入库流水账!$B:$B,AF$3)</f>
        <v>0</v>
      </c>
      <c r="AG17" s="51">
        <f>SUMIFS(出库流水账!$E:$E,出库流水账!$C:$C,$B17,出库流水账!$B:$B,AF$3)</f>
        <v>0</v>
      </c>
      <c r="AH17" s="51">
        <f>SUMIFS(入库流水账!$E:$E,入库流水账!$C:$C,$B17,入库流水账!$B:$B,AH$3)</f>
        <v>0</v>
      </c>
      <c r="AI17" s="51">
        <f>SUMIFS(出库流水账!$E:$E,出库流水账!$C:$C,$B17,出库流水账!$B:$B,AH$3)</f>
        <v>0</v>
      </c>
      <c r="AJ17" s="51">
        <f>SUMIFS(入库流水账!$E:$E,入库流水账!$C:$C,$B17,入库流水账!$B:$B,AJ$3)</f>
        <v>0</v>
      </c>
      <c r="AK17" s="51">
        <f>SUMIFS(出库流水账!$E:$E,出库流水账!$C:$C,$B17,出库流水账!$B:$B,AJ$3)</f>
        <v>0</v>
      </c>
      <c r="AL17" s="51">
        <f>SUMIFS(入库流水账!$E:$E,入库流水账!$C:$C,$B17,入库流水账!$B:$B,AL$3)</f>
        <v>0</v>
      </c>
      <c r="AM17" s="51">
        <f>SUMIFS(出库流水账!$E:$E,出库流水账!$C:$C,$B17,出库流水账!$B:$B,AL$3)</f>
        <v>0</v>
      </c>
      <c r="AN17" s="51">
        <f>SUMIFS(入库流水账!$E:$E,入库流水账!$C:$C,$B17,入库流水账!$B:$B,AN$3)</f>
        <v>0</v>
      </c>
      <c r="AO17" s="51">
        <f>SUMIFS(出库流水账!$E:$E,出库流水账!$C:$C,$B17,出库流水账!$B:$B,AN$3)</f>
        <v>0</v>
      </c>
      <c r="AP17" s="51">
        <f>SUMIFS(入库流水账!$E:$E,入库流水账!$C:$C,$B17,入库流水账!$B:$B,AP$3)</f>
        <v>0</v>
      </c>
      <c r="AQ17" s="51">
        <f>SUMIFS(出库流水账!$E:$E,出库流水账!$C:$C,$B17,出库流水账!$B:$B,AP$3)</f>
        <v>0</v>
      </c>
      <c r="AR17" s="51">
        <f>SUMIFS(入库流水账!$E:$E,入库流水账!$C:$C,$B17,入库流水账!$B:$B,AR$3)</f>
        <v>0</v>
      </c>
      <c r="AS17" s="51">
        <f>SUMIFS(出库流水账!$E:$E,出库流水账!$C:$C,$B17,出库流水账!$B:$B,AR$3)</f>
        <v>0</v>
      </c>
      <c r="AT17" s="51">
        <f>SUMIFS(入库流水账!$E:$E,入库流水账!$C:$C,$B17,入库流水账!$B:$B,AT$3)</f>
        <v>0</v>
      </c>
      <c r="AU17" s="51">
        <f>SUMIFS(出库流水账!$E:$E,出库流水账!$C:$C,$B17,出库流水账!$B:$B,AT$3)</f>
        <v>0</v>
      </c>
      <c r="AV17" s="51">
        <f>SUMIFS(入库流水账!$E:$E,入库流水账!$C:$C,$B17,入库流水账!$B:$B,AV$3)</f>
        <v>0</v>
      </c>
      <c r="AW17" s="51">
        <f>SUMIFS(出库流水账!$E:$E,出库流水账!$C:$C,$B17,出库流水账!$B:$B,AV$3)</f>
        <v>0</v>
      </c>
      <c r="AX17" s="51">
        <f>SUMIFS(入库流水账!$E:$E,入库流水账!$C:$C,$B17,入库流水账!$B:$B,AX$3)</f>
        <v>0</v>
      </c>
      <c r="AY17" s="51">
        <f>SUMIFS(出库流水账!$E:$E,出库流水账!$C:$C,$B17,出库流水账!$B:$B,AX$3)</f>
        <v>0</v>
      </c>
      <c r="AZ17" s="51">
        <f>SUMIFS(入库流水账!$E:$E,入库流水账!$C:$C,$B17,入库流水账!$B:$B,AZ$3)</f>
        <v>0</v>
      </c>
      <c r="BA17" s="51">
        <f>SUMIFS(出库流水账!$E:$E,出库流水账!$C:$C,$B17,出库流水账!$B:$B,AZ$3)</f>
        <v>0</v>
      </c>
      <c r="BB17" s="51">
        <f>SUMIFS(入库流水账!$E:$E,入库流水账!$C:$C,$B17,入库流水账!$B:$B,BB$3)</f>
        <v>0</v>
      </c>
      <c r="BC17" s="51">
        <f>SUMIFS(出库流水账!$E:$E,出库流水账!$C:$C,$B17,出库流水账!$B:$B,BB$3)</f>
        <v>0</v>
      </c>
      <c r="BD17" s="51">
        <f>SUMIFS(入库流水账!$E:$E,入库流水账!$C:$C,$B17,入库流水账!$B:$B,BD$3)</f>
        <v>0</v>
      </c>
      <c r="BE17" s="51">
        <f>SUMIFS(出库流水账!$E:$E,出库流水账!$C:$C,$B17,出库流水账!$B:$B,BD$3)</f>
        <v>0</v>
      </c>
      <c r="BF17" s="51">
        <f>SUMIFS(入库流水账!$E:$E,入库流水账!$C:$C,$B17,入库流水账!$B:$B,BF$3)</f>
        <v>0</v>
      </c>
      <c r="BG17" s="51">
        <f>SUMIFS(出库流水账!$E:$E,出库流水账!$C:$C,$B17,出库流水账!$B:$B,BF$3)</f>
        <v>0</v>
      </c>
      <c r="BH17" s="51">
        <f>SUMIFS(入库流水账!$E:$E,入库流水账!$C:$C,$B17,入库流水账!$B:$B,BH$3)</f>
        <v>0</v>
      </c>
      <c r="BI17" s="51">
        <f>SUMIFS(出库流水账!$E:$E,出库流水账!$C:$C,$B17,出库流水账!$B:$B,BH$3)</f>
        <v>0</v>
      </c>
      <c r="BJ17" s="51">
        <f>SUMIFS(入库流水账!$E:$E,入库流水账!$C:$C,$B17,入库流水账!$B:$B,BJ$3)</f>
        <v>0</v>
      </c>
      <c r="BK17" s="51">
        <f>SUMIFS(出库流水账!$E:$E,出库流水账!$C:$C,$B17,出库流水账!$B:$B,BJ$3)</f>
        <v>0</v>
      </c>
      <c r="BL17" s="51">
        <f>SUMIFS(入库流水账!$E:$E,入库流水账!$C:$C,$B17,入库流水账!$B:$B,BL$3)</f>
        <v>0</v>
      </c>
      <c r="BM17" s="51">
        <f>SUMIFS(出库流水账!$E:$E,出库流水账!$C:$C,$B17,出库流水账!$B:$B,BL$3)</f>
        <v>0</v>
      </c>
      <c r="BN17" s="51">
        <f>SUMIFS(入库流水账!$E:$E,入库流水账!$C:$C,$B17,入库流水账!$B:$B,BN$3)</f>
        <v>0</v>
      </c>
      <c r="BO17" s="51">
        <f>SUMIFS(出库流水账!$E:$E,出库流水账!$C:$C,$B17,出库流水账!$B:$B,BN$3)</f>
        <v>0</v>
      </c>
      <c r="BP17" s="51">
        <f>SUMIFS(入库流水账!$E:$E,入库流水账!$C:$C,$B17,入库流水账!$B:$B,BP$3)</f>
        <v>0</v>
      </c>
      <c r="BQ17" s="51">
        <f>SUMIFS(出库流水账!$E:$E,出库流水账!$C:$C,$B17,出库流水账!$B:$B,BP$3)</f>
        <v>0</v>
      </c>
    </row>
    <row r="18" s="35" customFormat="1" ht="18" customHeight="1" spans="1:69">
      <c r="A18" s="46">
        <f>ROW()-4</f>
        <v>14</v>
      </c>
      <c r="B18" s="47" t="s">
        <v>52</v>
      </c>
      <c r="C18" s="48" t="str">
        <f>IFERROR(VLOOKUP(B18,产品数据!$B:$D,3,FALSE),"")</f>
        <v>瓶</v>
      </c>
      <c r="D18" s="23">
        <v>8</v>
      </c>
      <c r="E18" s="46">
        <f>SUMIF($H$4:$BQ$4,$E$2,H18:BQ18)</f>
        <v>12</v>
      </c>
      <c r="F18" s="46">
        <f>SUMIF($H$4:$BQ$4,$F$2,H18:BQ18)</f>
        <v>20</v>
      </c>
      <c r="G18" s="50">
        <f>D18+E18-F18</f>
        <v>0</v>
      </c>
      <c r="H18" s="51">
        <f>SUMIFS(入库流水账!$E:$E,入库流水账!$C:$C,$B18,入库流水账!$B:$B,H$3)</f>
        <v>0</v>
      </c>
      <c r="I18" s="51">
        <f>SUMIFS(出库流水账!$E:$E,出库流水账!$C:$C,$B18,出库流水账!$B:$B,H$3)</f>
        <v>0</v>
      </c>
      <c r="J18" s="51">
        <f>SUMIFS(入库流水账!$E:$E,入库流水账!$C:$C,$B18,入库流水账!$B:$B,J$3)</f>
        <v>0</v>
      </c>
      <c r="K18" s="51">
        <f>SUMIFS(出库流水账!$E:$E,出库流水账!$C:$C,$B18,出库流水账!$B:$B,J$3)</f>
        <v>0</v>
      </c>
      <c r="L18" s="51">
        <f>SUMIFS(入库流水账!$E:$E,入库流水账!$C:$C,$B18,入库流水账!$B:$B,L$3)</f>
        <v>0</v>
      </c>
      <c r="M18" s="51">
        <f>SUMIFS(出库流水账!$E:$E,出库流水账!$C:$C,$B18,出库流水账!$B:$B,L$3)</f>
        <v>0</v>
      </c>
      <c r="N18" s="51">
        <f>SUMIFS(入库流水账!$E:$E,入库流水账!$C:$C,$B18,入库流水账!$B:$B,N$3)</f>
        <v>0</v>
      </c>
      <c r="O18" s="51">
        <f>SUMIFS(出库流水账!$E:$E,出库流水账!$C:$C,$B18,出库流水账!$B:$B,N$3)</f>
        <v>1</v>
      </c>
      <c r="P18" s="51">
        <f>SUMIFS(入库流水账!$E:$E,入库流水账!$C:$C,$B18,入库流水账!$B:$B,P$3)</f>
        <v>0</v>
      </c>
      <c r="Q18" s="51">
        <f>SUMIFS(出库流水账!$E:$E,出库流水账!$C:$C,$B18,出库流水账!$B:$B,P$3)</f>
        <v>0</v>
      </c>
      <c r="R18" s="51">
        <f>SUMIFS(入库流水账!$E:$E,入库流水账!$C:$C,$B18,入库流水账!$B:$B,R$3)</f>
        <v>0</v>
      </c>
      <c r="S18" s="51">
        <f>SUMIFS(出库流水账!$E:$E,出库流水账!$C:$C,$B18,出库流水账!$B:$B,R$3)</f>
        <v>1</v>
      </c>
      <c r="T18" s="51">
        <f>SUMIFS(入库流水账!$E:$E,入库流水账!$C:$C,$B18,入库流水账!$B:$B,T$3)</f>
        <v>0</v>
      </c>
      <c r="U18" s="51">
        <f>SUMIFS(出库流水账!$E:$E,出库流水账!$C:$C,$B18,出库流水账!$B:$B,T$3)</f>
        <v>1</v>
      </c>
      <c r="V18" s="51">
        <f>SUMIFS(入库流水账!$E:$E,入库流水账!$C:$C,$B18,入库流水账!$B:$B,V$3)</f>
        <v>0</v>
      </c>
      <c r="W18" s="51">
        <f>SUMIFS(出库流水账!$E:$E,出库流水账!$C:$C,$B18,出库流水账!$B:$B,V$3)</f>
        <v>1</v>
      </c>
      <c r="X18" s="51">
        <f>SUMIFS(入库流水账!$E:$E,入库流水账!$C:$C,$B18,入库流水账!$B:$B,X$3)</f>
        <v>0</v>
      </c>
      <c r="Y18" s="51">
        <f>SUMIFS(出库流水账!$E:$E,出库流水账!$C:$C,$B18,出库流水账!$B:$B,X$3)</f>
        <v>1</v>
      </c>
      <c r="Z18" s="51">
        <f>SUMIFS(入库流水账!$E:$E,入库流水账!$C:$C,$B18,入库流水账!$B:$B,Z$3)</f>
        <v>0</v>
      </c>
      <c r="AA18" s="51">
        <f>SUMIFS(出库流水账!$E:$E,出库流水账!$C:$C,$B18,出库流水账!$B:$B,Z$3)</f>
        <v>0</v>
      </c>
      <c r="AB18" s="51">
        <f>SUMIFS(入库流水账!$E:$E,入库流水账!$C:$C,$B18,入库流水账!$B:$B,AB$3)</f>
        <v>0</v>
      </c>
      <c r="AC18" s="51">
        <f>SUMIFS(出库流水账!$E:$E,出库流水账!$C:$C,$B18,出库流水账!$B:$B,AB$3)</f>
        <v>0</v>
      </c>
      <c r="AD18" s="51">
        <f>SUMIFS(入库流水账!$E:$E,入库流水账!$C:$C,$B18,入库流水账!$B:$B,AD$3)</f>
        <v>12</v>
      </c>
      <c r="AE18" s="51">
        <f>SUMIFS(出库流水账!$E:$E,出库流水账!$C:$C,$B18,出库流水账!$B:$B,AD$3)</f>
        <v>2</v>
      </c>
      <c r="AF18" s="51">
        <f>SUMIFS(入库流水账!$E:$E,入库流水账!$C:$C,$B18,入库流水账!$B:$B,AF$3)</f>
        <v>0</v>
      </c>
      <c r="AG18" s="51">
        <f>SUMIFS(出库流水账!$E:$E,出库流水账!$C:$C,$B18,出库流水账!$B:$B,AF$3)</f>
        <v>0</v>
      </c>
      <c r="AH18" s="51">
        <f>SUMIFS(入库流水账!$E:$E,入库流水账!$C:$C,$B18,入库流水账!$B:$B,AH$3)</f>
        <v>0</v>
      </c>
      <c r="AI18" s="51">
        <f>SUMIFS(出库流水账!$E:$E,出库流水账!$C:$C,$B18,出库流水账!$B:$B,AH$3)</f>
        <v>1</v>
      </c>
      <c r="AJ18" s="51">
        <f>SUMIFS(入库流水账!$E:$E,入库流水账!$C:$C,$B18,入库流水账!$B:$B,AJ$3)</f>
        <v>0</v>
      </c>
      <c r="AK18" s="51">
        <f>SUMIFS(出库流水账!$E:$E,出库流水账!$C:$C,$B18,出库流水账!$B:$B,AJ$3)</f>
        <v>1</v>
      </c>
      <c r="AL18" s="51">
        <f>SUMIFS(入库流水账!$E:$E,入库流水账!$C:$C,$B18,入库流水账!$B:$B,AL$3)</f>
        <v>0</v>
      </c>
      <c r="AM18" s="51">
        <f>SUMIFS(出库流水账!$E:$E,出库流水账!$C:$C,$B18,出库流水账!$B:$B,AL$3)</f>
        <v>1</v>
      </c>
      <c r="AN18" s="51">
        <f>SUMIFS(入库流水账!$E:$E,入库流水账!$C:$C,$B18,入库流水账!$B:$B,AN$3)</f>
        <v>0</v>
      </c>
      <c r="AO18" s="51">
        <f>SUMIFS(出库流水账!$E:$E,出库流水账!$C:$C,$B18,出库流水账!$B:$B,AN$3)</f>
        <v>0</v>
      </c>
      <c r="AP18" s="51">
        <f>SUMIFS(入库流水账!$E:$E,入库流水账!$C:$C,$B18,入库流水账!$B:$B,AP$3)</f>
        <v>0</v>
      </c>
      <c r="AQ18" s="51">
        <f>SUMIFS(出库流水账!$E:$E,出库流水账!$C:$C,$B18,出库流水账!$B:$B,AP$3)</f>
        <v>0</v>
      </c>
      <c r="AR18" s="51">
        <f>SUMIFS(入库流水账!$E:$E,入库流水账!$C:$C,$B18,入库流水账!$B:$B,AR$3)</f>
        <v>0</v>
      </c>
      <c r="AS18" s="51">
        <f>SUMIFS(出库流水账!$E:$E,出库流水账!$C:$C,$B18,出库流水账!$B:$B,AR$3)</f>
        <v>0</v>
      </c>
      <c r="AT18" s="51">
        <f>SUMIFS(入库流水账!$E:$E,入库流水账!$C:$C,$B18,入库流水账!$B:$B,AT$3)</f>
        <v>0</v>
      </c>
      <c r="AU18" s="51">
        <f>SUMIFS(出库流水账!$E:$E,出库流水账!$C:$C,$B18,出库流水账!$B:$B,AT$3)</f>
        <v>1</v>
      </c>
      <c r="AV18" s="51">
        <f>SUMIFS(入库流水账!$E:$E,入库流水账!$C:$C,$B18,入库流水账!$B:$B,AV$3)</f>
        <v>0</v>
      </c>
      <c r="AW18" s="51">
        <f>SUMIFS(出库流水账!$E:$E,出库流水账!$C:$C,$B18,出库流水账!$B:$B,AV$3)</f>
        <v>1</v>
      </c>
      <c r="AX18" s="51">
        <f>SUMIFS(入库流水账!$E:$E,入库流水账!$C:$C,$B18,入库流水账!$B:$B,AX$3)</f>
        <v>0</v>
      </c>
      <c r="AY18" s="51">
        <f>SUMIFS(出库流水账!$E:$E,出库流水账!$C:$C,$B18,出库流水账!$B:$B,AX$3)</f>
        <v>1</v>
      </c>
      <c r="AZ18" s="51">
        <f>SUMIFS(入库流水账!$E:$E,入库流水账!$C:$C,$B18,入库流水账!$B:$B,AZ$3)</f>
        <v>0</v>
      </c>
      <c r="BA18" s="51">
        <f>SUMIFS(出库流水账!$E:$E,出库流水账!$C:$C,$B18,出库流水账!$B:$B,AZ$3)</f>
        <v>1</v>
      </c>
      <c r="BB18" s="51">
        <f>SUMIFS(入库流水账!$E:$E,入库流水账!$C:$C,$B18,入库流水账!$B:$B,BB$3)</f>
        <v>0</v>
      </c>
      <c r="BC18" s="51">
        <f>SUMIFS(出库流水账!$E:$E,出库流水账!$C:$C,$B18,出库流水账!$B:$B,BB$3)</f>
        <v>0</v>
      </c>
      <c r="BD18" s="51">
        <f>SUMIFS(入库流水账!$E:$E,入库流水账!$C:$C,$B18,入库流水账!$B:$B,BD$3)</f>
        <v>0</v>
      </c>
      <c r="BE18" s="51">
        <f>SUMIFS(出库流水账!$E:$E,出库流水账!$C:$C,$B18,出库流水账!$B:$B,BD$3)</f>
        <v>0</v>
      </c>
      <c r="BF18" s="51">
        <f>SUMIFS(入库流水账!$E:$E,入库流水账!$C:$C,$B18,入库流水账!$B:$B,BF$3)</f>
        <v>0</v>
      </c>
      <c r="BG18" s="51">
        <f>SUMIFS(出库流水账!$E:$E,出库流水账!$C:$C,$B18,出库流水账!$B:$B,BF$3)</f>
        <v>2</v>
      </c>
      <c r="BH18" s="51">
        <f>SUMIFS(入库流水账!$E:$E,入库流水账!$C:$C,$B18,入库流水账!$B:$B,BH$3)</f>
        <v>0</v>
      </c>
      <c r="BI18" s="51">
        <f>SUMIFS(出库流水账!$E:$E,出库流水账!$C:$C,$B18,出库流水账!$B:$B,BH$3)</f>
        <v>1</v>
      </c>
      <c r="BJ18" s="51">
        <f>SUMIFS(入库流水账!$E:$E,入库流水账!$C:$C,$B18,入库流水账!$B:$B,BJ$3)</f>
        <v>0</v>
      </c>
      <c r="BK18" s="51">
        <f>SUMIFS(出库流水账!$E:$E,出库流水账!$C:$C,$B18,出库流水账!$B:$B,BJ$3)</f>
        <v>1</v>
      </c>
      <c r="BL18" s="51">
        <f>SUMIFS(入库流水账!$E:$E,入库流水账!$C:$C,$B18,入库流水账!$B:$B,BL$3)</f>
        <v>0</v>
      </c>
      <c r="BM18" s="51">
        <f>SUMIFS(出库流水账!$E:$E,出库流水账!$C:$C,$B18,出库流水账!$B:$B,BL$3)</f>
        <v>1</v>
      </c>
      <c r="BN18" s="51">
        <f>SUMIFS(入库流水账!$E:$E,入库流水账!$C:$C,$B18,入库流水账!$B:$B,BN$3)</f>
        <v>0</v>
      </c>
      <c r="BO18" s="51">
        <f>SUMIFS(出库流水账!$E:$E,出库流水账!$C:$C,$B18,出库流水账!$B:$B,BN$3)</f>
        <v>1</v>
      </c>
      <c r="BP18" s="51">
        <f>SUMIFS(入库流水账!$E:$E,入库流水账!$C:$C,$B18,入库流水账!$B:$B,BP$3)</f>
        <v>0</v>
      </c>
      <c r="BQ18" s="51">
        <f>SUMIFS(出库流水账!$E:$E,出库流水账!$C:$C,$B18,出库流水账!$B:$B,BP$3)</f>
        <v>0</v>
      </c>
    </row>
    <row r="19" s="35" customFormat="1" ht="18" customHeight="1" spans="1:69">
      <c r="A19" s="46">
        <f>ROW()-4</f>
        <v>15</v>
      </c>
      <c r="B19" s="47" t="s">
        <v>53</v>
      </c>
      <c r="C19" s="48" t="str">
        <f>IFERROR(VLOOKUP(B19,产品数据!$B:$D,3,FALSE),"")</f>
        <v>桶</v>
      </c>
      <c r="D19" s="23">
        <v>6</v>
      </c>
      <c r="E19" s="46">
        <f>SUMIF($H$4:$BQ$4,$E$2,H19:BQ19)</f>
        <v>18</v>
      </c>
      <c r="F19" s="46">
        <f>SUMIF($H$4:$BQ$4,$F$2,H19:BQ19)</f>
        <v>22</v>
      </c>
      <c r="G19" s="50">
        <f>D19+E19-F19</f>
        <v>2</v>
      </c>
      <c r="H19" s="51">
        <f>SUMIFS(入库流水账!$E:$E,入库流水账!$C:$C,$B19,入库流水账!$B:$B,H$3)</f>
        <v>0</v>
      </c>
      <c r="I19" s="51">
        <f>SUMIFS(出库流水账!$E:$E,出库流水账!$C:$C,$B19,出库流水账!$B:$B,H$3)</f>
        <v>0</v>
      </c>
      <c r="J19" s="51">
        <f>SUMIFS(入库流水账!$E:$E,入库流水账!$C:$C,$B19,入库流水账!$B:$B,J$3)</f>
        <v>0</v>
      </c>
      <c r="K19" s="51">
        <f>SUMIFS(出库流水账!$E:$E,出库流水账!$C:$C,$B19,出库流水账!$B:$B,J$3)</f>
        <v>0</v>
      </c>
      <c r="L19" s="51">
        <f>SUMIFS(入库流水账!$E:$E,入库流水账!$C:$C,$B19,入库流水账!$B:$B,L$3)</f>
        <v>0</v>
      </c>
      <c r="M19" s="51">
        <f>SUMIFS(出库流水账!$E:$E,出库流水账!$C:$C,$B19,出库流水账!$B:$B,L$3)</f>
        <v>0</v>
      </c>
      <c r="N19" s="51">
        <f>SUMIFS(入库流水账!$E:$E,入库流水账!$C:$C,$B19,入库流水账!$B:$B,N$3)</f>
        <v>0</v>
      </c>
      <c r="O19" s="51">
        <f>SUMIFS(出库流水账!$E:$E,出库流水账!$C:$C,$B19,出库流水账!$B:$B,N$3)</f>
        <v>0</v>
      </c>
      <c r="P19" s="51">
        <f>SUMIFS(入库流水账!$E:$E,入库流水账!$C:$C,$B19,入库流水账!$B:$B,P$3)</f>
        <v>0</v>
      </c>
      <c r="Q19" s="51">
        <f>SUMIFS(出库流水账!$E:$E,出库流水账!$C:$C,$B19,出库流水账!$B:$B,P$3)</f>
        <v>0</v>
      </c>
      <c r="R19" s="51">
        <f>SUMIFS(入库流水账!$E:$E,入库流水账!$C:$C,$B19,入库流水账!$B:$B,R$3)</f>
        <v>0</v>
      </c>
      <c r="S19" s="51">
        <f>SUMIFS(出库流水账!$E:$E,出库流水账!$C:$C,$B19,出库流水账!$B:$B,R$3)</f>
        <v>1</v>
      </c>
      <c r="T19" s="51">
        <f>SUMIFS(入库流水账!$E:$E,入库流水账!$C:$C,$B19,入库流水账!$B:$B,T$3)</f>
        <v>0</v>
      </c>
      <c r="U19" s="51">
        <f>SUMIFS(出库流水账!$E:$E,出库流水账!$C:$C,$B19,出库流水账!$B:$B,T$3)</f>
        <v>1</v>
      </c>
      <c r="V19" s="51">
        <f>SUMIFS(入库流水账!$E:$E,入库流水账!$C:$C,$B19,入库流水账!$B:$B,V$3)</f>
        <v>0</v>
      </c>
      <c r="W19" s="51">
        <f>SUMIFS(出库流水账!$E:$E,出库流水账!$C:$C,$B19,出库流水账!$B:$B,V$3)</f>
        <v>1</v>
      </c>
      <c r="X19" s="51">
        <f>SUMIFS(入库流水账!$E:$E,入库流水账!$C:$C,$B19,入库流水账!$B:$B,X$3)</f>
        <v>0</v>
      </c>
      <c r="Y19" s="51">
        <f>SUMIFS(出库流水账!$E:$E,出库流水账!$C:$C,$B19,出库流水账!$B:$B,X$3)</f>
        <v>2</v>
      </c>
      <c r="Z19" s="51">
        <f>SUMIFS(入库流水账!$E:$E,入库流水账!$C:$C,$B19,入库流水账!$B:$B,Z$3)</f>
        <v>0</v>
      </c>
      <c r="AA19" s="51">
        <f>SUMIFS(出库流水账!$E:$E,出库流水账!$C:$C,$B19,出库流水账!$B:$B,Z$3)</f>
        <v>0</v>
      </c>
      <c r="AB19" s="51">
        <f>SUMIFS(入库流水账!$E:$E,入库流水账!$C:$C,$B19,入库流水账!$B:$B,AB$3)</f>
        <v>0</v>
      </c>
      <c r="AC19" s="51">
        <f>SUMIFS(出库流水账!$E:$E,出库流水账!$C:$C,$B19,出库流水账!$B:$B,AB$3)</f>
        <v>0</v>
      </c>
      <c r="AD19" s="51">
        <f>SUMIFS(入库流水账!$E:$E,入库流水账!$C:$C,$B19,入库流水账!$B:$B,AD$3)</f>
        <v>6</v>
      </c>
      <c r="AE19" s="51">
        <f>SUMIFS(出库流水账!$E:$E,出库流水账!$C:$C,$B19,出库流水账!$B:$B,AD$3)</f>
        <v>1</v>
      </c>
      <c r="AF19" s="51">
        <f>SUMIFS(入库流水账!$E:$E,入库流水账!$C:$C,$B19,入库流水账!$B:$B,AF$3)</f>
        <v>0</v>
      </c>
      <c r="AG19" s="51">
        <f>SUMIFS(出库流水账!$E:$E,出库流水账!$C:$C,$B19,出库流水账!$B:$B,AF$3)</f>
        <v>0</v>
      </c>
      <c r="AH19" s="51">
        <f>SUMIFS(入库流水账!$E:$E,入库流水账!$C:$C,$B19,入库流水账!$B:$B,AH$3)</f>
        <v>0</v>
      </c>
      <c r="AI19" s="51">
        <f>SUMIFS(出库流水账!$E:$E,出库流水账!$C:$C,$B19,出库流水账!$B:$B,AH$3)</f>
        <v>0</v>
      </c>
      <c r="AJ19" s="51">
        <f>SUMIFS(入库流水账!$E:$E,入库流水账!$C:$C,$B19,入库流水账!$B:$B,AJ$3)</f>
        <v>0</v>
      </c>
      <c r="AK19" s="51">
        <f>SUMIFS(出库流水账!$E:$E,出库流水账!$C:$C,$B19,出库流水账!$B:$B,AJ$3)</f>
        <v>1</v>
      </c>
      <c r="AL19" s="51">
        <f>SUMIFS(入库流水账!$E:$E,入库流水账!$C:$C,$B19,入库流水账!$B:$B,AL$3)</f>
        <v>0</v>
      </c>
      <c r="AM19" s="51">
        <f>SUMIFS(出库流水账!$E:$E,出库流水账!$C:$C,$B19,出库流水账!$B:$B,AL$3)</f>
        <v>2</v>
      </c>
      <c r="AN19" s="51">
        <f>SUMIFS(入库流水账!$E:$E,入库流水账!$C:$C,$B19,入库流水账!$B:$B,AN$3)</f>
        <v>0</v>
      </c>
      <c r="AO19" s="51">
        <f>SUMIFS(出库流水账!$E:$E,出库流水账!$C:$C,$B19,出库流水账!$B:$B,AN$3)</f>
        <v>0</v>
      </c>
      <c r="AP19" s="51">
        <f>SUMIFS(入库流水账!$E:$E,入库流水账!$C:$C,$B19,入库流水账!$B:$B,AP$3)</f>
        <v>0</v>
      </c>
      <c r="AQ19" s="51">
        <f>SUMIFS(出库流水账!$E:$E,出库流水账!$C:$C,$B19,出库流水账!$B:$B,AP$3)</f>
        <v>0</v>
      </c>
      <c r="AR19" s="51">
        <f>SUMIFS(入库流水账!$E:$E,入库流水账!$C:$C,$B19,入库流水账!$B:$B,AR$3)</f>
        <v>0</v>
      </c>
      <c r="AS19" s="51">
        <f>SUMIFS(出库流水账!$E:$E,出库流水账!$C:$C,$B19,出库流水账!$B:$B,AR$3)</f>
        <v>2</v>
      </c>
      <c r="AT19" s="51">
        <f>SUMIFS(入库流水账!$E:$E,入库流水账!$C:$C,$B19,入库流水账!$B:$B,AT$3)</f>
        <v>12</v>
      </c>
      <c r="AU19" s="51">
        <f>SUMIFS(出库流水账!$E:$E,出库流水账!$C:$C,$B19,出库流水账!$B:$B,AT$3)</f>
        <v>0</v>
      </c>
      <c r="AV19" s="51">
        <f>SUMIFS(入库流水账!$E:$E,入库流水账!$C:$C,$B19,入库流水账!$B:$B,AV$3)</f>
        <v>0</v>
      </c>
      <c r="AW19" s="51">
        <f>SUMIFS(出库流水账!$E:$E,出库流水账!$C:$C,$B19,出库流水账!$B:$B,AV$3)</f>
        <v>1</v>
      </c>
      <c r="AX19" s="51">
        <f>SUMIFS(入库流水账!$E:$E,入库流水账!$C:$C,$B19,入库流水账!$B:$B,AX$3)</f>
        <v>0</v>
      </c>
      <c r="AY19" s="51">
        <f>SUMIFS(出库流水账!$E:$E,出库流水账!$C:$C,$B19,出库流水账!$B:$B,AX$3)</f>
        <v>1</v>
      </c>
      <c r="AZ19" s="51">
        <f>SUMIFS(入库流水账!$E:$E,入库流水账!$C:$C,$B19,入库流水账!$B:$B,AZ$3)</f>
        <v>0</v>
      </c>
      <c r="BA19" s="51">
        <f>SUMIFS(出库流水账!$E:$E,出库流水账!$C:$C,$B19,出库流水账!$B:$B,AZ$3)</f>
        <v>2</v>
      </c>
      <c r="BB19" s="51">
        <f>SUMIFS(入库流水账!$E:$E,入库流水账!$C:$C,$B19,入库流水账!$B:$B,BB$3)</f>
        <v>0</v>
      </c>
      <c r="BC19" s="51">
        <f>SUMIFS(出库流水账!$E:$E,出库流水账!$C:$C,$B19,出库流水账!$B:$B,BB$3)</f>
        <v>0</v>
      </c>
      <c r="BD19" s="51">
        <f>SUMIFS(入库流水账!$E:$E,入库流水账!$C:$C,$B19,入库流水账!$B:$B,BD$3)</f>
        <v>0</v>
      </c>
      <c r="BE19" s="51">
        <f>SUMIFS(出库流水账!$E:$E,出库流水账!$C:$C,$B19,出库流水账!$B:$B,BD$3)</f>
        <v>0</v>
      </c>
      <c r="BF19" s="51">
        <f>SUMIFS(入库流水账!$E:$E,入库流水账!$C:$C,$B19,入库流水账!$B:$B,BF$3)</f>
        <v>0</v>
      </c>
      <c r="BG19" s="51">
        <f>SUMIFS(出库流水账!$E:$E,出库流水账!$C:$C,$B19,出库流水账!$B:$B,BF$3)</f>
        <v>2</v>
      </c>
      <c r="BH19" s="51">
        <f>SUMIFS(入库流水账!$E:$E,入库流水账!$C:$C,$B19,入库流水账!$B:$B,BH$3)</f>
        <v>0</v>
      </c>
      <c r="BI19" s="51">
        <f>SUMIFS(出库流水账!$E:$E,出库流水账!$C:$C,$B19,出库流水账!$B:$B,BH$3)</f>
        <v>1</v>
      </c>
      <c r="BJ19" s="51">
        <f>SUMIFS(入库流水账!$E:$E,入库流水账!$C:$C,$B19,入库流水账!$B:$B,BJ$3)</f>
        <v>0</v>
      </c>
      <c r="BK19" s="51">
        <f>SUMIFS(出库流水账!$E:$E,出库流水账!$C:$C,$B19,出库流水账!$B:$B,BJ$3)</f>
        <v>1</v>
      </c>
      <c r="BL19" s="51">
        <f>SUMIFS(入库流水账!$E:$E,入库流水账!$C:$C,$B19,入库流水账!$B:$B,BL$3)</f>
        <v>0</v>
      </c>
      <c r="BM19" s="51">
        <f>SUMIFS(出库流水账!$E:$E,出库流水账!$C:$C,$B19,出库流水账!$B:$B,BL$3)</f>
        <v>1</v>
      </c>
      <c r="BN19" s="51">
        <f>SUMIFS(入库流水账!$E:$E,入库流水账!$C:$C,$B19,入库流水账!$B:$B,BN$3)</f>
        <v>0</v>
      </c>
      <c r="BO19" s="51">
        <f>SUMIFS(出库流水账!$E:$E,出库流水账!$C:$C,$B19,出库流水账!$B:$B,BN$3)</f>
        <v>2</v>
      </c>
      <c r="BP19" s="51">
        <f>SUMIFS(入库流水账!$E:$E,入库流水账!$C:$C,$B19,入库流水账!$B:$B,BP$3)</f>
        <v>0</v>
      </c>
      <c r="BQ19" s="51">
        <f>SUMIFS(出库流水账!$E:$E,出库流水账!$C:$C,$B19,出库流水账!$B:$B,BP$3)</f>
        <v>0</v>
      </c>
    </row>
    <row r="20" s="35" customFormat="1" ht="18" customHeight="1" spans="1:69">
      <c r="A20" s="46">
        <f>ROW()-4</f>
        <v>16</v>
      </c>
      <c r="B20" s="47" t="s">
        <v>54</v>
      </c>
      <c r="C20" s="48" t="str">
        <f>IFERROR(VLOOKUP(B20,产品数据!$B:$D,3,FALSE),"")</f>
        <v>瓶</v>
      </c>
      <c r="D20" s="23">
        <v>3</v>
      </c>
      <c r="E20" s="46">
        <f>SUMIF($H$4:$BQ$4,$E$2,H20:BQ20)</f>
        <v>24</v>
      </c>
      <c r="F20" s="46">
        <f>SUMIF($H$4:$BQ$4,$F$2,H20:BQ20)</f>
        <v>25</v>
      </c>
      <c r="G20" s="50">
        <f>D20+E20-F20</f>
        <v>2</v>
      </c>
      <c r="H20" s="51">
        <f>SUMIFS(入库流水账!$E:$E,入库流水账!$C:$C,$B20,入库流水账!$B:$B,H$3)</f>
        <v>0</v>
      </c>
      <c r="I20" s="51">
        <f>SUMIFS(出库流水账!$E:$E,出库流水账!$C:$C,$B20,出库流水账!$B:$B,H$3)</f>
        <v>0</v>
      </c>
      <c r="J20" s="51">
        <f>SUMIFS(入库流水账!$E:$E,入库流水账!$C:$C,$B20,入库流水账!$B:$B,J$3)</f>
        <v>0</v>
      </c>
      <c r="K20" s="51">
        <f>SUMIFS(出库流水账!$E:$E,出库流水账!$C:$C,$B20,出库流水账!$B:$B,J$3)</f>
        <v>0</v>
      </c>
      <c r="L20" s="51">
        <f>SUMIFS(入库流水账!$E:$E,入库流水账!$C:$C,$B20,入库流水账!$B:$B,L$3)</f>
        <v>0</v>
      </c>
      <c r="M20" s="51">
        <f>SUMIFS(出库流水账!$E:$E,出库流水账!$C:$C,$B20,出库流水账!$B:$B,L$3)</f>
        <v>0</v>
      </c>
      <c r="N20" s="51">
        <f>SUMIFS(入库流水账!$E:$E,入库流水账!$C:$C,$B20,入库流水账!$B:$B,N$3)</f>
        <v>0</v>
      </c>
      <c r="O20" s="51">
        <f>SUMIFS(出库流水账!$E:$E,出库流水账!$C:$C,$B20,出库流水账!$B:$B,N$3)</f>
        <v>1</v>
      </c>
      <c r="P20" s="51">
        <f>SUMIFS(入库流水账!$E:$E,入库流水账!$C:$C,$B20,入库流水账!$B:$B,P$3)</f>
        <v>0</v>
      </c>
      <c r="Q20" s="51">
        <f>SUMIFS(出库流水账!$E:$E,出库流水账!$C:$C,$B20,出库流水账!$B:$B,P$3)</f>
        <v>0</v>
      </c>
      <c r="R20" s="51">
        <f>SUMIFS(入库流水账!$E:$E,入库流水账!$C:$C,$B20,入库流水账!$B:$B,R$3)</f>
        <v>0</v>
      </c>
      <c r="S20" s="51">
        <f>SUMIFS(出库流水账!$E:$E,出库流水账!$C:$C,$B20,出库流水账!$B:$B,R$3)</f>
        <v>1</v>
      </c>
      <c r="T20" s="51">
        <f>SUMIFS(入库流水账!$E:$E,入库流水账!$C:$C,$B20,入库流水账!$B:$B,T$3)</f>
        <v>12</v>
      </c>
      <c r="U20" s="51">
        <f>SUMIFS(出库流水账!$E:$E,出库流水账!$C:$C,$B20,出库流水账!$B:$B,T$3)</f>
        <v>1</v>
      </c>
      <c r="V20" s="51">
        <f>SUMIFS(入库流水账!$E:$E,入库流水账!$C:$C,$B20,入库流水账!$B:$B,V$3)</f>
        <v>0</v>
      </c>
      <c r="W20" s="51">
        <f>SUMIFS(出库流水账!$E:$E,出库流水账!$C:$C,$B20,出库流水账!$B:$B,V$3)</f>
        <v>1</v>
      </c>
      <c r="X20" s="51">
        <f>SUMIFS(入库流水账!$E:$E,入库流水账!$C:$C,$B20,入库流水账!$B:$B,X$3)</f>
        <v>0</v>
      </c>
      <c r="Y20" s="51">
        <f>SUMIFS(出库流水账!$E:$E,出库流水账!$C:$C,$B20,出库流水账!$B:$B,X$3)</f>
        <v>1</v>
      </c>
      <c r="Z20" s="51">
        <f>SUMIFS(入库流水账!$E:$E,入库流水账!$C:$C,$B20,入库流水账!$B:$B,Z$3)</f>
        <v>0</v>
      </c>
      <c r="AA20" s="51">
        <f>SUMIFS(出库流水账!$E:$E,出库流水账!$C:$C,$B20,出库流水账!$B:$B,Z$3)</f>
        <v>0</v>
      </c>
      <c r="AB20" s="51">
        <f>SUMIFS(入库流水账!$E:$E,入库流水账!$C:$C,$B20,入库流水账!$B:$B,AB$3)</f>
        <v>0</v>
      </c>
      <c r="AC20" s="51">
        <f>SUMIFS(出库流水账!$E:$E,出库流水账!$C:$C,$B20,出库流水账!$B:$B,AB$3)</f>
        <v>0</v>
      </c>
      <c r="AD20" s="51">
        <f>SUMIFS(入库流水账!$E:$E,入库流水账!$C:$C,$B20,入库流水账!$B:$B,AD$3)</f>
        <v>0</v>
      </c>
      <c r="AE20" s="51">
        <f>SUMIFS(出库流水账!$E:$E,出库流水账!$C:$C,$B20,出库流水账!$B:$B,AD$3)</f>
        <v>2</v>
      </c>
      <c r="AF20" s="51">
        <f>SUMIFS(入库流水账!$E:$E,入库流水账!$C:$C,$B20,入库流水账!$B:$B,AF$3)</f>
        <v>0</v>
      </c>
      <c r="AG20" s="51">
        <f>SUMIFS(出库流水账!$E:$E,出库流水账!$C:$C,$B20,出库流水账!$B:$B,AF$3)</f>
        <v>0</v>
      </c>
      <c r="AH20" s="51">
        <f>SUMIFS(入库流水账!$E:$E,入库流水账!$C:$C,$B20,入库流水账!$B:$B,AH$3)</f>
        <v>0</v>
      </c>
      <c r="AI20" s="51">
        <f>SUMIFS(出库流水账!$E:$E,出库流水账!$C:$C,$B20,出库流水账!$B:$B,AH$3)</f>
        <v>1</v>
      </c>
      <c r="AJ20" s="51">
        <f>SUMIFS(入库流水账!$E:$E,入库流水账!$C:$C,$B20,入库流水账!$B:$B,AJ$3)</f>
        <v>0</v>
      </c>
      <c r="AK20" s="51">
        <f>SUMIFS(出库流水账!$E:$E,出库流水账!$C:$C,$B20,出库流水账!$B:$B,AJ$3)</f>
        <v>1</v>
      </c>
      <c r="AL20" s="51">
        <f>SUMIFS(入库流水账!$E:$E,入库流水账!$C:$C,$B20,入库流水账!$B:$B,AL$3)</f>
        <v>0</v>
      </c>
      <c r="AM20" s="51">
        <f>SUMIFS(出库流水账!$E:$E,出库流水账!$C:$C,$B20,出库流水账!$B:$B,AL$3)</f>
        <v>2</v>
      </c>
      <c r="AN20" s="51">
        <f>SUMIFS(入库流水账!$E:$E,入库流水账!$C:$C,$B20,入库流水账!$B:$B,AN$3)</f>
        <v>0</v>
      </c>
      <c r="AO20" s="51">
        <f>SUMIFS(出库流水账!$E:$E,出库流水账!$C:$C,$B20,出库流水账!$B:$B,AN$3)</f>
        <v>0</v>
      </c>
      <c r="AP20" s="51">
        <f>SUMIFS(入库流水账!$E:$E,入库流水账!$C:$C,$B20,入库流水账!$B:$B,AP$3)</f>
        <v>0</v>
      </c>
      <c r="AQ20" s="51">
        <f>SUMIFS(出库流水账!$E:$E,出库流水账!$C:$C,$B20,出库流水账!$B:$B,AP$3)</f>
        <v>0</v>
      </c>
      <c r="AR20" s="51">
        <f>SUMIFS(入库流水账!$E:$E,入库流水账!$C:$C,$B20,入库流水账!$B:$B,AR$3)</f>
        <v>0</v>
      </c>
      <c r="AS20" s="51">
        <f>SUMIFS(出库流水账!$E:$E,出库流水账!$C:$C,$B20,出库流水账!$B:$B,AR$3)</f>
        <v>1</v>
      </c>
      <c r="AT20" s="51">
        <f>SUMIFS(入库流水账!$E:$E,入库流水账!$C:$C,$B20,入库流水账!$B:$B,AT$3)</f>
        <v>12</v>
      </c>
      <c r="AU20" s="51">
        <f>SUMIFS(出库流水账!$E:$E,出库流水账!$C:$C,$B20,出库流水账!$B:$B,AT$3)</f>
        <v>2</v>
      </c>
      <c r="AV20" s="51">
        <f>SUMIFS(入库流水账!$E:$E,入库流水账!$C:$C,$B20,入库流水账!$B:$B,AV$3)</f>
        <v>0</v>
      </c>
      <c r="AW20" s="51">
        <f>SUMIFS(出库流水账!$E:$E,出库流水账!$C:$C,$B20,出库流水账!$B:$B,AV$3)</f>
        <v>2</v>
      </c>
      <c r="AX20" s="51">
        <f>SUMIFS(入库流水账!$E:$E,入库流水账!$C:$C,$B20,入库流水账!$B:$B,AX$3)</f>
        <v>0</v>
      </c>
      <c r="AY20" s="51">
        <f>SUMIFS(出库流水账!$E:$E,出库流水账!$C:$C,$B20,出库流水账!$B:$B,AX$3)</f>
        <v>1</v>
      </c>
      <c r="AZ20" s="51">
        <f>SUMIFS(入库流水账!$E:$E,入库流水账!$C:$C,$B20,入库流水账!$B:$B,AZ$3)</f>
        <v>0</v>
      </c>
      <c r="BA20" s="51">
        <f>SUMIFS(出库流水账!$E:$E,出库流水账!$C:$C,$B20,出库流水账!$B:$B,AZ$3)</f>
        <v>1</v>
      </c>
      <c r="BB20" s="51">
        <f>SUMIFS(入库流水账!$E:$E,入库流水账!$C:$C,$B20,入库流水账!$B:$B,BB$3)</f>
        <v>0</v>
      </c>
      <c r="BC20" s="51">
        <f>SUMIFS(出库流水账!$E:$E,出库流水账!$C:$C,$B20,出库流水账!$B:$B,BB$3)</f>
        <v>0</v>
      </c>
      <c r="BD20" s="51">
        <f>SUMIFS(入库流水账!$E:$E,入库流水账!$C:$C,$B20,入库流水账!$B:$B,BD$3)</f>
        <v>0</v>
      </c>
      <c r="BE20" s="51">
        <f>SUMIFS(出库流水账!$E:$E,出库流水账!$C:$C,$B20,出库流水账!$B:$B,BD$3)</f>
        <v>0</v>
      </c>
      <c r="BF20" s="51">
        <f>SUMIFS(入库流水账!$E:$E,入库流水账!$C:$C,$B20,入库流水账!$B:$B,BF$3)</f>
        <v>0</v>
      </c>
      <c r="BG20" s="51">
        <f>SUMIFS(出库流水账!$E:$E,出库流水账!$C:$C,$B20,出库流水账!$B:$B,BF$3)</f>
        <v>2</v>
      </c>
      <c r="BH20" s="51">
        <f>SUMIFS(入库流水账!$E:$E,入库流水账!$C:$C,$B20,入库流水账!$B:$B,BH$3)</f>
        <v>0</v>
      </c>
      <c r="BI20" s="51">
        <f>SUMIFS(出库流水账!$E:$E,出库流水账!$C:$C,$B20,出库流水账!$B:$B,BH$3)</f>
        <v>1</v>
      </c>
      <c r="BJ20" s="51">
        <f>SUMIFS(入库流水账!$E:$E,入库流水账!$C:$C,$B20,入库流水账!$B:$B,BJ$3)</f>
        <v>0</v>
      </c>
      <c r="BK20" s="51">
        <f>SUMIFS(出库流水账!$E:$E,出库流水账!$C:$C,$B20,出库流水账!$B:$B,BJ$3)</f>
        <v>1</v>
      </c>
      <c r="BL20" s="51">
        <f>SUMIFS(入库流水账!$E:$E,入库流水账!$C:$C,$B20,入库流水账!$B:$B,BL$3)</f>
        <v>0</v>
      </c>
      <c r="BM20" s="51">
        <f>SUMIFS(出库流水账!$E:$E,出库流水账!$C:$C,$B20,出库流水账!$B:$B,BL$3)</f>
        <v>1</v>
      </c>
      <c r="BN20" s="51">
        <f>SUMIFS(入库流水账!$E:$E,入库流水账!$C:$C,$B20,入库流水账!$B:$B,BN$3)</f>
        <v>0</v>
      </c>
      <c r="BO20" s="51">
        <f>SUMIFS(出库流水账!$E:$E,出库流水账!$C:$C,$B20,出库流水账!$B:$B,BN$3)</f>
        <v>2</v>
      </c>
      <c r="BP20" s="51">
        <f>SUMIFS(入库流水账!$E:$E,入库流水账!$C:$C,$B20,入库流水账!$B:$B,BP$3)</f>
        <v>0</v>
      </c>
      <c r="BQ20" s="51">
        <f>SUMIFS(出库流水账!$E:$E,出库流水账!$C:$C,$B20,出库流水账!$B:$B,BP$3)</f>
        <v>0</v>
      </c>
    </row>
    <row r="21" s="35" customFormat="1" ht="18" customHeight="1" spans="1:69">
      <c r="A21" s="46">
        <f>ROW()-4</f>
        <v>17</v>
      </c>
      <c r="B21" s="47" t="s">
        <v>55</v>
      </c>
      <c r="C21" s="48" t="str">
        <f>IFERROR(VLOOKUP(B21,产品数据!$B:$D,3,FALSE),"")</f>
        <v>瓶</v>
      </c>
      <c r="D21" s="23">
        <v>2</v>
      </c>
      <c r="E21" s="46">
        <f>SUMIF($H$4:$BQ$4,$E$2,H21:BQ21)</f>
        <v>12</v>
      </c>
      <c r="F21" s="46">
        <f>SUMIF($H$4:$BQ$4,$F$2,H21:BQ21)</f>
        <v>2</v>
      </c>
      <c r="G21" s="50">
        <f>D21+E21-F21</f>
        <v>12</v>
      </c>
      <c r="H21" s="51">
        <f>SUMIFS(入库流水账!$E:$E,入库流水账!$C:$C,$B21,入库流水账!$B:$B,H$3)</f>
        <v>0</v>
      </c>
      <c r="I21" s="51">
        <f>SUMIFS(出库流水账!$E:$E,出库流水账!$C:$C,$B21,出库流水账!$B:$B,H$3)</f>
        <v>0</v>
      </c>
      <c r="J21" s="51">
        <f>SUMIFS(入库流水账!$E:$E,入库流水账!$C:$C,$B21,入库流水账!$B:$B,J$3)</f>
        <v>0</v>
      </c>
      <c r="K21" s="51">
        <f>SUMIFS(出库流水账!$E:$E,出库流水账!$C:$C,$B21,出库流水账!$B:$B,J$3)</f>
        <v>0</v>
      </c>
      <c r="L21" s="51">
        <f>SUMIFS(入库流水账!$E:$E,入库流水账!$C:$C,$B21,入库流水账!$B:$B,L$3)</f>
        <v>0</v>
      </c>
      <c r="M21" s="51">
        <f>SUMIFS(出库流水账!$E:$E,出库流水账!$C:$C,$B21,出库流水账!$B:$B,L$3)</f>
        <v>0</v>
      </c>
      <c r="N21" s="51">
        <f>SUMIFS(入库流水账!$E:$E,入库流水账!$C:$C,$B21,入库流水账!$B:$B,N$3)</f>
        <v>12</v>
      </c>
      <c r="O21" s="51">
        <f>SUMIFS(出库流水账!$E:$E,出库流水账!$C:$C,$B21,出库流水账!$B:$B,N$3)</f>
        <v>0</v>
      </c>
      <c r="P21" s="51">
        <f>SUMIFS(入库流水账!$E:$E,入库流水账!$C:$C,$B21,入库流水账!$B:$B,P$3)</f>
        <v>0</v>
      </c>
      <c r="Q21" s="51">
        <f>SUMIFS(出库流水账!$E:$E,出库流水账!$C:$C,$B21,出库流水账!$B:$B,P$3)</f>
        <v>0</v>
      </c>
      <c r="R21" s="51">
        <f>SUMIFS(入库流水账!$E:$E,入库流水账!$C:$C,$B21,入库流水账!$B:$B,R$3)</f>
        <v>0</v>
      </c>
      <c r="S21" s="51">
        <f>SUMIFS(出库流水账!$E:$E,出库流水账!$C:$C,$B21,出库流水账!$B:$B,R$3)</f>
        <v>0</v>
      </c>
      <c r="T21" s="51">
        <f>SUMIFS(入库流水账!$E:$E,入库流水账!$C:$C,$B21,入库流水账!$B:$B,T$3)</f>
        <v>0</v>
      </c>
      <c r="U21" s="51">
        <f>SUMIFS(出库流水账!$E:$E,出库流水账!$C:$C,$B21,出库流水账!$B:$B,T$3)</f>
        <v>0</v>
      </c>
      <c r="V21" s="51">
        <f>SUMIFS(入库流水账!$E:$E,入库流水账!$C:$C,$B21,入库流水账!$B:$B,V$3)</f>
        <v>0</v>
      </c>
      <c r="W21" s="51">
        <f>SUMIFS(出库流水账!$E:$E,出库流水账!$C:$C,$B21,出库流水账!$B:$B,V$3)</f>
        <v>0</v>
      </c>
      <c r="X21" s="51">
        <f>SUMIFS(入库流水账!$E:$E,入库流水账!$C:$C,$B21,入库流水账!$B:$B,X$3)</f>
        <v>0</v>
      </c>
      <c r="Y21" s="51">
        <f>SUMIFS(出库流水账!$E:$E,出库流水账!$C:$C,$B21,出库流水账!$B:$B,X$3)</f>
        <v>0</v>
      </c>
      <c r="Z21" s="51">
        <f>SUMIFS(入库流水账!$E:$E,入库流水账!$C:$C,$B21,入库流水账!$B:$B,Z$3)</f>
        <v>0</v>
      </c>
      <c r="AA21" s="51">
        <f>SUMIFS(出库流水账!$E:$E,出库流水账!$C:$C,$B21,出库流水账!$B:$B,Z$3)</f>
        <v>0</v>
      </c>
      <c r="AB21" s="51">
        <f>SUMIFS(入库流水账!$E:$E,入库流水账!$C:$C,$B21,入库流水账!$B:$B,AB$3)</f>
        <v>0</v>
      </c>
      <c r="AC21" s="51">
        <f>SUMIFS(出库流水账!$E:$E,出库流水账!$C:$C,$B21,出库流水账!$B:$B,AB$3)</f>
        <v>0</v>
      </c>
      <c r="AD21" s="51">
        <f>SUMIFS(入库流水账!$E:$E,入库流水账!$C:$C,$B21,入库流水账!$B:$B,AD$3)</f>
        <v>0</v>
      </c>
      <c r="AE21" s="51">
        <f>SUMIFS(出库流水账!$E:$E,出库流水账!$C:$C,$B21,出库流水账!$B:$B,AD$3)</f>
        <v>1</v>
      </c>
      <c r="AF21" s="51">
        <f>SUMIFS(入库流水账!$E:$E,入库流水账!$C:$C,$B21,入库流水账!$B:$B,AF$3)</f>
        <v>0</v>
      </c>
      <c r="AG21" s="51">
        <f>SUMIFS(出库流水账!$E:$E,出库流水账!$C:$C,$B21,出库流水账!$B:$B,AF$3)</f>
        <v>0</v>
      </c>
      <c r="AH21" s="51">
        <f>SUMIFS(入库流水账!$E:$E,入库流水账!$C:$C,$B21,入库流水账!$B:$B,AH$3)</f>
        <v>0</v>
      </c>
      <c r="AI21" s="51">
        <f>SUMIFS(出库流水账!$E:$E,出库流水账!$C:$C,$B21,出库流水账!$B:$B,AH$3)</f>
        <v>0</v>
      </c>
      <c r="AJ21" s="51">
        <f>SUMIFS(入库流水账!$E:$E,入库流水账!$C:$C,$B21,入库流水账!$B:$B,AJ$3)</f>
        <v>0</v>
      </c>
      <c r="AK21" s="51">
        <f>SUMIFS(出库流水账!$E:$E,出库流水账!$C:$C,$B21,出库流水账!$B:$B,AJ$3)</f>
        <v>0</v>
      </c>
      <c r="AL21" s="51">
        <f>SUMIFS(入库流水账!$E:$E,入库流水账!$C:$C,$B21,入库流水账!$B:$B,AL$3)</f>
        <v>0</v>
      </c>
      <c r="AM21" s="51">
        <f>SUMIFS(出库流水账!$E:$E,出库流水账!$C:$C,$B21,出库流水账!$B:$B,AL$3)</f>
        <v>0</v>
      </c>
      <c r="AN21" s="51">
        <f>SUMIFS(入库流水账!$E:$E,入库流水账!$C:$C,$B21,入库流水账!$B:$B,AN$3)</f>
        <v>0</v>
      </c>
      <c r="AO21" s="51">
        <f>SUMIFS(出库流水账!$E:$E,出库流水账!$C:$C,$B21,出库流水账!$B:$B,AN$3)</f>
        <v>0</v>
      </c>
      <c r="AP21" s="51">
        <f>SUMIFS(入库流水账!$E:$E,入库流水账!$C:$C,$B21,入库流水账!$B:$B,AP$3)</f>
        <v>0</v>
      </c>
      <c r="AQ21" s="51">
        <f>SUMIFS(出库流水账!$E:$E,出库流水账!$C:$C,$B21,出库流水账!$B:$B,AP$3)</f>
        <v>0</v>
      </c>
      <c r="AR21" s="51">
        <f>SUMIFS(入库流水账!$E:$E,入库流水账!$C:$C,$B21,入库流水账!$B:$B,AR$3)</f>
        <v>0</v>
      </c>
      <c r="AS21" s="51">
        <f>SUMIFS(出库流水账!$E:$E,出库流水账!$C:$C,$B21,出库流水账!$B:$B,AR$3)</f>
        <v>0</v>
      </c>
      <c r="AT21" s="51">
        <f>SUMIFS(入库流水账!$E:$E,入库流水账!$C:$C,$B21,入库流水账!$B:$B,AT$3)</f>
        <v>0</v>
      </c>
      <c r="AU21" s="51">
        <f>SUMIFS(出库流水账!$E:$E,出库流水账!$C:$C,$B21,出库流水账!$B:$B,AT$3)</f>
        <v>0</v>
      </c>
      <c r="AV21" s="51">
        <f>SUMIFS(入库流水账!$E:$E,入库流水账!$C:$C,$B21,入库流水账!$B:$B,AV$3)</f>
        <v>0</v>
      </c>
      <c r="AW21" s="51">
        <f>SUMIFS(出库流水账!$E:$E,出库流水账!$C:$C,$B21,出库流水账!$B:$B,AV$3)</f>
        <v>0</v>
      </c>
      <c r="AX21" s="51">
        <f>SUMIFS(入库流水账!$E:$E,入库流水账!$C:$C,$B21,入库流水账!$B:$B,AX$3)</f>
        <v>0</v>
      </c>
      <c r="AY21" s="51">
        <f>SUMIFS(出库流水账!$E:$E,出库流水账!$C:$C,$B21,出库流水账!$B:$B,AX$3)</f>
        <v>0</v>
      </c>
      <c r="AZ21" s="51">
        <f>SUMIFS(入库流水账!$E:$E,入库流水账!$C:$C,$B21,入库流水账!$B:$B,AZ$3)</f>
        <v>0</v>
      </c>
      <c r="BA21" s="51">
        <f>SUMIFS(出库流水账!$E:$E,出库流水账!$C:$C,$B21,出库流水账!$B:$B,AZ$3)</f>
        <v>0</v>
      </c>
      <c r="BB21" s="51">
        <f>SUMIFS(入库流水账!$E:$E,入库流水账!$C:$C,$B21,入库流水账!$B:$B,BB$3)</f>
        <v>0</v>
      </c>
      <c r="BC21" s="51">
        <f>SUMIFS(出库流水账!$E:$E,出库流水账!$C:$C,$B21,出库流水账!$B:$B,BB$3)</f>
        <v>0</v>
      </c>
      <c r="BD21" s="51">
        <f>SUMIFS(入库流水账!$E:$E,入库流水账!$C:$C,$B21,入库流水账!$B:$B,BD$3)</f>
        <v>0</v>
      </c>
      <c r="BE21" s="51">
        <f>SUMIFS(出库流水账!$E:$E,出库流水账!$C:$C,$B21,出库流水账!$B:$B,BD$3)</f>
        <v>0</v>
      </c>
      <c r="BF21" s="51">
        <f>SUMIFS(入库流水账!$E:$E,入库流水账!$C:$C,$B21,入库流水账!$B:$B,BF$3)</f>
        <v>0</v>
      </c>
      <c r="BG21" s="51">
        <f>SUMIFS(出库流水账!$E:$E,出库流水账!$C:$C,$B21,出库流水账!$B:$B,BF$3)</f>
        <v>1</v>
      </c>
      <c r="BH21" s="51">
        <f>SUMIFS(入库流水账!$E:$E,入库流水账!$C:$C,$B21,入库流水账!$B:$B,BH$3)</f>
        <v>0</v>
      </c>
      <c r="BI21" s="51">
        <f>SUMIFS(出库流水账!$E:$E,出库流水账!$C:$C,$B21,出库流水账!$B:$B,BH$3)</f>
        <v>0</v>
      </c>
      <c r="BJ21" s="51">
        <f>SUMIFS(入库流水账!$E:$E,入库流水账!$C:$C,$B21,入库流水账!$B:$B,BJ$3)</f>
        <v>0</v>
      </c>
      <c r="BK21" s="51">
        <f>SUMIFS(出库流水账!$E:$E,出库流水账!$C:$C,$B21,出库流水账!$B:$B,BJ$3)</f>
        <v>0</v>
      </c>
      <c r="BL21" s="51">
        <f>SUMIFS(入库流水账!$E:$E,入库流水账!$C:$C,$B21,入库流水账!$B:$B,BL$3)</f>
        <v>0</v>
      </c>
      <c r="BM21" s="51">
        <f>SUMIFS(出库流水账!$E:$E,出库流水账!$C:$C,$B21,出库流水账!$B:$B,BL$3)</f>
        <v>0</v>
      </c>
      <c r="BN21" s="51">
        <f>SUMIFS(入库流水账!$E:$E,入库流水账!$C:$C,$B21,入库流水账!$B:$B,BN$3)</f>
        <v>0</v>
      </c>
      <c r="BO21" s="51">
        <f>SUMIFS(出库流水账!$E:$E,出库流水账!$C:$C,$B21,出库流水账!$B:$B,BN$3)</f>
        <v>0</v>
      </c>
      <c r="BP21" s="51">
        <f>SUMIFS(入库流水账!$E:$E,入库流水账!$C:$C,$B21,入库流水账!$B:$B,BP$3)</f>
        <v>0</v>
      </c>
      <c r="BQ21" s="51">
        <f>SUMIFS(出库流水账!$E:$E,出库流水账!$C:$C,$B21,出库流水账!$B:$B,BP$3)</f>
        <v>0</v>
      </c>
    </row>
    <row r="22" s="35" customFormat="1" ht="18" customHeight="1" spans="1:69">
      <c r="A22" s="46">
        <f>ROW()-4</f>
        <v>18</v>
      </c>
      <c r="B22" s="47" t="s">
        <v>56</v>
      </c>
      <c r="C22" s="48" t="str">
        <f>IFERROR(VLOOKUP(B22,产品数据!$B:$D,3,FALSE),"")</f>
        <v>包</v>
      </c>
      <c r="D22" s="23">
        <v>85</v>
      </c>
      <c r="E22" s="46">
        <f>SUMIF($H$4:$BQ$4,$E$2,H22:BQ22)</f>
        <v>50</v>
      </c>
      <c r="F22" s="46">
        <f>SUMIF($H$4:$BQ$4,$F$2,H22:BQ22)</f>
        <v>81</v>
      </c>
      <c r="G22" s="50">
        <f>D22+E22-F22</f>
        <v>54</v>
      </c>
      <c r="H22" s="51">
        <f>SUMIFS(入库流水账!$E:$E,入库流水账!$C:$C,$B22,入库流水账!$B:$B,H$3)</f>
        <v>0</v>
      </c>
      <c r="I22" s="51">
        <f>SUMIFS(出库流水账!$E:$E,出库流水账!$C:$C,$B22,出库流水账!$B:$B,H$3)</f>
        <v>0</v>
      </c>
      <c r="J22" s="51">
        <f>SUMIFS(入库流水账!$E:$E,入库流水账!$C:$C,$B22,入库流水账!$B:$B,J$3)</f>
        <v>0</v>
      </c>
      <c r="K22" s="51">
        <f>SUMIFS(出库流水账!$E:$E,出库流水账!$C:$C,$B22,出库流水账!$B:$B,J$3)</f>
        <v>0</v>
      </c>
      <c r="L22" s="51">
        <f>SUMIFS(入库流水账!$E:$E,入库流水账!$C:$C,$B22,入库流水账!$B:$B,L$3)</f>
        <v>0</v>
      </c>
      <c r="M22" s="51">
        <f>SUMIFS(出库流水账!$E:$E,出库流水账!$C:$C,$B22,出库流水账!$B:$B,L$3)</f>
        <v>0</v>
      </c>
      <c r="N22" s="51">
        <f>SUMIFS(入库流水账!$E:$E,入库流水账!$C:$C,$B22,入库流水账!$B:$B,N$3)</f>
        <v>0</v>
      </c>
      <c r="O22" s="51">
        <f>SUMIFS(出库流水账!$E:$E,出库流水账!$C:$C,$B22,出库流水账!$B:$B,N$3)</f>
        <v>16</v>
      </c>
      <c r="P22" s="51">
        <f>SUMIFS(入库流水账!$E:$E,入库流水账!$C:$C,$B22,入库流水账!$B:$B,P$3)</f>
        <v>0</v>
      </c>
      <c r="Q22" s="51">
        <f>SUMIFS(出库流水账!$E:$E,出库流水账!$C:$C,$B22,出库流水账!$B:$B,P$3)</f>
        <v>0</v>
      </c>
      <c r="R22" s="51">
        <f>SUMIFS(入库流水账!$E:$E,入库流水账!$C:$C,$B22,入库流水账!$B:$B,R$3)</f>
        <v>0</v>
      </c>
      <c r="S22" s="51">
        <f>SUMIFS(出库流水账!$E:$E,出库流水账!$C:$C,$B22,出库流水账!$B:$B,R$3)</f>
        <v>4</v>
      </c>
      <c r="T22" s="51">
        <f>SUMIFS(入库流水账!$E:$E,入库流水账!$C:$C,$B22,入库流水账!$B:$B,T$3)</f>
        <v>0</v>
      </c>
      <c r="U22" s="51">
        <f>SUMIFS(出库流水账!$E:$E,出库流水账!$C:$C,$B22,出库流水账!$B:$B,T$3)</f>
        <v>0</v>
      </c>
      <c r="V22" s="51">
        <f>SUMIFS(入库流水账!$E:$E,入库流水账!$C:$C,$B22,入库流水账!$B:$B,V$3)</f>
        <v>0</v>
      </c>
      <c r="W22" s="51">
        <f>SUMIFS(出库流水账!$E:$E,出库流水账!$C:$C,$B22,出库流水账!$B:$B,V$3)</f>
        <v>0</v>
      </c>
      <c r="X22" s="51">
        <f>SUMIFS(入库流水账!$E:$E,入库流水账!$C:$C,$B22,入库流水账!$B:$B,X$3)</f>
        <v>0</v>
      </c>
      <c r="Y22" s="51">
        <f>SUMIFS(出库流水账!$E:$E,出库流水账!$C:$C,$B22,出库流水账!$B:$B,X$3)</f>
        <v>11</v>
      </c>
      <c r="Z22" s="51">
        <f>SUMIFS(入库流水账!$E:$E,入库流水账!$C:$C,$B22,入库流水账!$B:$B,Z$3)</f>
        <v>0</v>
      </c>
      <c r="AA22" s="51">
        <f>SUMIFS(出库流水账!$E:$E,出库流水账!$C:$C,$B22,出库流水账!$B:$B,Z$3)</f>
        <v>0</v>
      </c>
      <c r="AB22" s="51">
        <f>SUMIFS(入库流水账!$E:$E,入库流水账!$C:$C,$B22,入库流水账!$B:$B,AB$3)</f>
        <v>0</v>
      </c>
      <c r="AC22" s="51">
        <f>SUMIFS(出库流水账!$E:$E,出库流水账!$C:$C,$B22,出库流水账!$B:$B,AB$3)</f>
        <v>0</v>
      </c>
      <c r="AD22" s="51">
        <f>SUMIFS(入库流水账!$E:$E,入库流水账!$C:$C,$B22,入库流水账!$B:$B,AD$3)</f>
        <v>0</v>
      </c>
      <c r="AE22" s="51">
        <f>SUMIFS(出库流水账!$E:$E,出库流水账!$C:$C,$B22,出库流水账!$B:$B,AD$3)</f>
        <v>0</v>
      </c>
      <c r="AF22" s="51">
        <f>SUMIFS(入库流水账!$E:$E,入库流水账!$C:$C,$B22,入库流水账!$B:$B,AF$3)</f>
        <v>0</v>
      </c>
      <c r="AG22" s="51">
        <f>SUMIFS(出库流水账!$E:$E,出库流水账!$C:$C,$B22,出库流水账!$B:$B,AF$3)</f>
        <v>0</v>
      </c>
      <c r="AH22" s="51">
        <f>SUMIFS(入库流水账!$E:$E,入库流水账!$C:$C,$B22,入库流水账!$B:$B,AH$3)</f>
        <v>0</v>
      </c>
      <c r="AI22" s="51">
        <f>SUMIFS(出库流水账!$E:$E,出库流水账!$C:$C,$B22,出库流水账!$B:$B,AH$3)</f>
        <v>4</v>
      </c>
      <c r="AJ22" s="51">
        <f>SUMIFS(入库流水账!$E:$E,入库流水账!$C:$C,$B22,入库流水账!$B:$B,AJ$3)</f>
        <v>0</v>
      </c>
      <c r="AK22" s="51">
        <f>SUMIFS(出库流水账!$E:$E,出库流水账!$C:$C,$B22,出库流水账!$B:$B,AJ$3)</f>
        <v>0</v>
      </c>
      <c r="AL22" s="51">
        <f>SUMIFS(入库流水账!$E:$E,入库流水账!$C:$C,$B22,入库流水账!$B:$B,AL$3)</f>
        <v>0</v>
      </c>
      <c r="AM22" s="51">
        <f>SUMIFS(出库流水账!$E:$E,出库流水账!$C:$C,$B22,出库流水账!$B:$B,AL$3)</f>
        <v>15</v>
      </c>
      <c r="AN22" s="51">
        <f>SUMIFS(入库流水账!$E:$E,入库流水账!$C:$C,$B22,入库流水账!$B:$B,AN$3)</f>
        <v>0</v>
      </c>
      <c r="AO22" s="51">
        <f>SUMIFS(出库流水账!$E:$E,出库流水账!$C:$C,$B22,出库流水账!$B:$B,AN$3)</f>
        <v>0</v>
      </c>
      <c r="AP22" s="51">
        <f>SUMIFS(入库流水账!$E:$E,入库流水账!$C:$C,$B22,入库流水账!$B:$B,AP$3)</f>
        <v>0</v>
      </c>
      <c r="AQ22" s="51">
        <f>SUMIFS(出库流水账!$E:$E,出库流水账!$C:$C,$B22,出库流水账!$B:$B,AP$3)</f>
        <v>0</v>
      </c>
      <c r="AR22" s="51">
        <f>SUMIFS(入库流水账!$E:$E,入库流水账!$C:$C,$B22,入库流水账!$B:$B,AR$3)</f>
        <v>0</v>
      </c>
      <c r="AS22" s="51">
        <f>SUMIFS(出库流水账!$E:$E,出库流水账!$C:$C,$B22,出库流水账!$B:$B,AR$3)</f>
        <v>5</v>
      </c>
      <c r="AT22" s="51">
        <f>SUMIFS(入库流水账!$E:$E,入库流水账!$C:$C,$B22,入库流水账!$B:$B,AT$3)</f>
        <v>0</v>
      </c>
      <c r="AU22" s="51">
        <f>SUMIFS(出库流水账!$E:$E,出库流水账!$C:$C,$B22,出库流水账!$B:$B,AT$3)</f>
        <v>7</v>
      </c>
      <c r="AV22" s="51">
        <f>SUMIFS(入库流水账!$E:$E,入库流水账!$C:$C,$B22,入库流水账!$B:$B,AV$3)</f>
        <v>0</v>
      </c>
      <c r="AW22" s="51">
        <f>SUMIFS(出库流水账!$E:$E,出库流水账!$C:$C,$B22,出库流水账!$B:$B,AV$3)</f>
        <v>0</v>
      </c>
      <c r="AX22" s="51">
        <f>SUMIFS(入库流水账!$E:$E,入库流水账!$C:$C,$B22,入库流水账!$B:$B,AX$3)</f>
        <v>0</v>
      </c>
      <c r="AY22" s="51">
        <f>SUMIFS(出库流水账!$E:$E,出库流水账!$C:$C,$B22,出库流水账!$B:$B,AX$3)</f>
        <v>0</v>
      </c>
      <c r="AZ22" s="51">
        <f>SUMIFS(入库流水账!$E:$E,入库流水账!$C:$C,$B22,入库流水账!$B:$B,AZ$3)</f>
        <v>0</v>
      </c>
      <c r="BA22" s="51">
        <f>SUMIFS(出库流水账!$E:$E,出库流水账!$C:$C,$B22,出库流水账!$B:$B,AZ$3)</f>
        <v>10</v>
      </c>
      <c r="BB22" s="51">
        <f>SUMIFS(入库流水账!$E:$E,入库流水账!$C:$C,$B22,入库流水账!$B:$B,BB$3)</f>
        <v>0</v>
      </c>
      <c r="BC22" s="51">
        <f>SUMIFS(出库流水账!$E:$E,出库流水账!$C:$C,$B22,出库流水账!$B:$B,BB$3)</f>
        <v>0</v>
      </c>
      <c r="BD22" s="51">
        <f>SUMIFS(入库流水账!$E:$E,入库流水账!$C:$C,$B22,入库流水账!$B:$B,BD$3)</f>
        <v>0</v>
      </c>
      <c r="BE22" s="51">
        <f>SUMIFS(出库流水账!$E:$E,出库流水账!$C:$C,$B22,出库流水账!$B:$B,BD$3)</f>
        <v>0</v>
      </c>
      <c r="BF22" s="51">
        <f>SUMIFS(入库流水账!$E:$E,入库流水账!$C:$C,$B22,入库流水账!$B:$B,BF$3)</f>
        <v>0</v>
      </c>
      <c r="BG22" s="51">
        <f>SUMIFS(出库流水账!$E:$E,出库流水账!$C:$C,$B22,出库流水账!$B:$B,BF$3)</f>
        <v>0</v>
      </c>
      <c r="BH22" s="51">
        <f>SUMIFS(入库流水账!$E:$E,入库流水账!$C:$C,$B22,入库流水账!$B:$B,BH$3)</f>
        <v>0</v>
      </c>
      <c r="BI22" s="51">
        <f>SUMIFS(出库流水账!$E:$E,出库流水账!$C:$C,$B22,出库流水账!$B:$B,BH$3)</f>
        <v>4</v>
      </c>
      <c r="BJ22" s="51">
        <f>SUMIFS(入库流水账!$E:$E,入库流水账!$C:$C,$B22,入库流水账!$B:$B,BJ$3)</f>
        <v>0</v>
      </c>
      <c r="BK22" s="51">
        <f>SUMIFS(出库流水账!$E:$E,出库流水账!$C:$C,$B22,出库流水账!$B:$B,BJ$3)</f>
        <v>0</v>
      </c>
      <c r="BL22" s="51">
        <f>SUMIFS(入库流水账!$E:$E,入库流水账!$C:$C,$B22,入库流水账!$B:$B,BL$3)</f>
        <v>0</v>
      </c>
      <c r="BM22" s="51">
        <f>SUMIFS(出库流水账!$E:$E,出库流水账!$C:$C,$B22,出库流水账!$B:$B,BL$3)</f>
        <v>5</v>
      </c>
      <c r="BN22" s="51">
        <f>SUMIFS(入库流水账!$E:$E,入库流水账!$C:$C,$B22,入库流水账!$B:$B,BN$3)</f>
        <v>50</v>
      </c>
      <c r="BO22" s="51">
        <f>SUMIFS(出库流水账!$E:$E,出库流水账!$C:$C,$B22,出库流水账!$B:$B,BN$3)</f>
        <v>0</v>
      </c>
      <c r="BP22" s="51">
        <f>SUMIFS(入库流水账!$E:$E,入库流水账!$C:$C,$B22,入库流水账!$B:$B,BP$3)</f>
        <v>0</v>
      </c>
      <c r="BQ22" s="51">
        <f>SUMIFS(出库流水账!$E:$E,出库流水账!$C:$C,$B22,出库流水账!$B:$B,BP$3)</f>
        <v>0</v>
      </c>
    </row>
    <row r="23" s="35" customFormat="1" ht="18" customHeight="1" spans="1:69">
      <c r="A23" s="46">
        <f>ROW()-4</f>
        <v>19</v>
      </c>
      <c r="B23" s="47" t="s">
        <v>57</v>
      </c>
      <c r="C23" s="48" t="str">
        <f>IFERROR(VLOOKUP(B23,产品数据!$B:$D,3,FALSE),"")</f>
        <v>包</v>
      </c>
      <c r="D23" s="23">
        <v>17</v>
      </c>
      <c r="E23" s="46">
        <f>SUMIF($H$4:$BQ$4,$E$2,H23:BQ23)</f>
        <v>50</v>
      </c>
      <c r="F23" s="46">
        <f>SUMIF($H$4:$BQ$4,$F$2,H23:BQ23)</f>
        <v>47</v>
      </c>
      <c r="G23" s="50">
        <f>D23+E23-F23</f>
        <v>20</v>
      </c>
      <c r="H23" s="51">
        <f>SUMIFS(入库流水账!$E:$E,入库流水账!$C:$C,$B23,入库流水账!$B:$B,H$3)</f>
        <v>0</v>
      </c>
      <c r="I23" s="51">
        <f>SUMIFS(出库流水账!$E:$E,出库流水账!$C:$C,$B23,出库流水账!$B:$B,H$3)</f>
        <v>0</v>
      </c>
      <c r="J23" s="51">
        <f>SUMIFS(入库流水账!$E:$E,入库流水账!$C:$C,$B23,入库流水账!$B:$B,J$3)</f>
        <v>0</v>
      </c>
      <c r="K23" s="51">
        <f>SUMIFS(出库流水账!$E:$E,出库流水账!$C:$C,$B23,出库流水账!$B:$B,J$3)</f>
        <v>0</v>
      </c>
      <c r="L23" s="51">
        <f>SUMIFS(入库流水账!$E:$E,入库流水账!$C:$C,$B23,入库流水账!$B:$B,L$3)</f>
        <v>0</v>
      </c>
      <c r="M23" s="51">
        <f>SUMIFS(出库流水账!$E:$E,出库流水账!$C:$C,$B23,出库流水账!$B:$B,L$3)</f>
        <v>0</v>
      </c>
      <c r="N23" s="51">
        <f>SUMIFS(入库流水账!$E:$E,入库流水账!$C:$C,$B23,入库流水账!$B:$B,N$3)</f>
        <v>0</v>
      </c>
      <c r="O23" s="51">
        <f>SUMIFS(出库流水账!$E:$E,出库流水账!$C:$C,$B23,出库流水账!$B:$B,N$3)</f>
        <v>4</v>
      </c>
      <c r="P23" s="51">
        <f>SUMIFS(入库流水账!$E:$E,入库流水账!$C:$C,$B23,入库流水账!$B:$B,P$3)</f>
        <v>0</v>
      </c>
      <c r="Q23" s="51">
        <f>SUMIFS(出库流水账!$E:$E,出库流水账!$C:$C,$B23,出库流水账!$B:$B,P$3)</f>
        <v>1</v>
      </c>
      <c r="R23" s="51">
        <f>SUMIFS(入库流水账!$E:$E,入库流水账!$C:$C,$B23,入库流水账!$B:$B,R$3)</f>
        <v>0</v>
      </c>
      <c r="S23" s="51">
        <f>SUMIFS(出库流水账!$E:$E,出库流水账!$C:$C,$B23,出库流水账!$B:$B,R$3)</f>
        <v>2</v>
      </c>
      <c r="T23" s="51">
        <f>SUMIFS(入库流水账!$E:$E,入库流水账!$C:$C,$B23,入库流水账!$B:$B,T$3)</f>
        <v>0</v>
      </c>
      <c r="U23" s="51">
        <f>SUMIFS(出库流水账!$E:$E,出库流水账!$C:$C,$B23,出库流水账!$B:$B,T$3)</f>
        <v>1</v>
      </c>
      <c r="V23" s="51">
        <f>SUMIFS(入库流水账!$E:$E,入库流水账!$C:$C,$B23,入库流水账!$B:$B,V$3)</f>
        <v>0</v>
      </c>
      <c r="W23" s="51">
        <f>SUMIFS(出库流水账!$E:$E,出库流水账!$C:$C,$B23,出库流水账!$B:$B,V$3)</f>
        <v>1</v>
      </c>
      <c r="X23" s="51">
        <f>SUMIFS(入库流水账!$E:$E,入库流水账!$C:$C,$B23,入库流水账!$B:$B,X$3)</f>
        <v>0</v>
      </c>
      <c r="Y23" s="51">
        <f>SUMIFS(出库流水账!$E:$E,出库流水账!$C:$C,$B23,出库流水账!$B:$B,X$3)</f>
        <v>4</v>
      </c>
      <c r="Z23" s="51">
        <f>SUMIFS(入库流水账!$E:$E,入库流水账!$C:$C,$B23,入库流水账!$B:$B,Z$3)</f>
        <v>0</v>
      </c>
      <c r="AA23" s="51">
        <f>SUMIFS(出库流水账!$E:$E,出库流水账!$C:$C,$B23,出库流水账!$B:$B,Z$3)</f>
        <v>0</v>
      </c>
      <c r="AB23" s="51">
        <f>SUMIFS(入库流水账!$E:$E,入库流水账!$C:$C,$B23,入库流水账!$B:$B,AB$3)</f>
        <v>0</v>
      </c>
      <c r="AC23" s="51">
        <f>SUMIFS(出库流水账!$E:$E,出库流水账!$C:$C,$B23,出库流水账!$B:$B,AB$3)</f>
        <v>0</v>
      </c>
      <c r="AD23" s="51">
        <f>SUMIFS(入库流水账!$E:$E,入库流水账!$C:$C,$B23,入库流水账!$B:$B,AD$3)</f>
        <v>25</v>
      </c>
      <c r="AE23" s="51">
        <f>SUMIFS(出库流水账!$E:$E,出库流水账!$C:$C,$B23,出库流水账!$B:$B,AD$3)</f>
        <v>3</v>
      </c>
      <c r="AF23" s="51">
        <f>SUMIFS(入库流水账!$E:$E,入库流水账!$C:$C,$B23,入库流水账!$B:$B,AF$3)</f>
        <v>0</v>
      </c>
      <c r="AG23" s="51">
        <f>SUMIFS(出库流水账!$E:$E,出库流水账!$C:$C,$B23,出库流水账!$B:$B,AF$3)</f>
        <v>1</v>
      </c>
      <c r="AH23" s="51">
        <f>SUMIFS(入库流水账!$E:$E,入库流水账!$C:$C,$B23,入库流水账!$B:$B,AH$3)</f>
        <v>0</v>
      </c>
      <c r="AI23" s="51">
        <f>SUMIFS(出库流水账!$E:$E,出库流水账!$C:$C,$B23,出库流水账!$B:$B,AH$3)</f>
        <v>1</v>
      </c>
      <c r="AJ23" s="51">
        <f>SUMIFS(入库流水账!$E:$E,入库流水账!$C:$C,$B23,入库流水账!$B:$B,AJ$3)</f>
        <v>0</v>
      </c>
      <c r="AK23" s="51">
        <f>SUMIFS(出库流水账!$E:$E,出库流水账!$C:$C,$B23,出库流水账!$B:$B,AJ$3)</f>
        <v>1</v>
      </c>
      <c r="AL23" s="51">
        <f>SUMIFS(入库流水账!$E:$E,入库流水账!$C:$C,$B23,入库流水账!$B:$B,AL$3)</f>
        <v>0</v>
      </c>
      <c r="AM23" s="51">
        <f>SUMIFS(出库流水账!$E:$E,出库流水账!$C:$C,$B23,出库流水账!$B:$B,AL$3)</f>
        <v>3</v>
      </c>
      <c r="AN23" s="51">
        <f>SUMIFS(入库流水账!$E:$E,入库流水账!$C:$C,$B23,入库流水账!$B:$B,AN$3)</f>
        <v>0</v>
      </c>
      <c r="AO23" s="51">
        <f>SUMIFS(出库流水账!$E:$E,出库流水账!$C:$C,$B23,出库流水账!$B:$B,AN$3)</f>
        <v>0</v>
      </c>
      <c r="AP23" s="51">
        <f>SUMIFS(入库流水账!$E:$E,入库流水账!$C:$C,$B23,入库流水账!$B:$B,AP$3)</f>
        <v>0</v>
      </c>
      <c r="AQ23" s="51">
        <f>SUMIFS(出库流水账!$E:$E,出库流水账!$C:$C,$B23,出库流水账!$B:$B,AP$3)</f>
        <v>0</v>
      </c>
      <c r="AR23" s="51">
        <f>SUMIFS(入库流水账!$E:$E,入库流水账!$C:$C,$B23,入库流水账!$B:$B,AR$3)</f>
        <v>0</v>
      </c>
      <c r="AS23" s="51">
        <f>SUMIFS(出库流水账!$E:$E,出库流水账!$C:$C,$B23,出库流水账!$B:$B,AR$3)</f>
        <v>2</v>
      </c>
      <c r="AT23" s="51">
        <f>SUMIFS(入库流水账!$E:$E,入库流水账!$C:$C,$B23,入库流水账!$B:$B,AT$3)</f>
        <v>0</v>
      </c>
      <c r="AU23" s="51">
        <f>SUMIFS(出库流水账!$E:$E,出库流水账!$C:$C,$B23,出库流水账!$B:$B,AT$3)</f>
        <v>2</v>
      </c>
      <c r="AV23" s="51">
        <f>SUMIFS(入库流水账!$E:$E,入库流水账!$C:$C,$B23,入库流水账!$B:$B,AV$3)</f>
        <v>0</v>
      </c>
      <c r="AW23" s="51">
        <f>SUMIFS(出库流水账!$E:$E,出库流水账!$C:$C,$B23,出库流水账!$B:$B,AV$3)</f>
        <v>2</v>
      </c>
      <c r="AX23" s="51">
        <f>SUMIFS(入库流水账!$E:$E,入库流水账!$C:$C,$B23,入库流水账!$B:$B,AX$3)</f>
        <v>0</v>
      </c>
      <c r="AY23" s="51">
        <f>SUMIFS(出库流水账!$E:$E,出库流水账!$C:$C,$B23,出库流水账!$B:$B,AX$3)</f>
        <v>2</v>
      </c>
      <c r="AZ23" s="51">
        <f>SUMIFS(入库流水账!$E:$E,入库流水账!$C:$C,$B23,入库流水账!$B:$B,AZ$3)</f>
        <v>25</v>
      </c>
      <c r="BA23" s="51">
        <f>SUMIFS(出库流水账!$E:$E,出库流水账!$C:$C,$B23,出库流水账!$B:$B,AZ$3)</f>
        <v>2</v>
      </c>
      <c r="BB23" s="51">
        <f>SUMIFS(入库流水账!$E:$E,入库流水账!$C:$C,$B23,入库流水账!$B:$B,BB$3)</f>
        <v>0</v>
      </c>
      <c r="BC23" s="51">
        <f>SUMIFS(出库流水账!$E:$E,出库流水账!$C:$C,$B23,出库流水账!$B:$B,BB$3)</f>
        <v>0</v>
      </c>
      <c r="BD23" s="51">
        <f>SUMIFS(入库流水账!$E:$E,入库流水账!$C:$C,$B23,入库流水账!$B:$B,BD$3)</f>
        <v>0</v>
      </c>
      <c r="BE23" s="51">
        <f>SUMIFS(出库流水账!$E:$E,出库流水账!$C:$C,$B23,出库流水账!$B:$B,BD$3)</f>
        <v>0</v>
      </c>
      <c r="BF23" s="51">
        <f>SUMIFS(入库流水账!$E:$E,入库流水账!$C:$C,$B23,入库流水账!$B:$B,BF$3)</f>
        <v>0</v>
      </c>
      <c r="BG23" s="51">
        <f>SUMIFS(出库流水账!$E:$E,出库流水账!$C:$C,$B23,出库流水账!$B:$B,BF$3)</f>
        <v>6</v>
      </c>
      <c r="BH23" s="51">
        <f>SUMIFS(入库流水账!$E:$E,入库流水账!$C:$C,$B23,入库流水账!$B:$B,BH$3)</f>
        <v>0</v>
      </c>
      <c r="BI23" s="51">
        <f>SUMIFS(出库流水账!$E:$E,出库流水账!$C:$C,$B23,出库流水账!$B:$B,BH$3)</f>
        <v>2</v>
      </c>
      <c r="BJ23" s="51">
        <f>SUMIFS(入库流水账!$E:$E,入库流水账!$C:$C,$B23,入库流水账!$B:$B,BJ$3)</f>
        <v>0</v>
      </c>
      <c r="BK23" s="51">
        <f>SUMIFS(出库流水账!$E:$E,出库流水账!$C:$C,$B23,出库流水账!$B:$B,BJ$3)</f>
        <v>1</v>
      </c>
      <c r="BL23" s="51">
        <f>SUMIFS(入库流水账!$E:$E,入库流水账!$C:$C,$B23,入库流水账!$B:$B,BL$3)</f>
        <v>0</v>
      </c>
      <c r="BM23" s="51">
        <f>SUMIFS(出库流水账!$E:$E,出库流水账!$C:$C,$B23,出库流水账!$B:$B,BL$3)</f>
        <v>2</v>
      </c>
      <c r="BN23" s="51">
        <f>SUMIFS(入库流水账!$E:$E,入库流水账!$C:$C,$B23,入库流水账!$B:$B,BN$3)</f>
        <v>0</v>
      </c>
      <c r="BO23" s="51">
        <f>SUMIFS(出库流水账!$E:$E,出库流水账!$C:$C,$B23,出库流水账!$B:$B,BN$3)</f>
        <v>4</v>
      </c>
      <c r="BP23" s="51">
        <f>SUMIFS(入库流水账!$E:$E,入库流水账!$C:$C,$B23,入库流水账!$B:$B,BP$3)</f>
        <v>0</v>
      </c>
      <c r="BQ23" s="51">
        <f>SUMIFS(出库流水账!$E:$E,出库流水账!$C:$C,$B23,出库流水账!$B:$B,BP$3)</f>
        <v>0</v>
      </c>
    </row>
    <row r="24" s="35" customFormat="1" ht="18" customHeight="1" spans="1:69">
      <c r="A24" s="46">
        <f>ROW()-4</f>
        <v>20</v>
      </c>
      <c r="B24" s="47" t="s">
        <v>58</v>
      </c>
      <c r="C24" s="48" t="str">
        <f>IFERROR(VLOOKUP(B24,产品数据!$B:$D,3,FALSE),"")</f>
        <v>包</v>
      </c>
      <c r="D24" s="23">
        <v>20</v>
      </c>
      <c r="E24" s="46">
        <f>SUMIF($H$4:$BQ$4,$E$2,H24:BQ24)</f>
        <v>0</v>
      </c>
      <c r="F24" s="46">
        <f>SUMIF($H$4:$BQ$4,$F$2,H24:BQ24)</f>
        <v>5</v>
      </c>
      <c r="G24" s="50">
        <f>D24+E24-F24</f>
        <v>15</v>
      </c>
      <c r="H24" s="51">
        <f>SUMIFS(入库流水账!$E:$E,入库流水账!$C:$C,$B24,入库流水账!$B:$B,H$3)</f>
        <v>0</v>
      </c>
      <c r="I24" s="51">
        <f>SUMIFS(出库流水账!$E:$E,出库流水账!$C:$C,$B24,出库流水账!$B:$B,H$3)</f>
        <v>0</v>
      </c>
      <c r="J24" s="51">
        <f>SUMIFS(入库流水账!$E:$E,入库流水账!$C:$C,$B24,入库流水账!$B:$B,J$3)</f>
        <v>0</v>
      </c>
      <c r="K24" s="51">
        <f>SUMIFS(出库流水账!$E:$E,出库流水账!$C:$C,$B24,出库流水账!$B:$B,J$3)</f>
        <v>0</v>
      </c>
      <c r="L24" s="51">
        <f>SUMIFS(入库流水账!$E:$E,入库流水账!$C:$C,$B24,入库流水账!$B:$B,L$3)</f>
        <v>0</v>
      </c>
      <c r="M24" s="51">
        <f>SUMIFS(出库流水账!$E:$E,出库流水账!$C:$C,$B24,出库流水账!$B:$B,L$3)</f>
        <v>0</v>
      </c>
      <c r="N24" s="51">
        <f>SUMIFS(入库流水账!$E:$E,入库流水账!$C:$C,$B24,入库流水账!$B:$B,N$3)</f>
        <v>0</v>
      </c>
      <c r="O24" s="51">
        <f>SUMIFS(出库流水账!$E:$E,出库流水账!$C:$C,$B24,出库流水账!$B:$B,N$3)</f>
        <v>0</v>
      </c>
      <c r="P24" s="51">
        <f>SUMIFS(入库流水账!$E:$E,入库流水账!$C:$C,$B24,入库流水账!$B:$B,P$3)</f>
        <v>0</v>
      </c>
      <c r="Q24" s="51">
        <f>SUMIFS(出库流水账!$E:$E,出库流水账!$C:$C,$B24,出库流水账!$B:$B,P$3)</f>
        <v>1</v>
      </c>
      <c r="R24" s="51">
        <f>SUMIFS(入库流水账!$E:$E,入库流水账!$C:$C,$B24,入库流水账!$B:$B,R$3)</f>
        <v>0</v>
      </c>
      <c r="S24" s="51">
        <f>SUMIFS(出库流水账!$E:$E,出库流水账!$C:$C,$B24,出库流水账!$B:$B,R$3)</f>
        <v>0</v>
      </c>
      <c r="T24" s="51">
        <f>SUMIFS(入库流水账!$E:$E,入库流水账!$C:$C,$B24,入库流水账!$B:$B,T$3)</f>
        <v>0</v>
      </c>
      <c r="U24" s="51">
        <f>SUMIFS(出库流水账!$E:$E,出库流水账!$C:$C,$B24,出库流水账!$B:$B,T$3)</f>
        <v>0</v>
      </c>
      <c r="V24" s="51">
        <f>SUMIFS(入库流水账!$E:$E,入库流水账!$C:$C,$B24,入库流水账!$B:$B,V$3)</f>
        <v>0</v>
      </c>
      <c r="W24" s="51">
        <f>SUMIFS(出库流水账!$E:$E,出库流水账!$C:$C,$B24,出库流水账!$B:$B,V$3)</f>
        <v>0</v>
      </c>
      <c r="X24" s="51">
        <f>SUMIFS(入库流水账!$E:$E,入库流水账!$C:$C,$B24,入库流水账!$B:$B,X$3)</f>
        <v>0</v>
      </c>
      <c r="Y24" s="51">
        <f>SUMIFS(出库流水账!$E:$E,出库流水账!$C:$C,$B24,出库流水账!$B:$B,X$3)</f>
        <v>0</v>
      </c>
      <c r="Z24" s="51">
        <f>SUMIFS(入库流水账!$E:$E,入库流水账!$C:$C,$B24,入库流水账!$B:$B,Z$3)</f>
        <v>0</v>
      </c>
      <c r="AA24" s="51">
        <f>SUMIFS(出库流水账!$E:$E,出库流水账!$C:$C,$B24,出库流水账!$B:$B,Z$3)</f>
        <v>0</v>
      </c>
      <c r="AB24" s="51">
        <f>SUMIFS(入库流水账!$E:$E,入库流水账!$C:$C,$B24,入库流水账!$B:$B,AB$3)</f>
        <v>0</v>
      </c>
      <c r="AC24" s="51">
        <f>SUMIFS(出库流水账!$E:$E,出库流水账!$C:$C,$B24,出库流水账!$B:$B,AB$3)</f>
        <v>0</v>
      </c>
      <c r="AD24" s="51">
        <f>SUMIFS(入库流水账!$E:$E,入库流水账!$C:$C,$B24,入库流水账!$B:$B,AD$3)</f>
        <v>0</v>
      </c>
      <c r="AE24" s="51">
        <f>SUMIFS(出库流水账!$E:$E,出库流水账!$C:$C,$B24,出库流水账!$B:$B,AD$3)</f>
        <v>0</v>
      </c>
      <c r="AF24" s="51">
        <f>SUMIFS(入库流水账!$E:$E,入库流水账!$C:$C,$B24,入库流水账!$B:$B,AF$3)</f>
        <v>0</v>
      </c>
      <c r="AG24" s="51">
        <f>SUMIFS(出库流水账!$E:$E,出库流水账!$C:$C,$B24,出库流水账!$B:$B,AF$3)</f>
        <v>0</v>
      </c>
      <c r="AH24" s="51">
        <f>SUMIFS(入库流水账!$E:$E,入库流水账!$C:$C,$B24,入库流水账!$B:$B,AH$3)</f>
        <v>0</v>
      </c>
      <c r="AI24" s="51">
        <f>SUMIFS(出库流水账!$E:$E,出库流水账!$C:$C,$B24,出库流水账!$B:$B,AH$3)</f>
        <v>0</v>
      </c>
      <c r="AJ24" s="51">
        <f>SUMIFS(入库流水账!$E:$E,入库流水账!$C:$C,$B24,入库流水账!$B:$B,AJ$3)</f>
        <v>0</v>
      </c>
      <c r="AK24" s="51">
        <f>SUMIFS(出库流水账!$E:$E,出库流水账!$C:$C,$B24,出库流水账!$B:$B,AJ$3)</f>
        <v>0</v>
      </c>
      <c r="AL24" s="51">
        <f>SUMIFS(入库流水账!$E:$E,入库流水账!$C:$C,$B24,入库流水账!$B:$B,AL$3)</f>
        <v>0</v>
      </c>
      <c r="AM24" s="51">
        <f>SUMIFS(出库流水账!$E:$E,出库流水账!$C:$C,$B24,出库流水账!$B:$B,AL$3)</f>
        <v>0</v>
      </c>
      <c r="AN24" s="51">
        <f>SUMIFS(入库流水账!$E:$E,入库流水账!$C:$C,$B24,入库流水账!$B:$B,AN$3)</f>
        <v>0</v>
      </c>
      <c r="AO24" s="51">
        <f>SUMIFS(出库流水账!$E:$E,出库流水账!$C:$C,$B24,出库流水账!$B:$B,AN$3)</f>
        <v>0</v>
      </c>
      <c r="AP24" s="51">
        <f>SUMIFS(入库流水账!$E:$E,入库流水账!$C:$C,$B24,入库流水账!$B:$B,AP$3)</f>
        <v>0</v>
      </c>
      <c r="AQ24" s="51">
        <f>SUMIFS(出库流水账!$E:$E,出库流水账!$C:$C,$B24,出库流水账!$B:$B,AP$3)</f>
        <v>0</v>
      </c>
      <c r="AR24" s="51">
        <f>SUMIFS(入库流水账!$E:$E,入库流水账!$C:$C,$B24,入库流水账!$B:$B,AR$3)</f>
        <v>0</v>
      </c>
      <c r="AS24" s="51">
        <f>SUMIFS(出库流水账!$E:$E,出库流水账!$C:$C,$B24,出库流水账!$B:$B,AR$3)</f>
        <v>0</v>
      </c>
      <c r="AT24" s="51">
        <f>SUMIFS(入库流水账!$E:$E,入库流水账!$C:$C,$B24,入库流水账!$B:$B,AT$3)</f>
        <v>0</v>
      </c>
      <c r="AU24" s="51">
        <f>SUMIFS(出库流水账!$E:$E,出库流水账!$C:$C,$B24,出库流水账!$B:$B,AT$3)</f>
        <v>0</v>
      </c>
      <c r="AV24" s="51">
        <f>SUMIFS(入库流水账!$E:$E,入库流水账!$C:$C,$B24,入库流水账!$B:$B,AV$3)</f>
        <v>0</v>
      </c>
      <c r="AW24" s="51">
        <f>SUMIFS(出库流水账!$E:$E,出库流水账!$C:$C,$B24,出库流水账!$B:$B,AV$3)</f>
        <v>0</v>
      </c>
      <c r="AX24" s="51">
        <f>SUMIFS(入库流水账!$E:$E,入库流水账!$C:$C,$B24,入库流水账!$B:$B,AX$3)</f>
        <v>0</v>
      </c>
      <c r="AY24" s="51">
        <f>SUMIFS(出库流水账!$E:$E,出库流水账!$C:$C,$B24,出库流水账!$B:$B,AX$3)</f>
        <v>0</v>
      </c>
      <c r="AZ24" s="51">
        <f>SUMIFS(入库流水账!$E:$E,入库流水账!$C:$C,$B24,入库流水账!$B:$B,AZ$3)</f>
        <v>0</v>
      </c>
      <c r="BA24" s="51">
        <f>SUMIFS(出库流水账!$E:$E,出库流水账!$C:$C,$B24,出库流水账!$B:$B,AZ$3)</f>
        <v>2</v>
      </c>
      <c r="BB24" s="51">
        <f>SUMIFS(入库流水账!$E:$E,入库流水账!$C:$C,$B24,入库流水账!$B:$B,BB$3)</f>
        <v>0</v>
      </c>
      <c r="BC24" s="51">
        <f>SUMIFS(出库流水账!$E:$E,出库流水账!$C:$C,$B24,出库流水账!$B:$B,BB$3)</f>
        <v>0</v>
      </c>
      <c r="BD24" s="51">
        <f>SUMIFS(入库流水账!$E:$E,入库流水账!$C:$C,$B24,入库流水账!$B:$B,BD$3)</f>
        <v>0</v>
      </c>
      <c r="BE24" s="51">
        <f>SUMIFS(出库流水账!$E:$E,出库流水账!$C:$C,$B24,出库流水账!$B:$B,BD$3)</f>
        <v>0</v>
      </c>
      <c r="BF24" s="51">
        <f>SUMIFS(入库流水账!$E:$E,入库流水账!$C:$C,$B24,入库流水账!$B:$B,BF$3)</f>
        <v>0</v>
      </c>
      <c r="BG24" s="51">
        <f>SUMIFS(出库流水账!$E:$E,出库流水账!$C:$C,$B24,出库流水账!$B:$B,BF$3)</f>
        <v>0</v>
      </c>
      <c r="BH24" s="51">
        <f>SUMIFS(入库流水账!$E:$E,入库流水账!$C:$C,$B24,入库流水账!$B:$B,BH$3)</f>
        <v>0</v>
      </c>
      <c r="BI24" s="51">
        <f>SUMIFS(出库流水账!$E:$E,出库流水账!$C:$C,$B24,出库流水账!$B:$B,BH$3)</f>
        <v>0</v>
      </c>
      <c r="BJ24" s="51">
        <f>SUMIFS(入库流水账!$E:$E,入库流水账!$C:$C,$B24,入库流水账!$B:$B,BJ$3)</f>
        <v>0</v>
      </c>
      <c r="BK24" s="51">
        <f>SUMIFS(出库流水账!$E:$E,出库流水账!$C:$C,$B24,出库流水账!$B:$B,BJ$3)</f>
        <v>0</v>
      </c>
      <c r="BL24" s="51">
        <f>SUMIFS(入库流水账!$E:$E,入库流水账!$C:$C,$B24,入库流水账!$B:$B,BL$3)</f>
        <v>0</v>
      </c>
      <c r="BM24" s="51">
        <f>SUMIFS(出库流水账!$E:$E,出库流水账!$C:$C,$B24,出库流水账!$B:$B,BL$3)</f>
        <v>0</v>
      </c>
      <c r="BN24" s="51">
        <f>SUMIFS(入库流水账!$E:$E,入库流水账!$C:$C,$B24,入库流水账!$B:$B,BN$3)</f>
        <v>0</v>
      </c>
      <c r="BO24" s="51">
        <f>SUMIFS(出库流水账!$E:$E,出库流水账!$C:$C,$B24,出库流水账!$B:$B,BN$3)</f>
        <v>2</v>
      </c>
      <c r="BP24" s="51">
        <f>SUMIFS(入库流水账!$E:$E,入库流水账!$C:$C,$B24,入库流水账!$B:$B,BP$3)</f>
        <v>0</v>
      </c>
      <c r="BQ24" s="51">
        <f>SUMIFS(出库流水账!$E:$E,出库流水账!$C:$C,$B24,出库流水账!$B:$B,BP$3)</f>
        <v>0</v>
      </c>
    </row>
    <row r="25" s="35" customFormat="1" ht="18" customHeight="1" spans="1:69">
      <c r="A25" s="46">
        <f>ROW()-4</f>
        <v>21</v>
      </c>
      <c r="B25" s="47" t="s">
        <v>59</v>
      </c>
      <c r="C25" s="48" t="str">
        <f>IFERROR(VLOOKUP(B25,产品数据!$B:$D,3,FALSE),"")</f>
        <v>包</v>
      </c>
      <c r="D25" s="23">
        <v>20</v>
      </c>
      <c r="E25" s="46">
        <f>SUMIF($H$4:$BQ$4,$E$2,H25:BQ25)</f>
        <v>0</v>
      </c>
      <c r="F25" s="46">
        <f>SUMIF($H$4:$BQ$4,$F$2,H25:BQ25)</f>
        <v>7</v>
      </c>
      <c r="G25" s="50">
        <f>D25+E25-F25</f>
        <v>13</v>
      </c>
      <c r="H25" s="51">
        <f>SUMIFS(入库流水账!$E:$E,入库流水账!$C:$C,$B25,入库流水账!$B:$B,H$3)</f>
        <v>0</v>
      </c>
      <c r="I25" s="51">
        <f>SUMIFS(出库流水账!$E:$E,出库流水账!$C:$C,$B25,出库流水账!$B:$B,H$3)</f>
        <v>0</v>
      </c>
      <c r="J25" s="51">
        <f>SUMIFS(入库流水账!$E:$E,入库流水账!$C:$C,$B25,入库流水账!$B:$B,J$3)</f>
        <v>0</v>
      </c>
      <c r="K25" s="51">
        <f>SUMIFS(出库流水账!$E:$E,出库流水账!$C:$C,$B25,出库流水账!$B:$B,J$3)</f>
        <v>0</v>
      </c>
      <c r="L25" s="51">
        <f>SUMIFS(入库流水账!$E:$E,入库流水账!$C:$C,$B25,入库流水账!$B:$B,L$3)</f>
        <v>0</v>
      </c>
      <c r="M25" s="51">
        <f>SUMIFS(出库流水账!$E:$E,出库流水账!$C:$C,$B25,出库流水账!$B:$B,L$3)</f>
        <v>0</v>
      </c>
      <c r="N25" s="51">
        <f>SUMIFS(入库流水账!$E:$E,入库流水账!$C:$C,$B25,入库流水账!$B:$B,N$3)</f>
        <v>0</v>
      </c>
      <c r="O25" s="51">
        <f>SUMIFS(出库流水账!$E:$E,出库流水账!$C:$C,$B25,出库流水账!$B:$B,N$3)</f>
        <v>0</v>
      </c>
      <c r="P25" s="51">
        <f>SUMIFS(入库流水账!$E:$E,入库流水账!$C:$C,$B25,入库流水账!$B:$B,P$3)</f>
        <v>0</v>
      </c>
      <c r="Q25" s="51">
        <f>SUMIFS(出库流水账!$E:$E,出库流水账!$C:$C,$B25,出库流水账!$B:$B,P$3)</f>
        <v>1</v>
      </c>
      <c r="R25" s="51">
        <f>SUMIFS(入库流水账!$E:$E,入库流水账!$C:$C,$B25,入库流水账!$B:$B,R$3)</f>
        <v>0</v>
      </c>
      <c r="S25" s="51">
        <f>SUMIFS(出库流水账!$E:$E,出库流水账!$C:$C,$B25,出库流水账!$B:$B,R$3)</f>
        <v>0</v>
      </c>
      <c r="T25" s="51">
        <f>SUMIFS(入库流水账!$E:$E,入库流水账!$C:$C,$B25,入库流水账!$B:$B,T$3)</f>
        <v>0</v>
      </c>
      <c r="U25" s="51">
        <f>SUMIFS(出库流水账!$E:$E,出库流水账!$C:$C,$B25,出库流水账!$B:$B,T$3)</f>
        <v>0</v>
      </c>
      <c r="V25" s="51">
        <f>SUMIFS(入库流水账!$E:$E,入库流水账!$C:$C,$B25,入库流水账!$B:$B,V$3)</f>
        <v>0</v>
      </c>
      <c r="W25" s="51">
        <f>SUMIFS(出库流水账!$E:$E,出库流水账!$C:$C,$B25,出库流水账!$B:$B,V$3)</f>
        <v>0</v>
      </c>
      <c r="X25" s="51">
        <f>SUMIFS(入库流水账!$E:$E,入库流水账!$C:$C,$B25,入库流水账!$B:$B,X$3)</f>
        <v>0</v>
      </c>
      <c r="Y25" s="51">
        <f>SUMIFS(出库流水账!$E:$E,出库流水账!$C:$C,$B25,出库流水账!$B:$B,X$3)</f>
        <v>0</v>
      </c>
      <c r="Z25" s="51">
        <f>SUMIFS(入库流水账!$E:$E,入库流水账!$C:$C,$B25,入库流水账!$B:$B,Z$3)</f>
        <v>0</v>
      </c>
      <c r="AA25" s="51">
        <f>SUMIFS(出库流水账!$E:$E,出库流水账!$C:$C,$B25,出库流水账!$B:$B,Z$3)</f>
        <v>0</v>
      </c>
      <c r="AB25" s="51">
        <f>SUMIFS(入库流水账!$E:$E,入库流水账!$C:$C,$B25,入库流水账!$B:$B,AB$3)</f>
        <v>0</v>
      </c>
      <c r="AC25" s="51">
        <f>SUMIFS(出库流水账!$E:$E,出库流水账!$C:$C,$B25,出库流水账!$B:$B,AB$3)</f>
        <v>0</v>
      </c>
      <c r="AD25" s="51">
        <f>SUMIFS(入库流水账!$E:$E,入库流水账!$C:$C,$B25,入库流水账!$B:$B,AD$3)</f>
        <v>0</v>
      </c>
      <c r="AE25" s="51">
        <f>SUMIFS(出库流水账!$E:$E,出库流水账!$C:$C,$B25,出库流水账!$B:$B,AD$3)</f>
        <v>0</v>
      </c>
      <c r="AF25" s="51">
        <f>SUMIFS(入库流水账!$E:$E,入库流水账!$C:$C,$B25,入库流水账!$B:$B,AF$3)</f>
        <v>0</v>
      </c>
      <c r="AG25" s="51">
        <f>SUMIFS(出库流水账!$E:$E,出库流水账!$C:$C,$B25,出库流水账!$B:$B,AF$3)</f>
        <v>0</v>
      </c>
      <c r="AH25" s="51">
        <f>SUMIFS(入库流水账!$E:$E,入库流水账!$C:$C,$B25,入库流水账!$B:$B,AH$3)</f>
        <v>0</v>
      </c>
      <c r="AI25" s="51">
        <f>SUMIFS(出库流水账!$E:$E,出库流水账!$C:$C,$B25,出库流水账!$B:$B,AH$3)</f>
        <v>0</v>
      </c>
      <c r="AJ25" s="51">
        <f>SUMIFS(入库流水账!$E:$E,入库流水账!$C:$C,$B25,入库流水账!$B:$B,AJ$3)</f>
        <v>0</v>
      </c>
      <c r="AK25" s="51">
        <f>SUMIFS(出库流水账!$E:$E,出库流水账!$C:$C,$B25,出库流水账!$B:$B,AJ$3)</f>
        <v>0</v>
      </c>
      <c r="AL25" s="51">
        <f>SUMIFS(入库流水账!$E:$E,入库流水账!$C:$C,$B25,入库流水账!$B:$B,AL$3)</f>
        <v>0</v>
      </c>
      <c r="AM25" s="51">
        <f>SUMIFS(出库流水账!$E:$E,出库流水账!$C:$C,$B25,出库流水账!$B:$B,AL$3)</f>
        <v>0</v>
      </c>
      <c r="AN25" s="51">
        <f>SUMIFS(入库流水账!$E:$E,入库流水账!$C:$C,$B25,入库流水账!$B:$B,AN$3)</f>
        <v>0</v>
      </c>
      <c r="AO25" s="51">
        <f>SUMIFS(出库流水账!$E:$E,出库流水账!$C:$C,$B25,出库流水账!$B:$B,AN$3)</f>
        <v>0</v>
      </c>
      <c r="AP25" s="51">
        <f>SUMIFS(入库流水账!$E:$E,入库流水账!$C:$C,$B25,入库流水账!$B:$B,AP$3)</f>
        <v>0</v>
      </c>
      <c r="AQ25" s="51">
        <f>SUMIFS(出库流水账!$E:$E,出库流水账!$C:$C,$B25,出库流水账!$B:$B,AP$3)</f>
        <v>0</v>
      </c>
      <c r="AR25" s="51">
        <f>SUMIFS(入库流水账!$E:$E,入库流水账!$C:$C,$B25,入库流水账!$B:$B,AR$3)</f>
        <v>0</v>
      </c>
      <c r="AS25" s="51">
        <f>SUMIFS(出库流水账!$E:$E,出库流水账!$C:$C,$B25,出库流水账!$B:$B,AR$3)</f>
        <v>1</v>
      </c>
      <c r="AT25" s="51">
        <f>SUMIFS(入库流水账!$E:$E,入库流水账!$C:$C,$B25,入库流水账!$B:$B,AT$3)</f>
        <v>0</v>
      </c>
      <c r="AU25" s="51">
        <f>SUMIFS(出库流水账!$E:$E,出库流水账!$C:$C,$B25,出库流水账!$B:$B,AT$3)</f>
        <v>3</v>
      </c>
      <c r="AV25" s="51">
        <f>SUMIFS(入库流水账!$E:$E,入库流水账!$C:$C,$B25,入库流水账!$B:$B,AV$3)</f>
        <v>0</v>
      </c>
      <c r="AW25" s="51">
        <f>SUMIFS(出库流水账!$E:$E,出库流水账!$C:$C,$B25,出库流水账!$B:$B,AV$3)</f>
        <v>0</v>
      </c>
      <c r="AX25" s="51">
        <f>SUMIFS(入库流水账!$E:$E,入库流水账!$C:$C,$B25,入库流水账!$B:$B,AX$3)</f>
        <v>0</v>
      </c>
      <c r="AY25" s="51">
        <f>SUMIFS(出库流水账!$E:$E,出库流水账!$C:$C,$B25,出库流水账!$B:$B,AX$3)</f>
        <v>0</v>
      </c>
      <c r="AZ25" s="51">
        <f>SUMIFS(入库流水账!$E:$E,入库流水账!$C:$C,$B25,入库流水账!$B:$B,AZ$3)</f>
        <v>0</v>
      </c>
      <c r="BA25" s="51">
        <f>SUMIFS(出库流水账!$E:$E,出库流水账!$C:$C,$B25,出库流水账!$B:$B,AZ$3)</f>
        <v>0</v>
      </c>
      <c r="BB25" s="51">
        <f>SUMIFS(入库流水账!$E:$E,入库流水账!$C:$C,$B25,入库流水账!$B:$B,BB$3)</f>
        <v>0</v>
      </c>
      <c r="BC25" s="51">
        <f>SUMIFS(出库流水账!$E:$E,出库流水账!$C:$C,$B25,出库流水账!$B:$B,BB$3)</f>
        <v>0</v>
      </c>
      <c r="BD25" s="51">
        <f>SUMIFS(入库流水账!$E:$E,入库流水账!$C:$C,$B25,入库流水账!$B:$B,BD$3)</f>
        <v>0</v>
      </c>
      <c r="BE25" s="51">
        <f>SUMIFS(出库流水账!$E:$E,出库流水账!$C:$C,$B25,出库流水账!$B:$B,BD$3)</f>
        <v>0</v>
      </c>
      <c r="BF25" s="51">
        <f>SUMIFS(入库流水账!$E:$E,入库流水账!$C:$C,$B25,入库流水账!$B:$B,BF$3)</f>
        <v>0</v>
      </c>
      <c r="BG25" s="51">
        <f>SUMIFS(出库流水账!$E:$E,出库流水账!$C:$C,$B25,出库流水账!$B:$B,BF$3)</f>
        <v>0</v>
      </c>
      <c r="BH25" s="51">
        <f>SUMIFS(入库流水账!$E:$E,入库流水账!$C:$C,$B25,入库流水账!$B:$B,BH$3)</f>
        <v>0</v>
      </c>
      <c r="BI25" s="51">
        <f>SUMIFS(出库流水账!$E:$E,出库流水账!$C:$C,$B25,出库流水账!$B:$B,BH$3)</f>
        <v>0</v>
      </c>
      <c r="BJ25" s="51">
        <f>SUMIFS(入库流水账!$E:$E,入库流水账!$C:$C,$B25,入库流水账!$B:$B,BJ$3)</f>
        <v>0</v>
      </c>
      <c r="BK25" s="51">
        <f>SUMIFS(出库流水账!$E:$E,出库流水账!$C:$C,$B25,出库流水账!$B:$B,BJ$3)</f>
        <v>0</v>
      </c>
      <c r="BL25" s="51">
        <f>SUMIFS(入库流水账!$E:$E,入库流水账!$C:$C,$B25,入库流水账!$B:$B,BL$3)</f>
        <v>0</v>
      </c>
      <c r="BM25" s="51">
        <f>SUMIFS(出库流水账!$E:$E,出库流水账!$C:$C,$B25,出库流水账!$B:$B,BL$3)</f>
        <v>0</v>
      </c>
      <c r="BN25" s="51">
        <f>SUMIFS(入库流水账!$E:$E,入库流水账!$C:$C,$B25,入库流水账!$B:$B,BN$3)</f>
        <v>0</v>
      </c>
      <c r="BO25" s="51">
        <f>SUMIFS(出库流水账!$E:$E,出库流水账!$C:$C,$B25,出库流水账!$B:$B,BN$3)</f>
        <v>2</v>
      </c>
      <c r="BP25" s="51">
        <f>SUMIFS(入库流水账!$E:$E,入库流水账!$C:$C,$B25,入库流水账!$B:$B,BP$3)</f>
        <v>0</v>
      </c>
      <c r="BQ25" s="51">
        <f>SUMIFS(出库流水账!$E:$E,出库流水账!$C:$C,$B25,出库流水账!$B:$B,BP$3)</f>
        <v>0</v>
      </c>
    </row>
    <row r="26" s="35" customFormat="1" ht="18" customHeight="1" spans="1:69">
      <c r="A26" s="46">
        <f>ROW()-4</f>
        <v>22</v>
      </c>
      <c r="B26" s="47" t="s">
        <v>60</v>
      </c>
      <c r="C26" s="48" t="str">
        <f>IFERROR(VLOOKUP(B26,产品数据!$B:$D,3,FALSE),"")</f>
        <v>包</v>
      </c>
      <c r="D26" s="23">
        <v>18</v>
      </c>
      <c r="E26" s="46">
        <f>SUMIF($H$4:$BQ$4,$E$2,H26:BQ26)</f>
        <v>0</v>
      </c>
      <c r="F26" s="46">
        <f>SUMIF($H$4:$BQ$4,$F$2,H26:BQ26)</f>
        <v>8</v>
      </c>
      <c r="G26" s="50">
        <f>D26+E26-F26</f>
        <v>10</v>
      </c>
      <c r="H26" s="51">
        <f>SUMIFS(入库流水账!$E:$E,入库流水账!$C:$C,$B26,入库流水账!$B:$B,H$3)</f>
        <v>0</v>
      </c>
      <c r="I26" s="51">
        <f>SUMIFS(出库流水账!$E:$E,出库流水账!$C:$C,$B26,出库流水账!$B:$B,H$3)</f>
        <v>0</v>
      </c>
      <c r="J26" s="51">
        <f>SUMIFS(入库流水账!$E:$E,入库流水账!$C:$C,$B26,入库流水账!$B:$B,J$3)</f>
        <v>0</v>
      </c>
      <c r="K26" s="51">
        <f>SUMIFS(出库流水账!$E:$E,出库流水账!$C:$C,$B26,出库流水账!$B:$B,J$3)</f>
        <v>0</v>
      </c>
      <c r="L26" s="51">
        <f>SUMIFS(入库流水账!$E:$E,入库流水账!$C:$C,$B26,入库流水账!$B:$B,L$3)</f>
        <v>0</v>
      </c>
      <c r="M26" s="51">
        <f>SUMIFS(出库流水账!$E:$E,出库流水账!$C:$C,$B26,出库流水账!$B:$B,L$3)</f>
        <v>0</v>
      </c>
      <c r="N26" s="51">
        <f>SUMIFS(入库流水账!$E:$E,入库流水账!$C:$C,$B26,入库流水账!$B:$B,N$3)</f>
        <v>0</v>
      </c>
      <c r="O26" s="51">
        <f>SUMIFS(出库流水账!$E:$E,出库流水账!$C:$C,$B26,出库流水账!$B:$B,N$3)</f>
        <v>0</v>
      </c>
      <c r="P26" s="51">
        <f>SUMIFS(入库流水账!$E:$E,入库流水账!$C:$C,$B26,入库流水账!$B:$B,P$3)</f>
        <v>0</v>
      </c>
      <c r="Q26" s="51">
        <f>SUMIFS(出库流水账!$E:$E,出库流水账!$C:$C,$B26,出库流水账!$B:$B,P$3)</f>
        <v>2</v>
      </c>
      <c r="R26" s="51">
        <f>SUMIFS(入库流水账!$E:$E,入库流水账!$C:$C,$B26,入库流水账!$B:$B,R$3)</f>
        <v>0</v>
      </c>
      <c r="S26" s="51">
        <f>SUMIFS(出库流水账!$E:$E,出库流水账!$C:$C,$B26,出库流水账!$B:$B,R$3)</f>
        <v>0</v>
      </c>
      <c r="T26" s="51">
        <f>SUMIFS(入库流水账!$E:$E,入库流水账!$C:$C,$B26,入库流水账!$B:$B,T$3)</f>
        <v>0</v>
      </c>
      <c r="U26" s="51">
        <f>SUMIFS(出库流水账!$E:$E,出库流水账!$C:$C,$B26,出库流水账!$B:$B,T$3)</f>
        <v>0</v>
      </c>
      <c r="V26" s="51">
        <f>SUMIFS(入库流水账!$E:$E,入库流水账!$C:$C,$B26,入库流水账!$B:$B,V$3)</f>
        <v>0</v>
      </c>
      <c r="W26" s="51">
        <f>SUMIFS(出库流水账!$E:$E,出库流水账!$C:$C,$B26,出库流水账!$B:$B,V$3)</f>
        <v>0</v>
      </c>
      <c r="X26" s="51">
        <f>SUMIFS(入库流水账!$E:$E,入库流水账!$C:$C,$B26,入库流水账!$B:$B,X$3)</f>
        <v>0</v>
      </c>
      <c r="Y26" s="51">
        <f>SUMIFS(出库流水账!$E:$E,出库流水账!$C:$C,$B26,出库流水账!$B:$B,X$3)</f>
        <v>0</v>
      </c>
      <c r="Z26" s="51">
        <f>SUMIFS(入库流水账!$E:$E,入库流水账!$C:$C,$B26,入库流水账!$B:$B,Z$3)</f>
        <v>0</v>
      </c>
      <c r="AA26" s="51">
        <f>SUMIFS(出库流水账!$E:$E,出库流水账!$C:$C,$B26,出库流水账!$B:$B,Z$3)</f>
        <v>0</v>
      </c>
      <c r="AB26" s="51">
        <f>SUMIFS(入库流水账!$E:$E,入库流水账!$C:$C,$B26,入库流水账!$B:$B,AB$3)</f>
        <v>0</v>
      </c>
      <c r="AC26" s="51">
        <f>SUMIFS(出库流水账!$E:$E,出库流水账!$C:$C,$B26,出库流水账!$B:$B,AB$3)</f>
        <v>0</v>
      </c>
      <c r="AD26" s="51">
        <f>SUMIFS(入库流水账!$E:$E,入库流水账!$C:$C,$B26,入库流水账!$B:$B,AD$3)</f>
        <v>0</v>
      </c>
      <c r="AE26" s="51">
        <f>SUMIFS(出库流水账!$E:$E,出库流水账!$C:$C,$B26,出库流水账!$B:$B,AD$3)</f>
        <v>0</v>
      </c>
      <c r="AF26" s="51">
        <f>SUMIFS(入库流水账!$E:$E,入库流水账!$C:$C,$B26,入库流水账!$B:$B,AF$3)</f>
        <v>0</v>
      </c>
      <c r="AG26" s="51">
        <f>SUMIFS(出库流水账!$E:$E,出库流水账!$C:$C,$B26,出库流水账!$B:$B,AF$3)</f>
        <v>0</v>
      </c>
      <c r="AH26" s="51">
        <f>SUMIFS(入库流水账!$E:$E,入库流水账!$C:$C,$B26,入库流水账!$B:$B,AH$3)</f>
        <v>0</v>
      </c>
      <c r="AI26" s="51">
        <f>SUMIFS(出库流水账!$E:$E,出库流水账!$C:$C,$B26,出库流水账!$B:$B,AH$3)</f>
        <v>0</v>
      </c>
      <c r="AJ26" s="51">
        <f>SUMIFS(入库流水账!$E:$E,入库流水账!$C:$C,$B26,入库流水账!$B:$B,AJ$3)</f>
        <v>0</v>
      </c>
      <c r="AK26" s="51">
        <f>SUMIFS(出库流水账!$E:$E,出库流水账!$C:$C,$B26,出库流水账!$B:$B,AJ$3)</f>
        <v>0</v>
      </c>
      <c r="AL26" s="51">
        <f>SUMIFS(入库流水账!$E:$E,入库流水账!$C:$C,$B26,入库流水账!$B:$B,AL$3)</f>
        <v>0</v>
      </c>
      <c r="AM26" s="51">
        <f>SUMIFS(出库流水账!$E:$E,出库流水账!$C:$C,$B26,出库流水账!$B:$B,AL$3)</f>
        <v>2</v>
      </c>
      <c r="AN26" s="51">
        <f>SUMIFS(入库流水账!$E:$E,入库流水账!$C:$C,$B26,入库流水账!$B:$B,AN$3)</f>
        <v>0</v>
      </c>
      <c r="AO26" s="51">
        <f>SUMIFS(出库流水账!$E:$E,出库流水账!$C:$C,$B26,出库流水账!$B:$B,AN$3)</f>
        <v>0</v>
      </c>
      <c r="AP26" s="51">
        <f>SUMIFS(入库流水账!$E:$E,入库流水账!$C:$C,$B26,入库流水账!$B:$B,AP$3)</f>
        <v>0</v>
      </c>
      <c r="AQ26" s="51">
        <f>SUMIFS(出库流水账!$E:$E,出库流水账!$C:$C,$B26,出库流水账!$B:$B,AP$3)</f>
        <v>0</v>
      </c>
      <c r="AR26" s="51">
        <f>SUMIFS(入库流水账!$E:$E,入库流水账!$C:$C,$B26,入库流水账!$B:$B,AR$3)</f>
        <v>0</v>
      </c>
      <c r="AS26" s="51">
        <f>SUMIFS(出库流水账!$E:$E,出库流水账!$C:$C,$B26,出库流水账!$B:$B,AR$3)</f>
        <v>0</v>
      </c>
      <c r="AT26" s="51">
        <f>SUMIFS(入库流水账!$E:$E,入库流水账!$C:$C,$B26,入库流水账!$B:$B,AT$3)</f>
        <v>0</v>
      </c>
      <c r="AU26" s="51">
        <f>SUMIFS(出库流水账!$E:$E,出库流水账!$C:$C,$B26,出库流水账!$B:$B,AT$3)</f>
        <v>0</v>
      </c>
      <c r="AV26" s="51">
        <f>SUMIFS(入库流水账!$E:$E,入库流水账!$C:$C,$B26,入库流水账!$B:$B,AV$3)</f>
        <v>0</v>
      </c>
      <c r="AW26" s="51">
        <f>SUMIFS(出库流水账!$E:$E,出库流水账!$C:$C,$B26,出库流水账!$B:$B,AV$3)</f>
        <v>0</v>
      </c>
      <c r="AX26" s="51">
        <f>SUMIFS(入库流水账!$E:$E,入库流水账!$C:$C,$B26,入库流水账!$B:$B,AX$3)</f>
        <v>0</v>
      </c>
      <c r="AY26" s="51">
        <f>SUMIFS(出库流水账!$E:$E,出库流水账!$C:$C,$B26,出库流水账!$B:$B,AX$3)</f>
        <v>0</v>
      </c>
      <c r="AZ26" s="51">
        <f>SUMIFS(入库流水账!$E:$E,入库流水账!$C:$C,$B26,入库流水账!$B:$B,AZ$3)</f>
        <v>0</v>
      </c>
      <c r="BA26" s="51">
        <f>SUMIFS(出库流水账!$E:$E,出库流水账!$C:$C,$B26,出库流水账!$B:$B,AZ$3)</f>
        <v>2</v>
      </c>
      <c r="BB26" s="51">
        <f>SUMIFS(入库流水账!$E:$E,入库流水账!$C:$C,$B26,入库流水账!$B:$B,BB$3)</f>
        <v>0</v>
      </c>
      <c r="BC26" s="51">
        <f>SUMIFS(出库流水账!$E:$E,出库流水账!$C:$C,$B26,出库流水账!$B:$B,BB$3)</f>
        <v>0</v>
      </c>
      <c r="BD26" s="51">
        <f>SUMIFS(入库流水账!$E:$E,入库流水账!$C:$C,$B26,入库流水账!$B:$B,BD$3)</f>
        <v>0</v>
      </c>
      <c r="BE26" s="51">
        <f>SUMIFS(出库流水账!$E:$E,出库流水账!$C:$C,$B26,出库流水账!$B:$B,BD$3)</f>
        <v>0</v>
      </c>
      <c r="BF26" s="51">
        <f>SUMIFS(入库流水账!$E:$E,入库流水账!$C:$C,$B26,入库流水账!$B:$B,BF$3)</f>
        <v>0</v>
      </c>
      <c r="BG26" s="51">
        <f>SUMIFS(出库流水账!$E:$E,出库流水账!$C:$C,$B26,出库流水账!$B:$B,BF$3)</f>
        <v>0</v>
      </c>
      <c r="BH26" s="51">
        <f>SUMIFS(入库流水账!$E:$E,入库流水账!$C:$C,$B26,入库流水账!$B:$B,BH$3)</f>
        <v>0</v>
      </c>
      <c r="BI26" s="51">
        <f>SUMIFS(出库流水账!$E:$E,出库流水账!$C:$C,$B26,出库流水账!$B:$B,BH$3)</f>
        <v>0</v>
      </c>
      <c r="BJ26" s="51">
        <f>SUMIFS(入库流水账!$E:$E,入库流水账!$C:$C,$B26,入库流水账!$B:$B,BJ$3)</f>
        <v>0</v>
      </c>
      <c r="BK26" s="51">
        <f>SUMIFS(出库流水账!$E:$E,出库流水账!$C:$C,$B26,出库流水账!$B:$B,BJ$3)</f>
        <v>0</v>
      </c>
      <c r="BL26" s="51">
        <f>SUMIFS(入库流水账!$E:$E,入库流水账!$C:$C,$B26,入库流水账!$B:$B,BL$3)</f>
        <v>0</v>
      </c>
      <c r="BM26" s="51">
        <f>SUMIFS(出库流水账!$E:$E,出库流水账!$C:$C,$B26,出库流水账!$B:$B,BL$3)</f>
        <v>0</v>
      </c>
      <c r="BN26" s="51">
        <f>SUMIFS(入库流水账!$E:$E,入库流水账!$C:$C,$B26,入库流水账!$B:$B,BN$3)</f>
        <v>0</v>
      </c>
      <c r="BO26" s="51">
        <f>SUMIFS(出库流水账!$E:$E,出库流水账!$C:$C,$B26,出库流水账!$B:$B,BN$3)</f>
        <v>2</v>
      </c>
      <c r="BP26" s="51">
        <f>SUMIFS(入库流水账!$E:$E,入库流水账!$C:$C,$B26,入库流水账!$B:$B,BP$3)</f>
        <v>0</v>
      </c>
      <c r="BQ26" s="51">
        <f>SUMIFS(出库流水账!$E:$E,出库流水账!$C:$C,$B26,出库流水账!$B:$B,BP$3)</f>
        <v>0</v>
      </c>
    </row>
    <row r="27" s="35" customFormat="1" ht="18" customHeight="1" spans="1:69">
      <c r="A27" s="46">
        <f>ROW()-4</f>
        <v>23</v>
      </c>
      <c r="B27" s="47" t="s">
        <v>61</v>
      </c>
      <c r="C27" s="48" t="str">
        <f>IFERROR(VLOOKUP(B27,产品数据!$B:$D,3,FALSE),"")</f>
        <v>包</v>
      </c>
      <c r="D27" s="23">
        <v>11</v>
      </c>
      <c r="E27" s="46">
        <f>SUMIF($H$4:$BQ$4,$E$2,H27:BQ27)</f>
        <v>10</v>
      </c>
      <c r="F27" s="46">
        <f>SUMIF($H$4:$BQ$4,$F$2,H27:BQ27)</f>
        <v>8</v>
      </c>
      <c r="G27" s="50">
        <f>D27+E27-F27</f>
        <v>13</v>
      </c>
      <c r="H27" s="51">
        <f>SUMIFS(入库流水账!$E:$E,入库流水账!$C:$C,$B27,入库流水账!$B:$B,H$3)</f>
        <v>0</v>
      </c>
      <c r="I27" s="51">
        <f>SUMIFS(出库流水账!$E:$E,出库流水账!$C:$C,$B27,出库流水账!$B:$B,H$3)</f>
        <v>0</v>
      </c>
      <c r="J27" s="51">
        <f>SUMIFS(入库流水账!$E:$E,入库流水账!$C:$C,$B27,入库流水账!$B:$B,J$3)</f>
        <v>0</v>
      </c>
      <c r="K27" s="51">
        <f>SUMIFS(出库流水账!$E:$E,出库流水账!$C:$C,$B27,出库流水账!$B:$B,J$3)</f>
        <v>0</v>
      </c>
      <c r="L27" s="51">
        <f>SUMIFS(入库流水账!$E:$E,入库流水账!$C:$C,$B27,入库流水账!$B:$B,L$3)</f>
        <v>0</v>
      </c>
      <c r="M27" s="51">
        <f>SUMIFS(出库流水账!$E:$E,出库流水账!$C:$C,$B27,出库流水账!$B:$B,L$3)</f>
        <v>0</v>
      </c>
      <c r="N27" s="51">
        <f>SUMIFS(入库流水账!$E:$E,入库流水账!$C:$C,$B27,入库流水账!$B:$B,N$3)</f>
        <v>0</v>
      </c>
      <c r="O27" s="51">
        <f>SUMIFS(出库流水账!$E:$E,出库流水账!$C:$C,$B27,出库流水账!$B:$B,N$3)</f>
        <v>0</v>
      </c>
      <c r="P27" s="51">
        <f>SUMIFS(入库流水账!$E:$E,入库流水账!$C:$C,$B27,入库流水账!$B:$B,P$3)</f>
        <v>0</v>
      </c>
      <c r="Q27" s="51">
        <f>SUMIFS(出库流水账!$E:$E,出库流水账!$C:$C,$B27,出库流水账!$B:$B,P$3)</f>
        <v>0</v>
      </c>
      <c r="R27" s="51">
        <f>SUMIFS(入库流水账!$E:$E,入库流水账!$C:$C,$B27,入库流水账!$B:$B,R$3)</f>
        <v>0</v>
      </c>
      <c r="S27" s="51">
        <f>SUMIFS(出库流水账!$E:$E,出库流水账!$C:$C,$B27,出库流水账!$B:$B,R$3)</f>
        <v>1</v>
      </c>
      <c r="T27" s="51">
        <f>SUMIFS(入库流水账!$E:$E,入库流水账!$C:$C,$B27,入库流水账!$B:$B,T$3)</f>
        <v>0</v>
      </c>
      <c r="U27" s="51">
        <f>SUMIFS(出库流水账!$E:$E,出库流水账!$C:$C,$B27,出库流水账!$B:$B,T$3)</f>
        <v>0</v>
      </c>
      <c r="V27" s="51">
        <f>SUMIFS(入库流水账!$E:$E,入库流水账!$C:$C,$B27,入库流水账!$B:$B,V$3)</f>
        <v>0</v>
      </c>
      <c r="W27" s="51">
        <f>SUMIFS(出库流水账!$E:$E,出库流水账!$C:$C,$B27,出库流水账!$B:$B,V$3)</f>
        <v>0</v>
      </c>
      <c r="X27" s="51">
        <f>SUMIFS(入库流水账!$E:$E,入库流水账!$C:$C,$B27,入库流水账!$B:$B,X$3)</f>
        <v>0</v>
      </c>
      <c r="Y27" s="51">
        <f>SUMIFS(出库流水账!$E:$E,出库流水账!$C:$C,$B27,出库流水账!$B:$B,X$3)</f>
        <v>1</v>
      </c>
      <c r="Z27" s="51">
        <f>SUMIFS(入库流水账!$E:$E,入库流水账!$C:$C,$B27,入库流水账!$B:$B,Z$3)</f>
        <v>0</v>
      </c>
      <c r="AA27" s="51">
        <f>SUMIFS(出库流水账!$E:$E,出库流水账!$C:$C,$B27,出库流水账!$B:$B,Z$3)</f>
        <v>0</v>
      </c>
      <c r="AB27" s="51">
        <f>SUMIFS(入库流水账!$E:$E,入库流水账!$C:$C,$B27,入库流水账!$B:$B,AB$3)</f>
        <v>0</v>
      </c>
      <c r="AC27" s="51">
        <f>SUMIFS(出库流水账!$E:$E,出库流水账!$C:$C,$B27,出库流水账!$B:$B,AB$3)</f>
        <v>0</v>
      </c>
      <c r="AD27" s="51">
        <f>SUMIFS(入库流水账!$E:$E,入库流水账!$C:$C,$B27,入库流水账!$B:$B,AD$3)</f>
        <v>0</v>
      </c>
      <c r="AE27" s="51">
        <f>SUMIFS(出库流水账!$E:$E,出库流水账!$C:$C,$B27,出库流水账!$B:$B,AD$3)</f>
        <v>1</v>
      </c>
      <c r="AF27" s="51">
        <f>SUMIFS(入库流水账!$E:$E,入库流水账!$C:$C,$B27,入库流水账!$B:$B,AF$3)</f>
        <v>0</v>
      </c>
      <c r="AG27" s="51">
        <f>SUMIFS(出库流水账!$E:$E,出库流水账!$C:$C,$B27,出库流水账!$B:$B,AF$3)</f>
        <v>0</v>
      </c>
      <c r="AH27" s="51">
        <f>SUMIFS(入库流水账!$E:$E,入库流水账!$C:$C,$B27,入库流水账!$B:$B,AH$3)</f>
        <v>0</v>
      </c>
      <c r="AI27" s="51">
        <f>SUMIFS(出库流水账!$E:$E,出库流水账!$C:$C,$B27,出库流水账!$B:$B,AH$3)</f>
        <v>0</v>
      </c>
      <c r="AJ27" s="51">
        <f>SUMIFS(入库流水账!$E:$E,入库流水账!$C:$C,$B27,入库流水账!$B:$B,AJ$3)</f>
        <v>0</v>
      </c>
      <c r="AK27" s="51">
        <f>SUMIFS(出库流水账!$E:$E,出库流水账!$C:$C,$B27,出库流水账!$B:$B,AJ$3)</f>
        <v>0</v>
      </c>
      <c r="AL27" s="51">
        <f>SUMIFS(入库流水账!$E:$E,入库流水账!$C:$C,$B27,入库流水账!$B:$B,AL$3)</f>
        <v>0</v>
      </c>
      <c r="AM27" s="51">
        <f>SUMIFS(出库流水账!$E:$E,出库流水账!$C:$C,$B27,出库流水账!$B:$B,AL$3)</f>
        <v>1</v>
      </c>
      <c r="AN27" s="51">
        <f>SUMIFS(入库流水账!$E:$E,入库流水账!$C:$C,$B27,入库流水账!$B:$B,AN$3)</f>
        <v>0</v>
      </c>
      <c r="AO27" s="51">
        <f>SUMIFS(出库流水账!$E:$E,出库流水账!$C:$C,$B27,出库流水账!$B:$B,AN$3)</f>
        <v>0</v>
      </c>
      <c r="AP27" s="51">
        <f>SUMIFS(入库流水账!$E:$E,入库流水账!$C:$C,$B27,入库流水账!$B:$B,AP$3)</f>
        <v>0</v>
      </c>
      <c r="AQ27" s="51">
        <f>SUMIFS(出库流水账!$E:$E,出库流水账!$C:$C,$B27,出库流水账!$B:$B,AP$3)</f>
        <v>0</v>
      </c>
      <c r="AR27" s="51">
        <f>SUMIFS(入库流水账!$E:$E,入库流水账!$C:$C,$B27,入库流水账!$B:$B,AR$3)</f>
        <v>0</v>
      </c>
      <c r="AS27" s="51">
        <f>SUMIFS(出库流水账!$E:$E,出库流水账!$C:$C,$B27,出库流水账!$B:$B,AR$3)</f>
        <v>0</v>
      </c>
      <c r="AT27" s="51">
        <f>SUMIFS(入库流水账!$E:$E,入库流水账!$C:$C,$B27,入库流水账!$B:$B,AT$3)</f>
        <v>0</v>
      </c>
      <c r="AU27" s="51">
        <f>SUMIFS(出库流水账!$E:$E,出库流水账!$C:$C,$B27,出库流水账!$B:$B,AT$3)</f>
        <v>1</v>
      </c>
      <c r="AV27" s="51">
        <f>SUMIFS(入库流水账!$E:$E,入库流水账!$C:$C,$B27,入库流水账!$B:$B,AV$3)</f>
        <v>10</v>
      </c>
      <c r="AW27" s="51">
        <f>SUMIFS(出库流水账!$E:$E,出库流水账!$C:$C,$B27,出库流水账!$B:$B,AV$3)</f>
        <v>0</v>
      </c>
      <c r="AX27" s="51">
        <f>SUMIFS(入库流水账!$E:$E,入库流水账!$C:$C,$B27,入库流水账!$B:$B,AX$3)</f>
        <v>0</v>
      </c>
      <c r="AY27" s="51">
        <f>SUMIFS(出库流水账!$E:$E,出库流水账!$C:$C,$B27,出库流水账!$B:$B,AX$3)</f>
        <v>1</v>
      </c>
      <c r="AZ27" s="51">
        <f>SUMIFS(入库流水账!$E:$E,入库流水账!$C:$C,$B27,入库流水账!$B:$B,AZ$3)</f>
        <v>0</v>
      </c>
      <c r="BA27" s="51">
        <f>SUMIFS(出库流水账!$E:$E,出库流水账!$C:$C,$B27,出库流水账!$B:$B,AZ$3)</f>
        <v>0</v>
      </c>
      <c r="BB27" s="51">
        <f>SUMIFS(入库流水账!$E:$E,入库流水账!$C:$C,$B27,入库流水账!$B:$B,BB$3)</f>
        <v>0</v>
      </c>
      <c r="BC27" s="51">
        <f>SUMIFS(出库流水账!$E:$E,出库流水账!$C:$C,$B27,出库流水账!$B:$B,BB$3)</f>
        <v>0</v>
      </c>
      <c r="BD27" s="51">
        <f>SUMIFS(入库流水账!$E:$E,入库流水账!$C:$C,$B27,入库流水账!$B:$B,BD$3)</f>
        <v>0</v>
      </c>
      <c r="BE27" s="51">
        <f>SUMIFS(出库流水账!$E:$E,出库流水账!$C:$C,$B27,出库流水账!$B:$B,BD$3)</f>
        <v>0</v>
      </c>
      <c r="BF27" s="51">
        <f>SUMIFS(入库流水账!$E:$E,入库流水账!$C:$C,$B27,入库流水账!$B:$B,BF$3)</f>
        <v>0</v>
      </c>
      <c r="BG27" s="51">
        <f>SUMIFS(出库流水账!$E:$E,出库流水账!$C:$C,$B27,出库流水账!$B:$B,BF$3)</f>
        <v>0</v>
      </c>
      <c r="BH27" s="51">
        <f>SUMIFS(入库流水账!$E:$E,入库流水账!$C:$C,$B27,入库流水账!$B:$B,BH$3)</f>
        <v>0</v>
      </c>
      <c r="BI27" s="51">
        <f>SUMIFS(出库流水账!$E:$E,出库流水账!$C:$C,$B27,出库流水账!$B:$B,BH$3)</f>
        <v>0</v>
      </c>
      <c r="BJ27" s="51">
        <f>SUMIFS(入库流水账!$E:$E,入库流水账!$C:$C,$B27,入库流水账!$B:$B,BJ$3)</f>
        <v>0</v>
      </c>
      <c r="BK27" s="51">
        <f>SUMIFS(出库流水账!$E:$E,出库流水账!$C:$C,$B27,出库流水账!$B:$B,BJ$3)</f>
        <v>1</v>
      </c>
      <c r="BL27" s="51">
        <f>SUMIFS(入库流水账!$E:$E,入库流水账!$C:$C,$B27,入库流水账!$B:$B,BL$3)</f>
        <v>0</v>
      </c>
      <c r="BM27" s="51">
        <f>SUMIFS(出库流水账!$E:$E,出库流水账!$C:$C,$B27,出库流水账!$B:$B,BL$3)</f>
        <v>0</v>
      </c>
      <c r="BN27" s="51">
        <f>SUMIFS(入库流水账!$E:$E,入库流水账!$C:$C,$B27,入库流水账!$B:$B,BN$3)</f>
        <v>0</v>
      </c>
      <c r="BO27" s="51">
        <f>SUMIFS(出库流水账!$E:$E,出库流水账!$C:$C,$B27,出库流水账!$B:$B,BN$3)</f>
        <v>1</v>
      </c>
      <c r="BP27" s="51">
        <f>SUMIFS(入库流水账!$E:$E,入库流水账!$C:$C,$B27,入库流水账!$B:$B,BP$3)</f>
        <v>0</v>
      </c>
      <c r="BQ27" s="51">
        <f>SUMIFS(出库流水账!$E:$E,出库流水账!$C:$C,$B27,出库流水账!$B:$B,BP$3)</f>
        <v>0</v>
      </c>
    </row>
    <row r="28" s="35" customFormat="1" ht="18" customHeight="1" spans="1:69">
      <c r="A28" s="46">
        <f>ROW()-4</f>
        <v>24</v>
      </c>
      <c r="B28" s="47" t="s">
        <v>62</v>
      </c>
      <c r="C28" s="48" t="str">
        <f>IFERROR(VLOOKUP(B28,产品数据!$B:$D,3,FALSE),"")</f>
        <v>瓶</v>
      </c>
      <c r="D28" s="23">
        <f>'[2]米油调味品台账表 12月      '!G29</f>
        <v>0</v>
      </c>
      <c r="E28" s="46">
        <f>SUMIF($H$4:$BQ$4,$E$2,H28:BQ28)</f>
        <v>2</v>
      </c>
      <c r="F28" s="46">
        <f>SUMIF($H$4:$BQ$4,$F$2,H28:BQ28)</f>
        <v>0</v>
      </c>
      <c r="G28" s="50">
        <f>D28+E28-F28</f>
        <v>2</v>
      </c>
      <c r="H28" s="51">
        <f>SUMIFS(入库流水账!$E:$E,入库流水账!$C:$C,$B28,入库流水账!$B:$B,H$3)</f>
        <v>0</v>
      </c>
      <c r="I28" s="51">
        <f>SUMIFS(出库流水账!$E:$E,出库流水账!$C:$C,$B28,出库流水账!$B:$B,H$3)</f>
        <v>0</v>
      </c>
      <c r="J28" s="51">
        <f>SUMIFS(入库流水账!$E:$E,入库流水账!$C:$C,$B28,入库流水账!$B:$B,J$3)</f>
        <v>0</v>
      </c>
      <c r="K28" s="51">
        <f>SUMIFS(出库流水账!$E:$E,出库流水账!$C:$C,$B28,出库流水账!$B:$B,J$3)</f>
        <v>0</v>
      </c>
      <c r="L28" s="51">
        <f>SUMIFS(入库流水账!$E:$E,入库流水账!$C:$C,$B28,入库流水账!$B:$B,L$3)</f>
        <v>0</v>
      </c>
      <c r="M28" s="51">
        <f>SUMIFS(出库流水账!$E:$E,出库流水账!$C:$C,$B28,出库流水账!$B:$B,L$3)</f>
        <v>0</v>
      </c>
      <c r="N28" s="51">
        <f>SUMIFS(入库流水账!$E:$E,入库流水账!$C:$C,$B28,入库流水账!$B:$B,N$3)</f>
        <v>0</v>
      </c>
      <c r="O28" s="51">
        <f>SUMIFS(出库流水账!$E:$E,出库流水账!$C:$C,$B28,出库流水账!$B:$B,N$3)</f>
        <v>0</v>
      </c>
      <c r="P28" s="51">
        <f>SUMIFS(入库流水账!$E:$E,入库流水账!$C:$C,$B28,入库流水账!$B:$B,P$3)</f>
        <v>0</v>
      </c>
      <c r="Q28" s="51">
        <f>SUMIFS(出库流水账!$E:$E,出库流水账!$C:$C,$B28,出库流水账!$B:$B,P$3)</f>
        <v>0</v>
      </c>
      <c r="R28" s="51">
        <f>SUMIFS(入库流水账!$E:$E,入库流水账!$C:$C,$B28,入库流水账!$B:$B,R$3)</f>
        <v>0</v>
      </c>
      <c r="S28" s="51">
        <f>SUMIFS(出库流水账!$E:$E,出库流水账!$C:$C,$B28,出库流水账!$B:$B,R$3)</f>
        <v>0</v>
      </c>
      <c r="T28" s="51">
        <f>SUMIFS(入库流水账!$E:$E,入库流水账!$C:$C,$B28,入库流水账!$B:$B,T$3)</f>
        <v>0</v>
      </c>
      <c r="U28" s="51">
        <f>SUMIFS(出库流水账!$E:$E,出库流水账!$C:$C,$B28,出库流水账!$B:$B,T$3)</f>
        <v>0</v>
      </c>
      <c r="V28" s="51">
        <f>SUMIFS(入库流水账!$E:$E,入库流水账!$C:$C,$B28,入库流水账!$B:$B,V$3)</f>
        <v>0</v>
      </c>
      <c r="W28" s="51">
        <f>SUMIFS(出库流水账!$E:$E,出库流水账!$C:$C,$B28,出库流水账!$B:$B,V$3)</f>
        <v>0</v>
      </c>
      <c r="X28" s="51">
        <f>SUMIFS(入库流水账!$E:$E,入库流水账!$C:$C,$B28,入库流水账!$B:$B,X$3)</f>
        <v>0</v>
      </c>
      <c r="Y28" s="51">
        <f>SUMIFS(出库流水账!$E:$E,出库流水账!$C:$C,$B28,出库流水账!$B:$B,X$3)</f>
        <v>0</v>
      </c>
      <c r="Z28" s="51">
        <f>SUMIFS(入库流水账!$E:$E,入库流水账!$C:$C,$B28,入库流水账!$B:$B,Z$3)</f>
        <v>0</v>
      </c>
      <c r="AA28" s="51">
        <f>SUMIFS(出库流水账!$E:$E,出库流水账!$C:$C,$B28,出库流水账!$B:$B,Z$3)</f>
        <v>0</v>
      </c>
      <c r="AB28" s="51">
        <f>SUMIFS(入库流水账!$E:$E,入库流水账!$C:$C,$B28,入库流水账!$B:$B,AB$3)</f>
        <v>0</v>
      </c>
      <c r="AC28" s="51">
        <f>SUMIFS(出库流水账!$E:$E,出库流水账!$C:$C,$B28,出库流水账!$B:$B,AB$3)</f>
        <v>0</v>
      </c>
      <c r="AD28" s="51">
        <f>SUMIFS(入库流水账!$E:$E,入库流水账!$C:$C,$B28,入库流水账!$B:$B,AD$3)</f>
        <v>2</v>
      </c>
      <c r="AE28" s="51">
        <f>SUMIFS(出库流水账!$E:$E,出库流水账!$C:$C,$B28,出库流水账!$B:$B,AD$3)</f>
        <v>0</v>
      </c>
      <c r="AF28" s="51">
        <f>SUMIFS(入库流水账!$E:$E,入库流水账!$C:$C,$B28,入库流水账!$B:$B,AF$3)</f>
        <v>0</v>
      </c>
      <c r="AG28" s="51">
        <f>SUMIFS(出库流水账!$E:$E,出库流水账!$C:$C,$B28,出库流水账!$B:$B,AF$3)</f>
        <v>0</v>
      </c>
      <c r="AH28" s="51">
        <f>SUMIFS(入库流水账!$E:$E,入库流水账!$C:$C,$B28,入库流水账!$B:$B,AH$3)</f>
        <v>0</v>
      </c>
      <c r="AI28" s="51">
        <f>SUMIFS(出库流水账!$E:$E,出库流水账!$C:$C,$B28,出库流水账!$B:$B,AH$3)</f>
        <v>0</v>
      </c>
      <c r="AJ28" s="51">
        <f>SUMIFS(入库流水账!$E:$E,入库流水账!$C:$C,$B28,入库流水账!$B:$B,AJ$3)</f>
        <v>0</v>
      </c>
      <c r="AK28" s="51">
        <f>SUMIFS(出库流水账!$E:$E,出库流水账!$C:$C,$B28,出库流水账!$B:$B,AJ$3)</f>
        <v>0</v>
      </c>
      <c r="AL28" s="51">
        <f>SUMIFS(入库流水账!$E:$E,入库流水账!$C:$C,$B28,入库流水账!$B:$B,AL$3)</f>
        <v>0</v>
      </c>
      <c r="AM28" s="51">
        <f>SUMIFS(出库流水账!$E:$E,出库流水账!$C:$C,$B28,出库流水账!$B:$B,AL$3)</f>
        <v>0</v>
      </c>
      <c r="AN28" s="51">
        <f>SUMIFS(入库流水账!$E:$E,入库流水账!$C:$C,$B28,入库流水账!$B:$B,AN$3)</f>
        <v>0</v>
      </c>
      <c r="AO28" s="51">
        <f>SUMIFS(出库流水账!$E:$E,出库流水账!$C:$C,$B28,出库流水账!$B:$B,AN$3)</f>
        <v>0</v>
      </c>
      <c r="AP28" s="51">
        <f>SUMIFS(入库流水账!$E:$E,入库流水账!$C:$C,$B28,入库流水账!$B:$B,AP$3)</f>
        <v>0</v>
      </c>
      <c r="AQ28" s="51">
        <f>SUMIFS(出库流水账!$E:$E,出库流水账!$C:$C,$B28,出库流水账!$B:$B,AP$3)</f>
        <v>0</v>
      </c>
      <c r="AR28" s="51">
        <f>SUMIFS(入库流水账!$E:$E,入库流水账!$C:$C,$B28,入库流水账!$B:$B,AR$3)</f>
        <v>0</v>
      </c>
      <c r="AS28" s="51">
        <f>SUMIFS(出库流水账!$E:$E,出库流水账!$C:$C,$B28,出库流水账!$B:$B,AR$3)</f>
        <v>0</v>
      </c>
      <c r="AT28" s="51">
        <f>SUMIFS(入库流水账!$E:$E,入库流水账!$C:$C,$B28,入库流水账!$B:$B,AT$3)</f>
        <v>0</v>
      </c>
      <c r="AU28" s="51">
        <f>SUMIFS(出库流水账!$E:$E,出库流水账!$C:$C,$B28,出库流水账!$B:$B,AT$3)</f>
        <v>0</v>
      </c>
      <c r="AV28" s="51">
        <f>SUMIFS(入库流水账!$E:$E,入库流水账!$C:$C,$B28,入库流水账!$B:$B,AV$3)</f>
        <v>0</v>
      </c>
      <c r="AW28" s="51">
        <f>SUMIFS(出库流水账!$E:$E,出库流水账!$C:$C,$B28,出库流水账!$B:$B,AV$3)</f>
        <v>0</v>
      </c>
      <c r="AX28" s="51">
        <f>SUMIFS(入库流水账!$E:$E,入库流水账!$C:$C,$B28,入库流水账!$B:$B,AX$3)</f>
        <v>0</v>
      </c>
      <c r="AY28" s="51">
        <f>SUMIFS(出库流水账!$E:$E,出库流水账!$C:$C,$B28,出库流水账!$B:$B,AX$3)</f>
        <v>0</v>
      </c>
      <c r="AZ28" s="51">
        <f>SUMIFS(入库流水账!$E:$E,入库流水账!$C:$C,$B28,入库流水账!$B:$B,AZ$3)</f>
        <v>0</v>
      </c>
      <c r="BA28" s="51">
        <f>SUMIFS(出库流水账!$E:$E,出库流水账!$C:$C,$B28,出库流水账!$B:$B,AZ$3)</f>
        <v>0</v>
      </c>
      <c r="BB28" s="51">
        <f>SUMIFS(入库流水账!$E:$E,入库流水账!$C:$C,$B28,入库流水账!$B:$B,BB$3)</f>
        <v>0</v>
      </c>
      <c r="BC28" s="51">
        <f>SUMIFS(出库流水账!$E:$E,出库流水账!$C:$C,$B28,出库流水账!$B:$B,BB$3)</f>
        <v>0</v>
      </c>
      <c r="BD28" s="51">
        <f>SUMIFS(入库流水账!$E:$E,入库流水账!$C:$C,$B28,入库流水账!$B:$B,BD$3)</f>
        <v>0</v>
      </c>
      <c r="BE28" s="51">
        <f>SUMIFS(出库流水账!$E:$E,出库流水账!$C:$C,$B28,出库流水账!$B:$B,BD$3)</f>
        <v>0</v>
      </c>
      <c r="BF28" s="51">
        <f>SUMIFS(入库流水账!$E:$E,入库流水账!$C:$C,$B28,入库流水账!$B:$B,BF$3)</f>
        <v>0</v>
      </c>
      <c r="BG28" s="51">
        <f>SUMIFS(出库流水账!$E:$E,出库流水账!$C:$C,$B28,出库流水账!$B:$B,BF$3)</f>
        <v>0</v>
      </c>
      <c r="BH28" s="51">
        <f>SUMIFS(入库流水账!$E:$E,入库流水账!$C:$C,$B28,入库流水账!$B:$B,BH$3)</f>
        <v>0</v>
      </c>
      <c r="BI28" s="51">
        <f>SUMIFS(出库流水账!$E:$E,出库流水账!$C:$C,$B28,出库流水账!$B:$B,BH$3)</f>
        <v>0</v>
      </c>
      <c r="BJ28" s="51">
        <f>SUMIFS(入库流水账!$E:$E,入库流水账!$C:$C,$B28,入库流水账!$B:$B,BJ$3)</f>
        <v>0</v>
      </c>
      <c r="BK28" s="51">
        <f>SUMIFS(出库流水账!$E:$E,出库流水账!$C:$C,$B28,出库流水账!$B:$B,BJ$3)</f>
        <v>0</v>
      </c>
      <c r="BL28" s="51">
        <f>SUMIFS(入库流水账!$E:$E,入库流水账!$C:$C,$B28,入库流水账!$B:$B,BL$3)</f>
        <v>0</v>
      </c>
      <c r="BM28" s="51">
        <f>SUMIFS(出库流水账!$E:$E,出库流水账!$C:$C,$B28,出库流水账!$B:$B,BL$3)</f>
        <v>0</v>
      </c>
      <c r="BN28" s="51">
        <f>SUMIFS(入库流水账!$E:$E,入库流水账!$C:$C,$B28,入库流水账!$B:$B,BN$3)</f>
        <v>0</v>
      </c>
      <c r="BO28" s="51">
        <f>SUMIFS(出库流水账!$E:$E,出库流水账!$C:$C,$B28,出库流水账!$B:$B,BN$3)</f>
        <v>0</v>
      </c>
      <c r="BP28" s="51">
        <f>SUMIFS(入库流水账!$E:$E,入库流水账!$C:$C,$B28,入库流水账!$B:$B,BP$3)</f>
        <v>0</v>
      </c>
      <c r="BQ28" s="51">
        <f>SUMIFS(出库流水账!$E:$E,出库流水账!$C:$C,$B28,出库流水账!$B:$B,BP$3)</f>
        <v>0</v>
      </c>
    </row>
    <row r="29" s="35" customFormat="1" ht="18" customHeight="1" spans="1:69">
      <c r="A29" s="46">
        <f>ROW()-4</f>
        <v>25</v>
      </c>
      <c r="B29" s="47" t="s">
        <v>63</v>
      </c>
      <c r="C29" s="48" t="str">
        <f>IFERROR(VLOOKUP(B29,产品数据!$B:$D,3,FALSE),"")</f>
        <v>包</v>
      </c>
      <c r="D29" s="23">
        <v>50</v>
      </c>
      <c r="E29" s="46">
        <f>SUMIF($H$4:$BQ$4,$E$2,H29:BQ29)</f>
        <v>100</v>
      </c>
      <c r="F29" s="46">
        <f>SUMIF($H$4:$BQ$4,$F$2,H29:BQ29)</f>
        <v>119</v>
      </c>
      <c r="G29" s="50">
        <f>D29+E29-F29</f>
        <v>31</v>
      </c>
      <c r="H29" s="51">
        <f>SUMIFS(入库流水账!$E:$E,入库流水账!$C:$C,$B29,入库流水账!$B:$B,H$3)</f>
        <v>0</v>
      </c>
      <c r="I29" s="51">
        <f>SUMIFS(出库流水账!$E:$E,出库流水账!$C:$C,$B29,出库流水账!$B:$B,H$3)</f>
        <v>0</v>
      </c>
      <c r="J29" s="51">
        <f>SUMIFS(入库流水账!$E:$E,入库流水账!$C:$C,$B29,入库流水账!$B:$B,J$3)</f>
        <v>0</v>
      </c>
      <c r="K29" s="51">
        <f>SUMIFS(出库流水账!$E:$E,出库流水账!$C:$C,$B29,出库流水账!$B:$B,J$3)</f>
        <v>0</v>
      </c>
      <c r="L29" s="51">
        <f>SUMIFS(入库流水账!$E:$E,入库流水账!$C:$C,$B29,入库流水账!$B:$B,L$3)</f>
        <v>0</v>
      </c>
      <c r="M29" s="51">
        <f>SUMIFS(出库流水账!$E:$E,出库流水账!$C:$C,$B29,出库流水账!$B:$B,L$3)</f>
        <v>0</v>
      </c>
      <c r="N29" s="51">
        <f>SUMIFS(入库流水账!$E:$E,入库流水账!$C:$C,$B29,入库流水账!$B:$B,N$3)</f>
        <v>0</v>
      </c>
      <c r="O29" s="51">
        <f>SUMIFS(出库流水账!$E:$E,出库流水账!$C:$C,$B29,出库流水账!$B:$B,N$3)</f>
        <v>8</v>
      </c>
      <c r="P29" s="51">
        <f>SUMIFS(入库流水账!$E:$E,入库流水账!$C:$C,$B29,入库流水账!$B:$B,P$3)</f>
        <v>0</v>
      </c>
      <c r="Q29" s="51">
        <f>SUMIFS(出库流水账!$E:$E,出库流水账!$C:$C,$B29,出库流水账!$B:$B,P$3)</f>
        <v>0</v>
      </c>
      <c r="R29" s="51">
        <f>SUMIFS(入库流水账!$E:$E,入库流水账!$C:$C,$B29,入库流水账!$B:$B,R$3)</f>
        <v>0</v>
      </c>
      <c r="S29" s="51">
        <f>SUMIFS(出库流水账!$E:$E,出库流水账!$C:$C,$B29,出库流水账!$B:$B,R$3)</f>
        <v>6</v>
      </c>
      <c r="T29" s="51">
        <f>SUMIFS(入库流水账!$E:$E,入库流水账!$C:$C,$B29,入库流水账!$B:$B,T$3)</f>
        <v>0</v>
      </c>
      <c r="U29" s="51">
        <f>SUMIFS(出库流水账!$E:$E,出库流水账!$C:$C,$B29,出库流水账!$B:$B,T$3)</f>
        <v>5</v>
      </c>
      <c r="V29" s="51">
        <f>SUMIFS(入库流水账!$E:$E,入库流水账!$C:$C,$B29,入库流水账!$B:$B,V$3)</f>
        <v>0</v>
      </c>
      <c r="W29" s="51">
        <f>SUMIFS(出库流水账!$E:$E,出库流水账!$C:$C,$B29,出库流水账!$B:$B,V$3)</f>
        <v>0</v>
      </c>
      <c r="X29" s="51">
        <f>SUMIFS(入库流水账!$E:$E,入库流水账!$C:$C,$B29,入库流水账!$B:$B,X$3)</f>
        <v>0</v>
      </c>
      <c r="Y29" s="51">
        <f>SUMIFS(出库流水账!$E:$E,出库流水账!$C:$C,$B29,出库流水账!$B:$B,X$3)</f>
        <v>15</v>
      </c>
      <c r="Z29" s="51">
        <f>SUMIFS(入库流水账!$E:$E,入库流水账!$C:$C,$B29,入库流水账!$B:$B,Z$3)</f>
        <v>0</v>
      </c>
      <c r="AA29" s="51">
        <f>SUMIFS(出库流水账!$E:$E,出库流水账!$C:$C,$B29,出库流水账!$B:$B,Z$3)</f>
        <v>0</v>
      </c>
      <c r="AB29" s="51">
        <f>SUMIFS(入库流水账!$E:$E,入库流水账!$C:$C,$B29,入库流水账!$B:$B,AB$3)</f>
        <v>0</v>
      </c>
      <c r="AC29" s="51">
        <f>SUMIFS(出库流水账!$E:$E,出库流水账!$C:$C,$B29,出库流水账!$B:$B,AB$3)</f>
        <v>0</v>
      </c>
      <c r="AD29" s="51">
        <f>SUMIFS(入库流水账!$E:$E,入库流水账!$C:$C,$B29,入库流水账!$B:$B,AD$3)</f>
        <v>70</v>
      </c>
      <c r="AE29" s="51">
        <f>SUMIFS(出库流水账!$E:$E,出库流水账!$C:$C,$B29,出库流水账!$B:$B,AD$3)</f>
        <v>12</v>
      </c>
      <c r="AF29" s="51">
        <f>SUMIFS(入库流水账!$E:$E,入库流水账!$C:$C,$B29,入库流水账!$B:$B,AF$3)</f>
        <v>0</v>
      </c>
      <c r="AG29" s="51">
        <f>SUMIFS(出库流水账!$E:$E,出库流水账!$C:$C,$B29,出库流水账!$B:$B,AF$3)</f>
        <v>0</v>
      </c>
      <c r="AH29" s="51">
        <f>SUMIFS(入库流水账!$E:$E,入库流水账!$C:$C,$B29,入库流水账!$B:$B,AH$3)</f>
        <v>0</v>
      </c>
      <c r="AI29" s="51">
        <f>SUMIFS(出库流水账!$E:$E,出库流水账!$C:$C,$B29,出库流水账!$B:$B,AH$3)</f>
        <v>10</v>
      </c>
      <c r="AJ29" s="51">
        <f>SUMIFS(入库流水账!$E:$E,入库流水账!$C:$C,$B29,入库流水账!$B:$B,AJ$3)</f>
        <v>30</v>
      </c>
      <c r="AK29" s="51">
        <f>SUMIFS(出库流水账!$E:$E,出库流水账!$C:$C,$B29,出库流水账!$B:$B,AJ$3)</f>
        <v>0</v>
      </c>
      <c r="AL29" s="51">
        <f>SUMIFS(入库流水账!$E:$E,入库流水账!$C:$C,$B29,入库流水账!$B:$B,AL$3)</f>
        <v>0</v>
      </c>
      <c r="AM29" s="51">
        <f>SUMIFS(出库流水账!$E:$E,出库流水账!$C:$C,$B29,出库流水账!$B:$B,AL$3)</f>
        <v>10</v>
      </c>
      <c r="AN29" s="51">
        <f>SUMIFS(入库流水账!$E:$E,入库流水账!$C:$C,$B29,入库流水账!$B:$B,AN$3)</f>
        <v>0</v>
      </c>
      <c r="AO29" s="51">
        <f>SUMIFS(出库流水账!$E:$E,出库流水账!$C:$C,$B29,出库流水账!$B:$B,AN$3)</f>
        <v>0</v>
      </c>
      <c r="AP29" s="51">
        <f>SUMIFS(入库流水账!$E:$E,入库流水账!$C:$C,$B29,入库流水账!$B:$B,AP$3)</f>
        <v>0</v>
      </c>
      <c r="AQ29" s="51">
        <f>SUMIFS(出库流水账!$E:$E,出库流水账!$C:$C,$B29,出库流水账!$B:$B,AP$3)</f>
        <v>0</v>
      </c>
      <c r="AR29" s="51">
        <f>SUMIFS(入库流水账!$E:$E,入库流水账!$C:$C,$B29,入库流水账!$B:$B,AR$3)</f>
        <v>0</v>
      </c>
      <c r="AS29" s="51">
        <f>SUMIFS(出库流水账!$E:$E,出库流水账!$C:$C,$B29,出库流水账!$B:$B,AR$3)</f>
        <v>5</v>
      </c>
      <c r="AT29" s="51">
        <f>SUMIFS(入库流水账!$E:$E,入库流水账!$C:$C,$B29,入库流水账!$B:$B,AT$3)</f>
        <v>0</v>
      </c>
      <c r="AU29" s="51">
        <f>SUMIFS(出库流水账!$E:$E,出库流水账!$C:$C,$B29,出库流水账!$B:$B,AT$3)</f>
        <v>0</v>
      </c>
      <c r="AV29" s="51">
        <f>SUMIFS(入库流水账!$E:$E,入库流水账!$C:$C,$B29,入库流水账!$B:$B,AV$3)</f>
        <v>0</v>
      </c>
      <c r="AW29" s="51">
        <f>SUMIFS(出库流水账!$E:$E,出库流水账!$C:$C,$B29,出库流水账!$B:$B,AV$3)</f>
        <v>0</v>
      </c>
      <c r="AX29" s="51">
        <f>SUMIFS(入库流水账!$E:$E,入库流水账!$C:$C,$B29,入库流水账!$B:$B,AX$3)</f>
        <v>0</v>
      </c>
      <c r="AY29" s="51">
        <f>SUMIFS(出库流水账!$E:$E,出库流水账!$C:$C,$B29,出库流水账!$B:$B,AX$3)</f>
        <v>10</v>
      </c>
      <c r="AZ29" s="51">
        <f>SUMIFS(入库流水账!$E:$E,入库流水账!$C:$C,$B29,入库流水账!$B:$B,AZ$3)</f>
        <v>0</v>
      </c>
      <c r="BA29" s="51">
        <f>SUMIFS(出库流水账!$E:$E,出库流水账!$C:$C,$B29,出库流水账!$B:$B,AZ$3)</f>
        <v>5</v>
      </c>
      <c r="BB29" s="51">
        <f>SUMIFS(入库流水账!$E:$E,入库流水账!$C:$C,$B29,入库流水账!$B:$B,BB$3)</f>
        <v>0</v>
      </c>
      <c r="BC29" s="51">
        <f>SUMIFS(出库流水账!$E:$E,出库流水账!$C:$C,$B29,出库流水账!$B:$B,BB$3)</f>
        <v>0</v>
      </c>
      <c r="BD29" s="51">
        <f>SUMIFS(入库流水账!$E:$E,入库流水账!$C:$C,$B29,入库流水账!$B:$B,BD$3)</f>
        <v>0</v>
      </c>
      <c r="BE29" s="51">
        <f>SUMIFS(出库流水账!$E:$E,出库流水账!$C:$C,$B29,出库流水账!$B:$B,BD$3)</f>
        <v>0</v>
      </c>
      <c r="BF29" s="51">
        <f>SUMIFS(入库流水账!$E:$E,入库流水账!$C:$C,$B29,入库流水账!$B:$B,BF$3)</f>
        <v>0</v>
      </c>
      <c r="BG29" s="51">
        <f>SUMIFS(出库流水账!$E:$E,出库流水账!$C:$C,$B29,出库流水账!$B:$B,BF$3)</f>
        <v>17</v>
      </c>
      <c r="BH29" s="51">
        <f>SUMIFS(入库流水账!$E:$E,入库流水账!$C:$C,$B29,入库流水账!$B:$B,BH$3)</f>
        <v>0</v>
      </c>
      <c r="BI29" s="51">
        <f>SUMIFS(出库流水账!$E:$E,出库流水账!$C:$C,$B29,出库流水账!$B:$B,BH$3)</f>
        <v>0</v>
      </c>
      <c r="BJ29" s="51">
        <f>SUMIFS(入库流水账!$E:$E,入库流水账!$C:$C,$B29,入库流水账!$B:$B,BJ$3)</f>
        <v>0</v>
      </c>
      <c r="BK29" s="51">
        <f>SUMIFS(出库流水账!$E:$E,出库流水账!$C:$C,$B29,出库流水账!$B:$B,BJ$3)</f>
        <v>6</v>
      </c>
      <c r="BL29" s="51">
        <f>SUMIFS(入库流水账!$E:$E,入库流水账!$C:$C,$B29,入库流水账!$B:$B,BL$3)</f>
        <v>0</v>
      </c>
      <c r="BM29" s="51">
        <f>SUMIFS(出库流水账!$E:$E,出库流水账!$C:$C,$B29,出库流水账!$B:$B,BL$3)</f>
        <v>0</v>
      </c>
      <c r="BN29" s="51">
        <f>SUMIFS(入库流水账!$E:$E,入库流水账!$C:$C,$B29,入库流水账!$B:$B,BN$3)</f>
        <v>0</v>
      </c>
      <c r="BO29" s="51">
        <f>SUMIFS(出库流水账!$E:$E,出库流水账!$C:$C,$B29,出库流水账!$B:$B,BN$3)</f>
        <v>10</v>
      </c>
      <c r="BP29" s="51">
        <f>SUMIFS(入库流水账!$E:$E,入库流水账!$C:$C,$B29,入库流水账!$B:$B,BP$3)</f>
        <v>0</v>
      </c>
      <c r="BQ29" s="51">
        <f>SUMIFS(出库流水账!$E:$E,出库流水账!$C:$C,$B29,出库流水账!$B:$B,BP$3)</f>
        <v>0</v>
      </c>
    </row>
  </sheetData>
  <mergeCells count="69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A2:A4"/>
    <mergeCell ref="B2:B4"/>
    <mergeCell ref="C2:C4"/>
    <mergeCell ref="D2:D4"/>
    <mergeCell ref="E2:E4"/>
    <mergeCell ref="F2:F4"/>
    <mergeCell ref="G2:G4"/>
  </mergeCells>
  <pageMargins left="0.75" right="0.75" top="1" bottom="1" header="0.5" footer="0.5"/>
  <headerFooter/>
  <ignoredErrors>
    <ignoredError sqref="I5:BQ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"/>
  <sheetViews>
    <sheetView topLeftCell="A13" workbookViewId="0">
      <selection activeCell="H28" sqref="H28"/>
    </sheetView>
  </sheetViews>
  <sheetFormatPr defaultColWidth="9" defaultRowHeight="14.4" outlineLevelCol="5"/>
  <cols>
    <col min="1" max="1" width="5.44444444444444" style="21" customWidth="1"/>
    <col min="2" max="2" width="30.4444444444444" style="21" customWidth="1"/>
    <col min="3" max="3" width="28.25" style="21" customWidth="1"/>
    <col min="4" max="6" width="8.88888888888889" style="21"/>
  </cols>
  <sheetData>
    <row r="1" spans="1:6">
      <c r="A1" s="22" t="s">
        <v>1</v>
      </c>
      <c r="B1" s="23" t="s">
        <v>64</v>
      </c>
      <c r="C1" s="23" t="s">
        <v>65</v>
      </c>
      <c r="D1" s="23" t="s">
        <v>3</v>
      </c>
      <c r="E1" s="24" t="s">
        <v>66</v>
      </c>
      <c r="F1" s="21" t="s">
        <v>67</v>
      </c>
    </row>
    <row r="2" spans="1:6">
      <c r="A2" s="22">
        <f t="shared" ref="A2:A46" si="0">ROW()-1</f>
        <v>1</v>
      </c>
      <c r="B2" s="25" t="s">
        <v>39</v>
      </c>
      <c r="C2" s="7" t="s">
        <v>68</v>
      </c>
      <c r="D2" s="23" t="s">
        <v>69</v>
      </c>
      <c r="E2" s="24">
        <v>12</v>
      </c>
      <c r="F2" s="21">
        <f t="shared" ref="F2:F18" si="1">E2*30</f>
        <v>360</v>
      </c>
    </row>
    <row r="3" spans="1:6">
      <c r="A3" s="22">
        <f t="shared" si="0"/>
        <v>2</v>
      </c>
      <c r="B3" s="7" t="s">
        <v>40</v>
      </c>
      <c r="C3" s="7" t="s">
        <v>70</v>
      </c>
      <c r="D3" s="23" t="s">
        <v>71</v>
      </c>
      <c r="E3" s="24">
        <v>12</v>
      </c>
      <c r="F3" s="21">
        <f t="shared" si="1"/>
        <v>360</v>
      </c>
    </row>
    <row r="4" spans="1:6">
      <c r="A4" s="22">
        <f t="shared" si="0"/>
        <v>3</v>
      </c>
      <c r="B4" s="25" t="s">
        <v>41</v>
      </c>
      <c r="C4" s="7" t="s">
        <v>72</v>
      </c>
      <c r="D4" s="23" t="s">
        <v>73</v>
      </c>
      <c r="E4" s="24">
        <v>18</v>
      </c>
      <c r="F4" s="21">
        <f t="shared" si="1"/>
        <v>540</v>
      </c>
    </row>
    <row r="5" spans="1:6">
      <c r="A5" s="22">
        <f t="shared" si="0"/>
        <v>4</v>
      </c>
      <c r="B5" s="26" t="s">
        <v>42</v>
      </c>
      <c r="C5" s="27" t="s">
        <v>74</v>
      </c>
      <c r="D5" s="23" t="s">
        <v>75</v>
      </c>
      <c r="E5" s="24">
        <v>18</v>
      </c>
      <c r="F5" s="21">
        <f t="shared" si="1"/>
        <v>540</v>
      </c>
    </row>
    <row r="6" spans="1:6">
      <c r="A6" s="22">
        <f t="shared" si="0"/>
        <v>5</v>
      </c>
      <c r="B6" s="27" t="s">
        <v>43</v>
      </c>
      <c r="C6" s="27" t="s">
        <v>76</v>
      </c>
      <c r="D6" s="23" t="s">
        <v>77</v>
      </c>
      <c r="E6" s="24">
        <v>18</v>
      </c>
      <c r="F6" s="21">
        <f t="shared" si="1"/>
        <v>540</v>
      </c>
    </row>
    <row r="7" spans="1:6">
      <c r="A7" s="22">
        <f t="shared" si="0"/>
        <v>6</v>
      </c>
      <c r="B7" s="27" t="s">
        <v>44</v>
      </c>
      <c r="C7" s="27" t="s">
        <v>76</v>
      </c>
      <c r="D7" s="23" t="s">
        <v>77</v>
      </c>
      <c r="E7" s="24">
        <v>18</v>
      </c>
      <c r="F7" s="21">
        <f t="shared" si="1"/>
        <v>540</v>
      </c>
    </row>
    <row r="8" spans="1:6">
      <c r="A8" s="22">
        <f t="shared" si="0"/>
        <v>7</v>
      </c>
      <c r="B8" s="27" t="s">
        <v>45</v>
      </c>
      <c r="C8" s="27" t="s">
        <v>78</v>
      </c>
      <c r="D8" s="23" t="s">
        <v>77</v>
      </c>
      <c r="E8" s="24">
        <v>18</v>
      </c>
      <c r="F8" s="21">
        <f t="shared" si="1"/>
        <v>540</v>
      </c>
    </row>
    <row r="9" spans="1:6">
      <c r="A9" s="22">
        <f t="shared" si="0"/>
        <v>8</v>
      </c>
      <c r="B9" s="27" t="s">
        <v>46</v>
      </c>
      <c r="C9" s="27" t="s">
        <v>79</v>
      </c>
      <c r="D9" s="23" t="s">
        <v>77</v>
      </c>
      <c r="E9" s="24">
        <v>18</v>
      </c>
      <c r="F9" s="21">
        <f t="shared" si="1"/>
        <v>540</v>
      </c>
    </row>
    <row r="10" spans="1:6">
      <c r="A10" s="22">
        <f t="shared" si="0"/>
        <v>9</v>
      </c>
      <c r="B10" s="27" t="s">
        <v>47</v>
      </c>
      <c r="C10" s="27" t="s">
        <v>80</v>
      </c>
      <c r="D10" s="23" t="s">
        <v>77</v>
      </c>
      <c r="E10" s="24">
        <v>36</v>
      </c>
      <c r="F10" s="21">
        <f t="shared" si="1"/>
        <v>1080</v>
      </c>
    </row>
    <row r="11" spans="1:6">
      <c r="A11" s="22">
        <f t="shared" si="0"/>
        <v>10</v>
      </c>
      <c r="B11" s="27" t="s">
        <v>48</v>
      </c>
      <c r="C11" s="27" t="s">
        <v>80</v>
      </c>
      <c r="D11" s="23" t="s">
        <v>77</v>
      </c>
      <c r="E11" s="24">
        <v>36</v>
      </c>
      <c r="F11" s="21">
        <f t="shared" si="1"/>
        <v>1080</v>
      </c>
    </row>
    <row r="12" spans="1:6">
      <c r="A12" s="22">
        <f t="shared" si="0"/>
        <v>11</v>
      </c>
      <c r="B12" s="27" t="s">
        <v>49</v>
      </c>
      <c r="C12" s="27" t="s">
        <v>81</v>
      </c>
      <c r="D12" s="23" t="s">
        <v>71</v>
      </c>
      <c r="E12" s="24">
        <v>12</v>
      </c>
      <c r="F12" s="21">
        <f t="shared" si="1"/>
        <v>360</v>
      </c>
    </row>
    <row r="13" spans="1:6">
      <c r="A13" s="22">
        <f t="shared" si="0"/>
        <v>12</v>
      </c>
      <c r="B13" s="27" t="s">
        <v>50</v>
      </c>
      <c r="C13" s="27" t="s">
        <v>82</v>
      </c>
      <c r="D13" s="23" t="s">
        <v>71</v>
      </c>
      <c r="E13" s="24">
        <v>12</v>
      </c>
      <c r="F13" s="21">
        <f t="shared" si="1"/>
        <v>360</v>
      </c>
    </row>
    <row r="14" spans="1:6">
      <c r="A14" s="22">
        <f t="shared" si="0"/>
        <v>13</v>
      </c>
      <c r="B14" s="27" t="s">
        <v>51</v>
      </c>
      <c r="C14" s="27" t="s">
        <v>83</v>
      </c>
      <c r="D14" s="23" t="s">
        <v>71</v>
      </c>
      <c r="E14" s="24">
        <v>60</v>
      </c>
      <c r="F14" s="21">
        <f t="shared" si="1"/>
        <v>1800</v>
      </c>
    </row>
    <row r="15" spans="1:6">
      <c r="A15" s="22">
        <f t="shared" si="0"/>
        <v>14</v>
      </c>
      <c r="B15" s="25" t="s">
        <v>52</v>
      </c>
      <c r="C15" s="7" t="s">
        <v>84</v>
      </c>
      <c r="D15" s="23" t="s">
        <v>77</v>
      </c>
      <c r="E15" s="24">
        <v>24</v>
      </c>
      <c r="F15" s="21">
        <f t="shared" si="1"/>
        <v>720</v>
      </c>
    </row>
    <row r="16" spans="1:6">
      <c r="A16" s="22">
        <f t="shared" si="0"/>
        <v>15</v>
      </c>
      <c r="B16" s="25" t="s">
        <v>53</v>
      </c>
      <c r="C16" s="7" t="s">
        <v>85</v>
      </c>
      <c r="D16" s="23" t="s">
        <v>73</v>
      </c>
      <c r="E16" s="24">
        <v>36</v>
      </c>
      <c r="F16" s="21">
        <f t="shared" si="1"/>
        <v>1080</v>
      </c>
    </row>
    <row r="17" spans="1:6">
      <c r="A17" s="22">
        <f t="shared" si="0"/>
        <v>16</v>
      </c>
      <c r="B17" s="25" t="s">
        <v>54</v>
      </c>
      <c r="C17" s="7" t="s">
        <v>86</v>
      </c>
      <c r="D17" s="23" t="s">
        <v>77</v>
      </c>
      <c r="E17" s="24">
        <v>15</v>
      </c>
      <c r="F17" s="21">
        <f t="shared" si="1"/>
        <v>450</v>
      </c>
    </row>
    <row r="18" spans="1:6">
      <c r="A18" s="22">
        <f t="shared" si="0"/>
        <v>17</v>
      </c>
      <c r="B18" s="25" t="s">
        <v>55</v>
      </c>
      <c r="C18" s="7" t="s">
        <v>87</v>
      </c>
      <c r="D18" s="23" t="s">
        <v>77</v>
      </c>
      <c r="E18" s="24">
        <v>18</v>
      </c>
      <c r="F18" s="21">
        <f t="shared" si="1"/>
        <v>540</v>
      </c>
    </row>
    <row r="19" spans="1:6">
      <c r="A19" s="22">
        <f t="shared" si="0"/>
        <v>18</v>
      </c>
      <c r="B19" s="25" t="s">
        <v>56</v>
      </c>
      <c r="C19" s="7" t="s">
        <v>88</v>
      </c>
      <c r="D19" s="23" t="s">
        <v>71</v>
      </c>
      <c r="E19" s="24">
        <v>12</v>
      </c>
      <c r="F19" s="21">
        <f t="shared" ref="F19:F50" si="2">E19*30</f>
        <v>360</v>
      </c>
    </row>
    <row r="20" spans="1:6">
      <c r="A20" s="22">
        <f t="shared" si="0"/>
        <v>19</v>
      </c>
      <c r="B20" s="25" t="s">
        <v>57</v>
      </c>
      <c r="C20" s="7" t="s">
        <v>89</v>
      </c>
      <c r="D20" s="23" t="s">
        <v>71</v>
      </c>
      <c r="E20" s="24">
        <v>18</v>
      </c>
      <c r="F20" s="21">
        <f t="shared" si="2"/>
        <v>540</v>
      </c>
    </row>
    <row r="21" spans="1:6">
      <c r="A21" s="22">
        <f t="shared" si="0"/>
        <v>20</v>
      </c>
      <c r="B21" s="7" t="s">
        <v>58</v>
      </c>
      <c r="C21" s="7" t="s">
        <v>90</v>
      </c>
      <c r="D21" s="23" t="s">
        <v>71</v>
      </c>
      <c r="E21" s="24">
        <v>18</v>
      </c>
      <c r="F21" s="21">
        <f t="shared" si="2"/>
        <v>540</v>
      </c>
    </row>
    <row r="22" spans="1:6">
      <c r="A22" s="22">
        <f t="shared" si="0"/>
        <v>21</v>
      </c>
      <c r="B22" s="7" t="s">
        <v>59</v>
      </c>
      <c r="C22" s="7" t="s">
        <v>91</v>
      </c>
      <c r="D22" s="23" t="s">
        <v>71</v>
      </c>
      <c r="E22" s="24">
        <v>18</v>
      </c>
      <c r="F22" s="21">
        <f t="shared" si="2"/>
        <v>540</v>
      </c>
    </row>
    <row r="23" spans="1:6">
      <c r="A23" s="22">
        <f t="shared" si="0"/>
        <v>22</v>
      </c>
      <c r="B23" s="7" t="s">
        <v>60</v>
      </c>
      <c r="C23" s="7" t="s">
        <v>92</v>
      </c>
      <c r="D23" s="23" t="s">
        <v>71</v>
      </c>
      <c r="E23" s="24">
        <v>18</v>
      </c>
      <c r="F23" s="21">
        <f t="shared" si="2"/>
        <v>540</v>
      </c>
    </row>
    <row r="24" spans="1:6">
      <c r="A24" s="22">
        <f t="shared" si="0"/>
        <v>23</v>
      </c>
      <c r="B24" s="7" t="s">
        <v>61</v>
      </c>
      <c r="C24" s="7" t="s">
        <v>93</v>
      </c>
      <c r="D24" s="23" t="s">
        <v>71</v>
      </c>
      <c r="E24" s="24">
        <v>24</v>
      </c>
      <c r="F24" s="21">
        <f t="shared" si="2"/>
        <v>720</v>
      </c>
    </row>
    <row r="25" spans="1:6">
      <c r="A25" s="22">
        <f t="shared" si="0"/>
        <v>24</v>
      </c>
      <c r="B25" s="7" t="s">
        <v>62</v>
      </c>
      <c r="C25" s="7" t="s">
        <v>94</v>
      </c>
      <c r="D25" s="23" t="s">
        <v>77</v>
      </c>
      <c r="E25" s="24">
        <v>18</v>
      </c>
      <c r="F25" s="21">
        <f t="shared" si="2"/>
        <v>540</v>
      </c>
    </row>
    <row r="26" spans="1:6">
      <c r="A26" s="22">
        <f t="shared" si="0"/>
        <v>25</v>
      </c>
      <c r="B26" s="28" t="s">
        <v>63</v>
      </c>
      <c r="C26" s="28" t="s">
        <v>95</v>
      </c>
      <c r="D26" s="29" t="s">
        <v>71</v>
      </c>
      <c r="E26" s="30">
        <v>60</v>
      </c>
      <c r="F26" s="21">
        <f t="shared" si="2"/>
        <v>1800</v>
      </c>
    </row>
    <row r="27" spans="1:6">
      <c r="A27" s="22">
        <f t="shared" si="0"/>
        <v>26</v>
      </c>
      <c r="B27" s="27" t="s">
        <v>96</v>
      </c>
      <c r="C27" s="27" t="s">
        <v>68</v>
      </c>
      <c r="D27" s="23" t="s">
        <v>69</v>
      </c>
      <c r="E27" s="24">
        <v>12</v>
      </c>
      <c r="F27" s="21">
        <f t="shared" si="2"/>
        <v>360</v>
      </c>
    </row>
    <row r="28" spans="1:6">
      <c r="A28" s="22">
        <f t="shared" si="0"/>
        <v>27</v>
      </c>
      <c r="B28" s="27" t="s">
        <v>97</v>
      </c>
      <c r="C28" s="27" t="s">
        <v>85</v>
      </c>
      <c r="D28" s="23" t="s">
        <v>73</v>
      </c>
      <c r="E28" s="24">
        <v>36</v>
      </c>
      <c r="F28" s="21">
        <f t="shared" si="2"/>
        <v>1080</v>
      </c>
    </row>
    <row r="29" spans="1:6">
      <c r="A29" s="22">
        <f t="shared" si="0"/>
        <v>28</v>
      </c>
      <c r="B29" s="27" t="s">
        <v>98</v>
      </c>
      <c r="C29" s="27" t="s">
        <v>99</v>
      </c>
      <c r="D29" s="23" t="s">
        <v>71</v>
      </c>
      <c r="E29" s="24">
        <v>18</v>
      </c>
      <c r="F29" s="21">
        <f t="shared" si="2"/>
        <v>540</v>
      </c>
    </row>
    <row r="30" spans="1:6">
      <c r="A30" s="22">
        <f t="shared" si="0"/>
        <v>29</v>
      </c>
      <c r="B30" s="27" t="s">
        <v>100</v>
      </c>
      <c r="C30" s="16" t="s">
        <v>101</v>
      </c>
      <c r="D30" s="23" t="s">
        <v>71</v>
      </c>
      <c r="E30" s="24">
        <v>12</v>
      </c>
      <c r="F30" s="21">
        <f t="shared" si="2"/>
        <v>360</v>
      </c>
    </row>
    <row r="31" spans="1:6">
      <c r="A31" s="22">
        <f t="shared" si="0"/>
        <v>30</v>
      </c>
      <c r="B31" s="25" t="s">
        <v>102</v>
      </c>
      <c r="C31" s="7" t="s">
        <v>103</v>
      </c>
      <c r="D31" s="23" t="s">
        <v>77</v>
      </c>
      <c r="E31" s="24">
        <v>24</v>
      </c>
      <c r="F31" s="21">
        <f t="shared" si="2"/>
        <v>720</v>
      </c>
    </row>
    <row r="32" spans="1:6">
      <c r="A32" s="22">
        <f t="shared" si="0"/>
        <v>31</v>
      </c>
      <c r="B32" s="25" t="s">
        <v>104</v>
      </c>
      <c r="C32" s="7" t="s">
        <v>105</v>
      </c>
      <c r="D32" s="23" t="s">
        <v>77</v>
      </c>
      <c r="E32" s="24">
        <v>36</v>
      </c>
      <c r="F32" s="21">
        <f t="shared" si="2"/>
        <v>1080</v>
      </c>
    </row>
    <row r="33" spans="1:6">
      <c r="A33" s="22">
        <f t="shared" si="0"/>
        <v>32</v>
      </c>
      <c r="B33" s="25" t="s">
        <v>106</v>
      </c>
      <c r="C33" s="7" t="s">
        <v>76</v>
      </c>
      <c r="D33" s="23" t="s">
        <v>77</v>
      </c>
      <c r="E33" s="24">
        <v>18</v>
      </c>
      <c r="F33" s="21">
        <f t="shared" si="2"/>
        <v>540</v>
      </c>
    </row>
    <row r="34" spans="1:6">
      <c r="A34" s="22">
        <f t="shared" si="0"/>
        <v>33</v>
      </c>
      <c r="B34" s="25" t="s">
        <v>107</v>
      </c>
      <c r="C34" s="7" t="s">
        <v>108</v>
      </c>
      <c r="D34" s="23" t="s">
        <v>75</v>
      </c>
      <c r="E34" s="24">
        <v>18</v>
      </c>
      <c r="F34" s="21">
        <f t="shared" si="2"/>
        <v>540</v>
      </c>
    </row>
    <row r="35" spans="1:6">
      <c r="A35" s="22">
        <f t="shared" si="0"/>
        <v>34</v>
      </c>
      <c r="B35" s="25" t="s">
        <v>109</v>
      </c>
      <c r="C35" s="7" t="s">
        <v>110</v>
      </c>
      <c r="D35" s="23" t="s">
        <v>77</v>
      </c>
      <c r="E35" s="24">
        <v>24</v>
      </c>
      <c r="F35" s="21">
        <f t="shared" si="2"/>
        <v>720</v>
      </c>
    </row>
    <row r="36" spans="1:6">
      <c r="A36" s="22">
        <f t="shared" si="0"/>
        <v>35</v>
      </c>
      <c r="B36" s="25" t="s">
        <v>111</v>
      </c>
      <c r="C36" s="7" t="s">
        <v>76</v>
      </c>
      <c r="D36" s="23" t="s">
        <v>77</v>
      </c>
      <c r="E36" s="24">
        <v>18</v>
      </c>
      <c r="F36" s="21">
        <f t="shared" si="2"/>
        <v>540</v>
      </c>
    </row>
    <row r="37" spans="1:6">
      <c r="A37" s="22">
        <f t="shared" si="0"/>
        <v>36</v>
      </c>
      <c r="B37" s="25" t="s">
        <v>112</v>
      </c>
      <c r="C37" s="7" t="s">
        <v>113</v>
      </c>
      <c r="D37" s="23" t="s">
        <v>71</v>
      </c>
      <c r="E37" s="24">
        <v>18</v>
      </c>
      <c r="F37" s="21">
        <f t="shared" si="2"/>
        <v>540</v>
      </c>
    </row>
    <row r="38" spans="1:6">
      <c r="A38" s="22">
        <f t="shared" si="0"/>
        <v>37</v>
      </c>
      <c r="B38" s="25" t="s">
        <v>114</v>
      </c>
      <c r="C38" s="7" t="s">
        <v>115</v>
      </c>
      <c r="D38" s="23" t="s">
        <v>77</v>
      </c>
      <c r="E38" s="24">
        <v>36</v>
      </c>
      <c r="F38" s="21">
        <f t="shared" si="2"/>
        <v>1080</v>
      </c>
    </row>
    <row r="39" spans="1:6">
      <c r="A39" s="22">
        <f t="shared" si="0"/>
        <v>38</v>
      </c>
      <c r="B39" s="25"/>
      <c r="C39" s="7"/>
      <c r="D39" s="23"/>
      <c r="E39" s="24"/>
      <c r="F39" s="21">
        <f t="shared" si="2"/>
        <v>0</v>
      </c>
    </row>
    <row r="40" spans="1:6">
      <c r="A40" s="22">
        <f t="shared" si="0"/>
        <v>39</v>
      </c>
      <c r="B40" s="25"/>
      <c r="C40" s="7"/>
      <c r="D40" s="23"/>
      <c r="E40" s="24"/>
      <c r="F40" s="21">
        <f t="shared" si="2"/>
        <v>0</v>
      </c>
    </row>
    <row r="41" spans="1:6">
      <c r="A41" s="22">
        <f t="shared" si="0"/>
        <v>40</v>
      </c>
      <c r="B41" s="25"/>
      <c r="C41" s="7"/>
      <c r="D41" s="23"/>
      <c r="E41" s="24"/>
      <c r="F41" s="21">
        <f t="shared" si="2"/>
        <v>0</v>
      </c>
    </row>
    <row r="42" spans="1:6">
      <c r="A42" s="22">
        <f t="shared" si="0"/>
        <v>41</v>
      </c>
      <c r="B42" s="25"/>
      <c r="C42" s="7"/>
      <c r="D42" s="23"/>
      <c r="E42" s="24"/>
      <c r="F42" s="21">
        <f t="shared" si="2"/>
        <v>0</v>
      </c>
    </row>
    <row r="43" spans="1:6">
      <c r="A43" s="22">
        <f t="shared" si="0"/>
        <v>42</v>
      </c>
      <c r="B43" s="25"/>
      <c r="C43" s="7"/>
      <c r="D43" s="23"/>
      <c r="E43" s="24"/>
      <c r="F43" s="21">
        <f t="shared" si="2"/>
        <v>0</v>
      </c>
    </row>
    <row r="44" spans="1:6">
      <c r="A44" s="22">
        <f t="shared" si="0"/>
        <v>43</v>
      </c>
      <c r="B44" s="25"/>
      <c r="C44" s="7"/>
      <c r="D44" s="23"/>
      <c r="E44" s="24"/>
      <c r="F44" s="21">
        <f t="shared" si="2"/>
        <v>0</v>
      </c>
    </row>
    <row r="45" spans="1:6">
      <c r="A45" s="22">
        <f t="shared" si="0"/>
        <v>44</v>
      </c>
      <c r="B45" s="25"/>
      <c r="C45" s="7"/>
      <c r="D45" s="23"/>
      <c r="E45" s="24"/>
      <c r="F45" s="21">
        <f t="shared" si="2"/>
        <v>0</v>
      </c>
    </row>
    <row r="46" spans="1:6">
      <c r="A46" s="22">
        <f t="shared" si="0"/>
        <v>45</v>
      </c>
      <c r="B46" s="25"/>
      <c r="C46" s="7"/>
      <c r="D46" s="23"/>
      <c r="E46" s="24"/>
      <c r="F46" s="21">
        <f t="shared" si="2"/>
        <v>0</v>
      </c>
    </row>
    <row r="47" spans="1:6">
      <c r="A47" s="22">
        <v>46</v>
      </c>
      <c r="B47" s="7"/>
      <c r="C47" s="7"/>
      <c r="D47" s="23"/>
      <c r="E47" s="24"/>
      <c r="F47" s="21">
        <f t="shared" si="2"/>
        <v>0</v>
      </c>
    </row>
    <row r="48" spans="1:6">
      <c r="A48" s="22">
        <v>47</v>
      </c>
      <c r="B48" s="7"/>
      <c r="C48" s="7"/>
      <c r="D48" s="23"/>
      <c r="E48" s="24"/>
      <c r="F48" s="21">
        <f t="shared" si="2"/>
        <v>0</v>
      </c>
    </row>
    <row r="49" spans="1:6">
      <c r="A49" s="22">
        <v>48</v>
      </c>
      <c r="B49" s="7"/>
      <c r="C49" s="7"/>
      <c r="D49" s="23"/>
      <c r="E49" s="24"/>
      <c r="F49" s="21">
        <f t="shared" si="2"/>
        <v>0</v>
      </c>
    </row>
    <row r="50" spans="1:6">
      <c r="A50" s="22">
        <v>49</v>
      </c>
      <c r="B50" s="7"/>
      <c r="C50" s="7"/>
      <c r="D50" s="23"/>
      <c r="E50" s="24"/>
      <c r="F50" s="21">
        <f t="shared" si="2"/>
        <v>0</v>
      </c>
    </row>
    <row r="51" spans="1:6">
      <c r="A51" s="22">
        <v>50</v>
      </c>
      <c r="B51" s="7"/>
      <c r="C51" s="7"/>
      <c r="D51" s="23"/>
      <c r="E51" s="24"/>
      <c r="F51" s="21">
        <f t="shared" ref="F51:F82" si="3">E51*30</f>
        <v>0</v>
      </c>
    </row>
    <row r="52" spans="1:6">
      <c r="A52" s="22">
        <v>51</v>
      </c>
      <c r="B52" s="7"/>
      <c r="C52" s="7"/>
      <c r="D52" s="23"/>
      <c r="E52" s="24"/>
      <c r="F52" s="21">
        <f t="shared" si="3"/>
        <v>0</v>
      </c>
    </row>
    <row r="53" spans="1:6">
      <c r="A53" s="22"/>
      <c r="B53" s="27"/>
      <c r="C53" s="27"/>
      <c r="D53" s="23"/>
      <c r="E53" s="24"/>
      <c r="F53" s="21">
        <f t="shared" si="3"/>
        <v>0</v>
      </c>
    </row>
    <row r="54" spans="1:6">
      <c r="A54" s="22"/>
      <c r="B54" s="23"/>
      <c r="C54" s="23"/>
      <c r="D54" s="23"/>
      <c r="E54" s="24"/>
      <c r="F54" s="21">
        <f t="shared" si="3"/>
        <v>0</v>
      </c>
    </row>
    <row r="55" spans="1:6">
      <c r="A55" s="22"/>
      <c r="B55" s="23"/>
      <c r="C55" s="23"/>
      <c r="D55" s="23"/>
      <c r="E55" s="24"/>
      <c r="F55" s="21">
        <f t="shared" si="3"/>
        <v>0</v>
      </c>
    </row>
    <row r="56" spans="1:6">
      <c r="A56" s="22"/>
      <c r="B56" s="23"/>
      <c r="C56" s="23"/>
      <c r="D56" s="23"/>
      <c r="E56" s="24"/>
      <c r="F56" s="21">
        <f t="shared" si="3"/>
        <v>0</v>
      </c>
    </row>
    <row r="57" spans="1:6">
      <c r="A57" s="22"/>
      <c r="B57" s="23"/>
      <c r="C57" s="23"/>
      <c r="D57" s="23"/>
      <c r="E57" s="24"/>
      <c r="F57" s="21">
        <f t="shared" si="3"/>
        <v>0</v>
      </c>
    </row>
    <row r="58" spans="1:6">
      <c r="A58" s="22"/>
      <c r="B58" s="23"/>
      <c r="C58" s="23"/>
      <c r="D58" s="23"/>
      <c r="E58" s="24"/>
      <c r="F58" s="21">
        <f t="shared" si="3"/>
        <v>0</v>
      </c>
    </row>
    <row r="59" spans="1:6">
      <c r="A59" s="22"/>
      <c r="B59" s="23"/>
      <c r="C59" s="23"/>
      <c r="D59" s="23"/>
      <c r="E59" s="24"/>
      <c r="F59" s="21">
        <f t="shared" si="3"/>
        <v>0</v>
      </c>
    </row>
    <row r="60" spans="1:6">
      <c r="A60" s="22"/>
      <c r="B60" s="23"/>
      <c r="C60" s="23"/>
      <c r="D60" s="23"/>
      <c r="E60" s="24"/>
      <c r="F60" s="21">
        <f t="shared" si="3"/>
        <v>0</v>
      </c>
    </row>
    <row r="61" spans="1:6">
      <c r="A61" s="22"/>
      <c r="B61" s="23"/>
      <c r="C61" s="23"/>
      <c r="D61" s="23"/>
      <c r="E61" s="24"/>
      <c r="F61" s="21">
        <f t="shared" si="3"/>
        <v>0</v>
      </c>
    </row>
    <row r="62" spans="1:6">
      <c r="A62" s="22"/>
      <c r="B62" s="23"/>
      <c r="C62" s="23"/>
      <c r="D62" s="23"/>
      <c r="E62" s="24"/>
      <c r="F62" s="21">
        <f t="shared" si="3"/>
        <v>0</v>
      </c>
    </row>
    <row r="63" spans="1:6">
      <c r="A63" s="22"/>
      <c r="B63" s="23"/>
      <c r="C63" s="23"/>
      <c r="D63" s="23"/>
      <c r="E63" s="24"/>
      <c r="F63" s="21">
        <f t="shared" si="3"/>
        <v>0</v>
      </c>
    </row>
    <row r="64" spans="1:6">
      <c r="A64" s="22"/>
      <c r="B64" s="23"/>
      <c r="C64" s="23"/>
      <c r="D64" s="23"/>
      <c r="E64" s="24"/>
      <c r="F64" s="21">
        <f t="shared" si="3"/>
        <v>0</v>
      </c>
    </row>
    <row r="65" spans="1:6">
      <c r="A65" s="22"/>
      <c r="B65" s="23"/>
      <c r="C65" s="23"/>
      <c r="D65" s="23"/>
      <c r="E65" s="24"/>
      <c r="F65" s="21">
        <f t="shared" si="3"/>
        <v>0</v>
      </c>
    </row>
    <row r="66" spans="1:6">
      <c r="A66" s="22"/>
      <c r="B66" s="23"/>
      <c r="C66" s="23"/>
      <c r="D66" s="23"/>
      <c r="E66" s="24"/>
      <c r="F66" s="21">
        <f t="shared" si="3"/>
        <v>0</v>
      </c>
    </row>
    <row r="67" spans="1:6">
      <c r="A67" s="22"/>
      <c r="B67" s="23"/>
      <c r="C67" s="23"/>
      <c r="D67" s="23"/>
      <c r="E67" s="24"/>
      <c r="F67" s="21">
        <f t="shared" si="3"/>
        <v>0</v>
      </c>
    </row>
    <row r="68" spans="1:6">
      <c r="A68" s="22"/>
      <c r="B68" s="23"/>
      <c r="C68" s="23"/>
      <c r="D68" s="23"/>
      <c r="E68" s="24"/>
      <c r="F68" s="21">
        <f t="shared" si="3"/>
        <v>0</v>
      </c>
    </row>
    <row r="69" spans="1:6">
      <c r="A69" s="22"/>
      <c r="B69" s="23"/>
      <c r="C69" s="23"/>
      <c r="D69" s="23"/>
      <c r="E69" s="24"/>
      <c r="F69" s="21">
        <f t="shared" si="3"/>
        <v>0</v>
      </c>
    </row>
    <row r="70" spans="1:6">
      <c r="A70" s="22"/>
      <c r="B70" s="23"/>
      <c r="C70" s="23"/>
      <c r="D70" s="23"/>
      <c r="E70" s="24"/>
      <c r="F70" s="21">
        <f t="shared" si="3"/>
        <v>0</v>
      </c>
    </row>
    <row r="71" spans="1:6">
      <c r="A71" s="22"/>
      <c r="B71" s="23"/>
      <c r="C71" s="23"/>
      <c r="D71" s="23"/>
      <c r="E71" s="24"/>
      <c r="F71" s="21">
        <f t="shared" si="3"/>
        <v>0</v>
      </c>
    </row>
    <row r="72" spans="1:6">
      <c r="A72" s="22"/>
      <c r="B72" s="23"/>
      <c r="C72" s="23"/>
      <c r="D72" s="23"/>
      <c r="E72" s="24"/>
      <c r="F72" s="21">
        <f t="shared" si="3"/>
        <v>0</v>
      </c>
    </row>
    <row r="73" spans="1:6">
      <c r="A73" s="22"/>
      <c r="B73" s="23"/>
      <c r="C73" s="23"/>
      <c r="D73" s="23"/>
      <c r="E73" s="24"/>
      <c r="F73" s="21">
        <f t="shared" si="3"/>
        <v>0</v>
      </c>
    </row>
    <row r="74" spans="1:6">
      <c r="A74" s="22"/>
      <c r="B74" s="23"/>
      <c r="C74" s="23"/>
      <c r="D74" s="23"/>
      <c r="E74" s="24"/>
      <c r="F74" s="21">
        <f t="shared" si="3"/>
        <v>0</v>
      </c>
    </row>
    <row r="75" spans="1:6">
      <c r="A75" s="22"/>
      <c r="B75" s="23"/>
      <c r="C75" s="23"/>
      <c r="D75" s="23"/>
      <c r="E75" s="24"/>
      <c r="F75" s="21">
        <f t="shared" si="3"/>
        <v>0</v>
      </c>
    </row>
    <row r="76" spans="1:6">
      <c r="A76" s="22"/>
      <c r="B76" s="23"/>
      <c r="C76" s="23"/>
      <c r="D76" s="23"/>
      <c r="E76" s="24"/>
      <c r="F76" s="21">
        <f t="shared" si="3"/>
        <v>0</v>
      </c>
    </row>
    <row r="77" spans="1:6">
      <c r="A77" s="22"/>
      <c r="B77" s="23"/>
      <c r="C77" s="23"/>
      <c r="D77" s="23"/>
      <c r="E77" s="24"/>
      <c r="F77" s="21">
        <f t="shared" si="3"/>
        <v>0</v>
      </c>
    </row>
    <row r="78" spans="1:6">
      <c r="A78" s="22"/>
      <c r="B78" s="23"/>
      <c r="C78" s="23"/>
      <c r="D78" s="23"/>
      <c r="E78" s="24"/>
      <c r="F78" s="21">
        <f t="shared" si="3"/>
        <v>0</v>
      </c>
    </row>
    <row r="79" spans="1:6">
      <c r="A79" s="22"/>
      <c r="B79" s="23"/>
      <c r="C79" s="23"/>
      <c r="D79" s="23"/>
      <c r="E79" s="24"/>
      <c r="F79" s="21">
        <f t="shared" si="3"/>
        <v>0</v>
      </c>
    </row>
    <row r="80" spans="1:6">
      <c r="A80" s="22"/>
      <c r="B80" s="23"/>
      <c r="C80" s="23"/>
      <c r="D80" s="23"/>
      <c r="E80" s="24"/>
      <c r="F80" s="21">
        <f t="shared" si="3"/>
        <v>0</v>
      </c>
    </row>
    <row r="81" spans="1:6">
      <c r="A81" s="22"/>
      <c r="B81" s="23"/>
      <c r="C81" s="23"/>
      <c r="D81" s="23"/>
      <c r="E81" s="24"/>
      <c r="F81" s="21">
        <f t="shared" si="3"/>
        <v>0</v>
      </c>
    </row>
    <row r="82" spans="1:6">
      <c r="A82" s="22"/>
      <c r="B82" s="23"/>
      <c r="C82" s="23"/>
      <c r="D82" s="23"/>
      <c r="E82" s="24"/>
      <c r="F82" s="21">
        <f t="shared" si="3"/>
        <v>0</v>
      </c>
    </row>
    <row r="83" spans="1:6">
      <c r="A83" s="22"/>
      <c r="B83" s="23"/>
      <c r="C83" s="23"/>
      <c r="D83" s="23"/>
      <c r="E83" s="24"/>
      <c r="F83" s="21">
        <f t="shared" ref="F83:F114" si="4">E83*30</f>
        <v>0</v>
      </c>
    </row>
    <row r="84" spans="1:6">
      <c r="A84" s="22"/>
      <c r="B84" s="23"/>
      <c r="C84" s="23"/>
      <c r="D84" s="23"/>
      <c r="E84" s="24"/>
      <c r="F84" s="21">
        <f t="shared" si="4"/>
        <v>0</v>
      </c>
    </row>
    <row r="85" spans="1:6">
      <c r="A85" s="22"/>
      <c r="B85" s="23"/>
      <c r="C85" s="23"/>
      <c r="D85" s="23"/>
      <c r="E85" s="24"/>
      <c r="F85" s="21">
        <f t="shared" si="4"/>
        <v>0</v>
      </c>
    </row>
    <row r="86" spans="1:6">
      <c r="A86" s="22"/>
      <c r="B86" s="23"/>
      <c r="C86" s="23"/>
      <c r="D86" s="23"/>
      <c r="E86" s="24"/>
      <c r="F86" s="21">
        <f t="shared" si="4"/>
        <v>0</v>
      </c>
    </row>
    <row r="87" spans="1:6">
      <c r="A87" s="22"/>
      <c r="B87" s="23"/>
      <c r="C87" s="23"/>
      <c r="D87" s="23"/>
      <c r="E87" s="24"/>
      <c r="F87" s="21">
        <f t="shared" si="4"/>
        <v>0</v>
      </c>
    </row>
    <row r="88" spans="1:6">
      <c r="A88" s="22"/>
      <c r="B88" s="23"/>
      <c r="C88" s="23"/>
      <c r="D88" s="23"/>
      <c r="E88" s="24"/>
      <c r="F88" s="21">
        <f t="shared" si="4"/>
        <v>0</v>
      </c>
    </row>
    <row r="89" spans="1:6">
      <c r="A89" s="22"/>
      <c r="B89" s="23"/>
      <c r="C89" s="23"/>
      <c r="D89" s="23"/>
      <c r="E89" s="24"/>
      <c r="F89" s="21">
        <f t="shared" si="4"/>
        <v>0</v>
      </c>
    </row>
    <row r="90" spans="1:6">
      <c r="A90" s="22"/>
      <c r="B90" s="23"/>
      <c r="C90" s="23"/>
      <c r="D90" s="23"/>
      <c r="E90" s="24"/>
      <c r="F90" s="21">
        <f t="shared" si="4"/>
        <v>0</v>
      </c>
    </row>
    <row r="91" spans="1:6">
      <c r="A91" s="22"/>
      <c r="B91" s="23"/>
      <c r="C91" s="23"/>
      <c r="D91" s="23"/>
      <c r="E91" s="24"/>
      <c r="F91" s="21">
        <f t="shared" si="4"/>
        <v>0</v>
      </c>
    </row>
    <row r="92" spans="1:6">
      <c r="A92" s="22"/>
      <c r="B92" s="23"/>
      <c r="C92" s="23"/>
      <c r="D92" s="23"/>
      <c r="E92" s="24"/>
      <c r="F92" s="21">
        <f t="shared" si="4"/>
        <v>0</v>
      </c>
    </row>
    <row r="93" spans="1:6">
      <c r="A93" s="22"/>
      <c r="B93" s="23"/>
      <c r="C93" s="23"/>
      <c r="D93" s="23"/>
      <c r="E93" s="24"/>
      <c r="F93" s="21">
        <f t="shared" si="4"/>
        <v>0</v>
      </c>
    </row>
    <row r="94" spans="1:6">
      <c r="A94" s="22"/>
      <c r="B94" s="23"/>
      <c r="C94" s="23"/>
      <c r="D94" s="23"/>
      <c r="E94" s="24"/>
      <c r="F94" s="21">
        <f t="shared" si="4"/>
        <v>0</v>
      </c>
    </row>
    <row r="95" spans="1:6">
      <c r="A95" s="22"/>
      <c r="B95" s="23"/>
      <c r="C95" s="23"/>
      <c r="D95" s="23"/>
      <c r="E95" s="24"/>
      <c r="F95" s="21">
        <f t="shared" si="4"/>
        <v>0</v>
      </c>
    </row>
    <row r="96" spans="1:6">
      <c r="A96" s="22"/>
      <c r="B96" s="23"/>
      <c r="C96" s="23"/>
      <c r="D96" s="23"/>
      <c r="E96" s="24"/>
      <c r="F96" s="21">
        <f t="shared" si="4"/>
        <v>0</v>
      </c>
    </row>
    <row r="97" spans="1:6">
      <c r="A97" s="22"/>
      <c r="B97" s="23"/>
      <c r="C97" s="23"/>
      <c r="D97" s="23"/>
      <c r="E97" s="24"/>
      <c r="F97" s="21">
        <f t="shared" si="4"/>
        <v>0</v>
      </c>
    </row>
    <row r="98" spans="1:6">
      <c r="A98" s="22"/>
      <c r="B98" s="23"/>
      <c r="C98" s="23"/>
      <c r="D98" s="23"/>
      <c r="E98" s="24"/>
      <c r="F98" s="21">
        <f t="shared" si="4"/>
        <v>0</v>
      </c>
    </row>
    <row r="99" spans="1:6">
      <c r="A99" s="22"/>
      <c r="B99" s="23"/>
      <c r="C99" s="23"/>
      <c r="D99" s="23"/>
      <c r="E99" s="24"/>
      <c r="F99" s="21">
        <f t="shared" si="4"/>
        <v>0</v>
      </c>
    </row>
    <row r="100" spans="1:6">
      <c r="A100" s="22"/>
      <c r="B100" s="23"/>
      <c r="C100" s="23"/>
      <c r="D100" s="23"/>
      <c r="E100" s="24"/>
      <c r="F100" s="21">
        <f t="shared" si="4"/>
        <v>0</v>
      </c>
    </row>
    <row r="101" spans="1:6">
      <c r="A101" s="22"/>
      <c r="B101" s="23"/>
      <c r="C101" s="23"/>
      <c r="D101" s="23"/>
      <c r="E101" s="24"/>
      <c r="F101" s="21">
        <f t="shared" si="4"/>
        <v>0</v>
      </c>
    </row>
    <row r="102" spans="1:6">
      <c r="A102" s="22"/>
      <c r="B102" s="23"/>
      <c r="C102" s="23"/>
      <c r="D102" s="23"/>
      <c r="E102" s="24"/>
      <c r="F102" s="21">
        <f t="shared" si="4"/>
        <v>0</v>
      </c>
    </row>
    <row r="103" spans="1:6">
      <c r="A103" s="22"/>
      <c r="B103" s="23"/>
      <c r="C103" s="23"/>
      <c r="D103" s="23"/>
      <c r="E103" s="24"/>
      <c r="F103" s="21">
        <f t="shared" si="4"/>
        <v>0</v>
      </c>
    </row>
    <row r="104" spans="1:6">
      <c r="A104" s="22"/>
      <c r="B104" s="23"/>
      <c r="C104" s="23"/>
      <c r="D104" s="23"/>
      <c r="E104" s="24"/>
      <c r="F104" s="21">
        <f t="shared" si="4"/>
        <v>0</v>
      </c>
    </row>
    <row r="105" spans="1:6">
      <c r="A105" s="22"/>
      <c r="B105" s="23"/>
      <c r="C105" s="23"/>
      <c r="D105" s="23"/>
      <c r="E105" s="24"/>
      <c r="F105" s="21">
        <f t="shared" si="4"/>
        <v>0</v>
      </c>
    </row>
    <row r="106" spans="1:6">
      <c r="A106" s="22"/>
      <c r="B106" s="23"/>
      <c r="C106" s="23"/>
      <c r="D106" s="23"/>
      <c r="E106" s="24"/>
      <c r="F106" s="21">
        <f t="shared" si="4"/>
        <v>0</v>
      </c>
    </row>
    <row r="107" spans="1:6">
      <c r="A107" s="22"/>
      <c r="B107" s="23"/>
      <c r="C107" s="23"/>
      <c r="D107" s="23"/>
      <c r="E107" s="24"/>
      <c r="F107" s="21">
        <f t="shared" si="4"/>
        <v>0</v>
      </c>
    </row>
    <row r="108" spans="1:6">
      <c r="A108" s="22"/>
      <c r="B108" s="23"/>
      <c r="C108" s="23"/>
      <c r="D108" s="23"/>
      <c r="E108" s="24"/>
      <c r="F108" s="21">
        <f t="shared" si="4"/>
        <v>0</v>
      </c>
    </row>
    <row r="109" spans="1:6">
      <c r="A109" s="22"/>
      <c r="B109" s="23"/>
      <c r="C109" s="23"/>
      <c r="D109" s="23"/>
      <c r="E109" s="24"/>
      <c r="F109" s="21">
        <f t="shared" si="4"/>
        <v>0</v>
      </c>
    </row>
    <row r="110" spans="1:6">
      <c r="A110" s="22"/>
      <c r="B110" s="23"/>
      <c r="C110" s="23"/>
      <c r="D110" s="23"/>
      <c r="E110" s="24"/>
      <c r="F110" s="21">
        <f t="shared" si="4"/>
        <v>0</v>
      </c>
    </row>
    <row r="111" spans="1:6">
      <c r="A111" s="22"/>
      <c r="B111" s="23"/>
      <c r="C111" s="23"/>
      <c r="D111" s="23"/>
      <c r="E111" s="24"/>
      <c r="F111" s="21">
        <f t="shared" si="4"/>
        <v>0</v>
      </c>
    </row>
    <row r="112" spans="1:6">
      <c r="A112" s="22"/>
      <c r="B112" s="23"/>
      <c r="C112" s="23"/>
      <c r="D112" s="23"/>
      <c r="E112" s="24"/>
      <c r="F112" s="21">
        <f t="shared" si="4"/>
        <v>0</v>
      </c>
    </row>
    <row r="113" spans="1:6">
      <c r="A113" s="22"/>
      <c r="B113" s="23"/>
      <c r="C113" s="23"/>
      <c r="D113" s="23"/>
      <c r="E113" s="24"/>
      <c r="F113" s="21">
        <f t="shared" si="4"/>
        <v>0</v>
      </c>
    </row>
    <row r="114" spans="1:6">
      <c r="A114" s="22"/>
      <c r="B114" s="23"/>
      <c r="C114" s="23"/>
      <c r="D114" s="23"/>
      <c r="E114" s="24"/>
      <c r="F114" s="21">
        <f t="shared" si="4"/>
        <v>0</v>
      </c>
    </row>
    <row r="115" spans="1:6">
      <c r="A115" s="22"/>
      <c r="B115" s="23"/>
      <c r="C115" s="23"/>
      <c r="D115" s="23"/>
      <c r="E115" s="24"/>
      <c r="F115" s="21">
        <f t="shared" ref="F115:F146" si="5">E115*30</f>
        <v>0</v>
      </c>
    </row>
    <row r="116" spans="1:6">
      <c r="A116" s="22"/>
      <c r="B116" s="23"/>
      <c r="C116" s="23"/>
      <c r="D116" s="23"/>
      <c r="E116" s="24"/>
      <c r="F116" s="21">
        <f t="shared" si="5"/>
        <v>0</v>
      </c>
    </row>
    <row r="117" spans="1:6">
      <c r="A117" s="22"/>
      <c r="B117" s="23"/>
      <c r="C117" s="23"/>
      <c r="D117" s="23"/>
      <c r="E117" s="24"/>
      <c r="F117" s="21">
        <f t="shared" si="5"/>
        <v>0</v>
      </c>
    </row>
    <row r="118" spans="1:6">
      <c r="A118" s="22"/>
      <c r="B118" s="23"/>
      <c r="C118" s="23"/>
      <c r="D118" s="23"/>
      <c r="E118" s="24"/>
      <c r="F118" s="21">
        <f t="shared" si="5"/>
        <v>0</v>
      </c>
    </row>
    <row r="119" spans="1:6">
      <c r="A119" s="22"/>
      <c r="B119" s="23"/>
      <c r="C119" s="23"/>
      <c r="D119" s="23"/>
      <c r="E119" s="24"/>
      <c r="F119" s="21">
        <f t="shared" si="5"/>
        <v>0</v>
      </c>
    </row>
    <row r="120" spans="1:6">
      <c r="A120" s="22"/>
      <c r="B120" s="23"/>
      <c r="C120" s="23"/>
      <c r="D120" s="23"/>
      <c r="E120" s="24"/>
      <c r="F120" s="21">
        <f t="shared" si="5"/>
        <v>0</v>
      </c>
    </row>
    <row r="121" spans="1:6">
      <c r="A121" s="22"/>
      <c r="B121" s="23"/>
      <c r="C121" s="23"/>
      <c r="D121" s="23"/>
      <c r="E121" s="24"/>
      <c r="F121" s="21">
        <f t="shared" si="5"/>
        <v>0</v>
      </c>
    </row>
    <row r="122" spans="1:6">
      <c r="A122" s="22"/>
      <c r="B122" s="23"/>
      <c r="C122" s="23"/>
      <c r="D122" s="23"/>
      <c r="E122" s="24"/>
      <c r="F122" s="21">
        <f t="shared" si="5"/>
        <v>0</v>
      </c>
    </row>
    <row r="123" spans="1:6">
      <c r="A123" s="22"/>
      <c r="B123" s="23"/>
      <c r="C123" s="23"/>
      <c r="D123" s="23"/>
      <c r="E123" s="24"/>
      <c r="F123" s="21">
        <f t="shared" si="5"/>
        <v>0</v>
      </c>
    </row>
    <row r="124" spans="1:6">
      <c r="A124" s="22"/>
      <c r="B124" s="23"/>
      <c r="C124" s="23"/>
      <c r="D124" s="23"/>
      <c r="E124" s="24"/>
      <c r="F124" s="21">
        <f t="shared" si="5"/>
        <v>0</v>
      </c>
    </row>
    <row r="125" spans="1:6">
      <c r="A125" s="22"/>
      <c r="B125" s="23"/>
      <c r="C125" s="23"/>
      <c r="D125" s="23"/>
      <c r="E125" s="24"/>
      <c r="F125" s="21">
        <f t="shared" si="5"/>
        <v>0</v>
      </c>
    </row>
    <row r="126" spans="1:6">
      <c r="A126" s="22"/>
      <c r="B126" s="23"/>
      <c r="C126" s="23"/>
      <c r="D126" s="23"/>
      <c r="E126" s="24"/>
      <c r="F126" s="21">
        <f t="shared" si="5"/>
        <v>0</v>
      </c>
    </row>
    <row r="127" spans="1:6">
      <c r="A127" s="22"/>
      <c r="B127" s="23"/>
      <c r="C127" s="23"/>
      <c r="D127" s="23"/>
      <c r="E127" s="24"/>
      <c r="F127" s="21">
        <f t="shared" si="5"/>
        <v>0</v>
      </c>
    </row>
    <row r="128" spans="1:6">
      <c r="A128" s="22"/>
      <c r="B128" s="31"/>
      <c r="C128" s="23"/>
      <c r="D128" s="31"/>
      <c r="E128" s="32"/>
      <c r="F128" s="21">
        <f t="shared" si="5"/>
        <v>0</v>
      </c>
    </row>
    <row r="129" spans="1:6">
      <c r="A129" s="22"/>
      <c r="B129" s="31"/>
      <c r="C129" s="23"/>
      <c r="D129" s="31"/>
      <c r="E129" s="32"/>
      <c r="F129" s="21">
        <f t="shared" si="5"/>
        <v>0</v>
      </c>
    </row>
    <row r="130" spans="1:6">
      <c r="A130" s="22"/>
      <c r="B130" s="31"/>
      <c r="C130" s="23"/>
      <c r="D130" s="31"/>
      <c r="E130" s="32"/>
      <c r="F130" s="21">
        <f t="shared" si="5"/>
        <v>0</v>
      </c>
    </row>
    <row r="131" spans="1:6">
      <c r="A131" s="22"/>
      <c r="B131" s="31"/>
      <c r="C131" s="23"/>
      <c r="D131" s="31"/>
      <c r="E131" s="32"/>
      <c r="F131" s="21">
        <f t="shared" si="5"/>
        <v>0</v>
      </c>
    </row>
    <row r="132" spans="1:6">
      <c r="A132" s="22"/>
      <c r="B132" s="31"/>
      <c r="C132" s="23"/>
      <c r="D132" s="31"/>
      <c r="E132" s="32"/>
      <c r="F132" s="21">
        <f t="shared" si="5"/>
        <v>0</v>
      </c>
    </row>
    <row r="133" spans="1:6">
      <c r="A133" s="22"/>
      <c r="B133" s="31"/>
      <c r="C133" s="31"/>
      <c r="D133" s="31"/>
      <c r="E133" s="32"/>
      <c r="F133" s="21">
        <f t="shared" si="5"/>
        <v>0</v>
      </c>
    </row>
    <row r="134" spans="1:6">
      <c r="A134" s="22"/>
      <c r="B134" s="31"/>
      <c r="C134" s="31"/>
      <c r="D134" s="31"/>
      <c r="E134" s="32"/>
      <c r="F134" s="21">
        <f t="shared" si="5"/>
        <v>0</v>
      </c>
    </row>
    <row r="135" spans="1:6">
      <c r="A135" s="22"/>
      <c r="B135" s="31"/>
      <c r="C135" s="23"/>
      <c r="D135" s="31"/>
      <c r="E135" s="32"/>
      <c r="F135" s="21">
        <f t="shared" si="5"/>
        <v>0</v>
      </c>
    </row>
    <row r="136" spans="1:6">
      <c r="A136" s="22"/>
      <c r="B136" s="31"/>
      <c r="C136" s="31"/>
      <c r="D136" s="31"/>
      <c r="E136" s="32"/>
      <c r="F136" s="21">
        <f t="shared" si="5"/>
        <v>0</v>
      </c>
    </row>
    <row r="137" spans="1:6">
      <c r="A137" s="22"/>
      <c r="B137" s="31"/>
      <c r="C137" s="31"/>
      <c r="D137" s="31"/>
      <c r="E137" s="32"/>
      <c r="F137" s="21">
        <f t="shared" si="5"/>
        <v>0</v>
      </c>
    </row>
    <row r="138" spans="1:6">
      <c r="A138" s="22"/>
      <c r="B138" s="31"/>
      <c r="C138" s="23"/>
      <c r="D138" s="31"/>
      <c r="E138" s="32"/>
      <c r="F138" s="21">
        <f t="shared" si="5"/>
        <v>0</v>
      </c>
    </row>
    <row r="139" spans="1:6">
      <c r="A139" s="22"/>
      <c r="B139" s="31"/>
      <c r="D139" s="31"/>
      <c r="E139" s="32"/>
      <c r="F139" s="21">
        <f t="shared" si="5"/>
        <v>0</v>
      </c>
    </row>
    <row r="140" spans="1:6">
      <c r="A140" s="22"/>
      <c r="B140" s="31"/>
      <c r="C140" s="23"/>
      <c r="D140" s="31"/>
      <c r="E140" s="32"/>
      <c r="F140" s="21">
        <f t="shared" si="5"/>
        <v>0</v>
      </c>
    </row>
    <row r="141" spans="1:6">
      <c r="A141" s="22"/>
      <c r="B141" s="31"/>
      <c r="C141" s="31"/>
      <c r="D141" s="31"/>
      <c r="E141" s="32"/>
      <c r="F141" s="21">
        <f t="shared" si="5"/>
        <v>0</v>
      </c>
    </row>
    <row r="142" spans="1:6">
      <c r="A142" s="22"/>
      <c r="B142" s="31"/>
      <c r="C142" s="23"/>
      <c r="D142" s="31"/>
      <c r="E142" s="32"/>
      <c r="F142" s="21">
        <f t="shared" si="5"/>
        <v>0</v>
      </c>
    </row>
    <row r="143" spans="1:6">
      <c r="A143" s="22"/>
      <c r="B143" s="31"/>
      <c r="C143" s="23"/>
      <c r="D143" s="31"/>
      <c r="E143" s="32"/>
      <c r="F143" s="21">
        <f t="shared" si="5"/>
        <v>0</v>
      </c>
    </row>
    <row r="144" spans="1:6">
      <c r="A144" s="22"/>
      <c r="B144" s="31"/>
      <c r="C144" s="23"/>
      <c r="D144" s="31"/>
      <c r="E144" s="32"/>
      <c r="F144" s="21">
        <f t="shared" si="5"/>
        <v>0</v>
      </c>
    </row>
    <row r="145" spans="1:6">
      <c r="A145" s="22"/>
      <c r="B145" s="31"/>
      <c r="C145" s="31"/>
      <c r="D145" s="31"/>
      <c r="E145" s="32"/>
      <c r="F145" s="21">
        <f t="shared" si="5"/>
        <v>0</v>
      </c>
    </row>
    <row r="146" spans="1:6">
      <c r="A146" s="22"/>
      <c r="B146" s="31"/>
      <c r="C146" s="31"/>
      <c r="D146" s="31"/>
      <c r="E146" s="32"/>
      <c r="F146" s="21">
        <f t="shared" si="5"/>
        <v>0</v>
      </c>
    </row>
    <row r="147" spans="1:6">
      <c r="A147" s="22"/>
      <c r="B147" s="31"/>
      <c r="C147" s="31"/>
      <c r="D147" s="31"/>
      <c r="E147" s="32"/>
      <c r="F147" s="21">
        <f t="shared" ref="F147:F178" si="6">E147*30</f>
        <v>0</v>
      </c>
    </row>
    <row r="148" spans="1:6">
      <c r="A148" s="22"/>
      <c r="B148" s="31"/>
      <c r="C148" s="31"/>
      <c r="D148" s="31"/>
      <c r="E148" s="32"/>
      <c r="F148" s="21">
        <f t="shared" si="6"/>
        <v>0</v>
      </c>
    </row>
    <row r="149" spans="1:6">
      <c r="A149" s="22"/>
      <c r="B149" s="31"/>
      <c r="C149" s="31"/>
      <c r="D149" s="31"/>
      <c r="E149" s="32"/>
      <c r="F149" s="21">
        <f t="shared" si="6"/>
        <v>0</v>
      </c>
    </row>
    <row r="150" spans="1:6">
      <c r="A150" s="22"/>
      <c r="B150" s="31"/>
      <c r="C150" s="31"/>
      <c r="D150" s="31"/>
      <c r="E150" s="32"/>
      <c r="F150" s="21">
        <f t="shared" si="6"/>
        <v>0</v>
      </c>
    </row>
    <row r="151" spans="1:6">
      <c r="A151" s="22"/>
      <c r="B151" s="31"/>
      <c r="C151" s="31"/>
      <c r="D151" s="31"/>
      <c r="E151" s="32"/>
      <c r="F151" s="21">
        <f t="shared" si="6"/>
        <v>0</v>
      </c>
    </row>
    <row r="152" spans="1:6">
      <c r="A152" s="22"/>
      <c r="B152" s="31"/>
      <c r="C152" s="23"/>
      <c r="D152" s="31"/>
      <c r="E152" s="32"/>
      <c r="F152" s="21">
        <f t="shared" si="6"/>
        <v>0</v>
      </c>
    </row>
    <row r="153" spans="1:6">
      <c r="A153" s="22"/>
      <c r="B153" s="31"/>
      <c r="C153" s="31"/>
      <c r="D153" s="31"/>
      <c r="E153" s="32"/>
      <c r="F153" s="21">
        <f t="shared" si="6"/>
        <v>0</v>
      </c>
    </row>
    <row r="154" spans="1:6">
      <c r="A154" s="22"/>
      <c r="B154" s="31"/>
      <c r="C154" s="31"/>
      <c r="D154" s="31"/>
      <c r="E154" s="32"/>
      <c r="F154" s="21">
        <f t="shared" si="6"/>
        <v>0</v>
      </c>
    </row>
    <row r="155" spans="1:6">
      <c r="A155" s="22"/>
      <c r="B155" s="31"/>
      <c r="C155" s="31"/>
      <c r="D155" s="31"/>
      <c r="E155" s="32"/>
      <c r="F155" s="21">
        <f t="shared" si="6"/>
        <v>0</v>
      </c>
    </row>
    <row r="156" spans="1:6">
      <c r="A156" s="22"/>
      <c r="B156" s="31"/>
      <c r="C156" s="31"/>
      <c r="D156" s="31"/>
      <c r="E156" s="32"/>
      <c r="F156" s="21">
        <f t="shared" si="6"/>
        <v>0</v>
      </c>
    </row>
    <row r="157" spans="1:6">
      <c r="A157" s="22"/>
      <c r="B157" s="31"/>
      <c r="C157" s="31"/>
      <c r="D157" s="31"/>
      <c r="E157" s="32"/>
      <c r="F157" s="21">
        <f t="shared" si="6"/>
        <v>0</v>
      </c>
    </row>
    <row r="158" spans="1:6">
      <c r="A158" s="22"/>
      <c r="B158" s="31"/>
      <c r="C158" s="31"/>
      <c r="D158" s="31"/>
      <c r="E158" s="32"/>
      <c r="F158" s="21">
        <f t="shared" si="6"/>
        <v>0</v>
      </c>
    </row>
    <row r="159" spans="1:6">
      <c r="A159" s="22"/>
      <c r="B159" s="31"/>
      <c r="C159" s="31"/>
      <c r="D159" s="31"/>
      <c r="E159" s="32"/>
      <c r="F159" s="21">
        <f t="shared" si="6"/>
        <v>0</v>
      </c>
    </row>
    <row r="160" spans="1:6">
      <c r="A160" s="22"/>
      <c r="B160" s="31"/>
      <c r="C160" s="31"/>
      <c r="D160" s="31"/>
      <c r="E160" s="32"/>
      <c r="F160" s="21">
        <f t="shared" si="6"/>
        <v>0</v>
      </c>
    </row>
    <row r="161" spans="1:6">
      <c r="A161" s="22"/>
      <c r="B161" s="31"/>
      <c r="C161" s="31"/>
      <c r="D161" s="31"/>
      <c r="E161" s="32"/>
      <c r="F161" s="21">
        <f t="shared" si="6"/>
        <v>0</v>
      </c>
    </row>
    <row r="162" spans="1:6">
      <c r="A162" s="22"/>
      <c r="B162" s="33"/>
      <c r="C162" s="31"/>
      <c r="D162" s="31"/>
      <c r="E162" s="32"/>
      <c r="F162" s="21">
        <f t="shared" si="6"/>
        <v>0</v>
      </c>
    </row>
    <row r="163" spans="1:6">
      <c r="A163" s="22"/>
      <c r="B163" s="33"/>
      <c r="C163" s="31"/>
      <c r="D163" s="31"/>
      <c r="E163" s="32"/>
      <c r="F163" s="21">
        <f t="shared" si="6"/>
        <v>0</v>
      </c>
    </row>
    <row r="164" spans="1:6">
      <c r="A164" s="22"/>
      <c r="B164" s="31"/>
      <c r="C164" s="31"/>
      <c r="D164" s="31"/>
      <c r="E164" s="32"/>
      <c r="F164" s="21">
        <f t="shared" si="6"/>
        <v>0</v>
      </c>
    </row>
    <row r="165" spans="1:6">
      <c r="A165" s="22"/>
      <c r="B165" s="31"/>
      <c r="C165" s="23"/>
      <c r="D165" s="31"/>
      <c r="E165" s="32"/>
      <c r="F165" s="21">
        <f t="shared" si="6"/>
        <v>0</v>
      </c>
    </row>
    <row r="166" spans="1:6">
      <c r="A166" s="22"/>
      <c r="B166" s="33"/>
      <c r="C166" s="31"/>
      <c r="D166" s="31"/>
      <c r="E166" s="32"/>
      <c r="F166" s="21">
        <f t="shared" si="6"/>
        <v>0</v>
      </c>
    </row>
    <row r="167" spans="1:6">
      <c r="A167" s="22"/>
      <c r="B167" s="31"/>
      <c r="C167" s="23"/>
      <c r="D167" s="31"/>
      <c r="E167" s="32"/>
      <c r="F167" s="21">
        <f t="shared" si="6"/>
        <v>0</v>
      </c>
    </row>
    <row r="168" spans="1:6">
      <c r="A168" s="22"/>
      <c r="B168" s="31"/>
      <c r="C168" s="31"/>
      <c r="D168" s="31"/>
      <c r="E168" s="32"/>
      <c r="F168" s="21">
        <f t="shared" si="6"/>
        <v>0</v>
      </c>
    </row>
    <row r="169" spans="1:6">
      <c r="A169" s="22"/>
      <c r="B169" s="31"/>
      <c r="C169" s="23"/>
      <c r="D169" s="31"/>
      <c r="E169" s="32"/>
      <c r="F169" s="21">
        <f t="shared" si="6"/>
        <v>0</v>
      </c>
    </row>
    <row r="170" spans="1:6">
      <c r="A170" s="22"/>
      <c r="B170" s="31"/>
      <c r="C170" s="23"/>
      <c r="D170" s="31"/>
      <c r="E170" s="32"/>
      <c r="F170" s="21">
        <f t="shared" si="6"/>
        <v>0</v>
      </c>
    </row>
    <row r="171" spans="1:6">
      <c r="A171" s="22"/>
      <c r="B171" s="31"/>
      <c r="C171" s="23"/>
      <c r="D171" s="31"/>
      <c r="E171" s="32"/>
      <c r="F171" s="21">
        <f t="shared" si="6"/>
        <v>0</v>
      </c>
    </row>
    <row r="172" spans="1:6">
      <c r="A172" s="22"/>
      <c r="B172" s="31"/>
      <c r="C172" s="23"/>
      <c r="D172" s="31"/>
      <c r="E172" s="32"/>
      <c r="F172" s="21">
        <f t="shared" si="6"/>
        <v>0</v>
      </c>
    </row>
    <row r="173" spans="1:6">
      <c r="A173" s="22"/>
      <c r="B173" s="31"/>
      <c r="C173" s="23"/>
      <c r="D173" s="31"/>
      <c r="E173" s="32"/>
      <c r="F173" s="21">
        <f t="shared" si="6"/>
        <v>0</v>
      </c>
    </row>
    <row r="174" spans="1:6">
      <c r="A174" s="22"/>
      <c r="B174" s="31"/>
      <c r="C174" s="23"/>
      <c r="D174" s="31"/>
      <c r="E174" s="32"/>
      <c r="F174" s="21">
        <f t="shared" si="6"/>
        <v>0</v>
      </c>
    </row>
    <row r="175" spans="1:6">
      <c r="A175" s="22"/>
      <c r="B175" s="31"/>
      <c r="C175" s="23"/>
      <c r="D175" s="31"/>
      <c r="E175" s="32"/>
      <c r="F175" s="21">
        <f t="shared" si="6"/>
        <v>0</v>
      </c>
    </row>
    <row r="176" spans="1:6">
      <c r="A176" s="22"/>
      <c r="B176" s="31"/>
      <c r="C176" s="23"/>
      <c r="D176" s="31"/>
      <c r="E176" s="32"/>
      <c r="F176" s="21">
        <f t="shared" si="6"/>
        <v>0</v>
      </c>
    </row>
    <row r="177" spans="1:6">
      <c r="A177" s="22"/>
      <c r="B177" s="31"/>
      <c r="C177" s="23"/>
      <c r="D177" s="31"/>
      <c r="E177" s="32"/>
      <c r="F177" s="21">
        <f t="shared" si="6"/>
        <v>0</v>
      </c>
    </row>
    <row r="178" spans="1:6">
      <c r="A178" s="22"/>
      <c r="B178" s="31"/>
      <c r="C178" s="23"/>
      <c r="D178" s="31"/>
      <c r="E178" s="32"/>
      <c r="F178" s="21">
        <f t="shared" si="6"/>
        <v>0</v>
      </c>
    </row>
    <row r="179" spans="1:6">
      <c r="A179" s="22"/>
      <c r="B179" s="31"/>
      <c r="C179" s="23"/>
      <c r="D179" s="31"/>
      <c r="E179" s="32"/>
      <c r="F179" s="21">
        <f t="shared" ref="F179:F211" si="7">E179*30</f>
        <v>0</v>
      </c>
    </row>
    <row r="180" spans="1:6">
      <c r="A180" s="22"/>
      <c r="B180" s="31"/>
      <c r="C180" s="31"/>
      <c r="D180" s="31"/>
      <c r="E180" s="32"/>
      <c r="F180" s="21">
        <f t="shared" si="7"/>
        <v>0</v>
      </c>
    </row>
    <row r="181" spans="1:6">
      <c r="A181" s="22"/>
      <c r="B181" s="31"/>
      <c r="C181" s="31"/>
      <c r="D181" s="31"/>
      <c r="E181" s="32"/>
      <c r="F181" s="21">
        <f t="shared" si="7"/>
        <v>0</v>
      </c>
    </row>
    <row r="182" spans="1:6">
      <c r="A182" s="22"/>
      <c r="B182" s="31"/>
      <c r="C182" s="31"/>
      <c r="D182" s="31"/>
      <c r="E182" s="32"/>
      <c r="F182" s="21">
        <f t="shared" si="7"/>
        <v>0</v>
      </c>
    </row>
    <row r="183" spans="1:6">
      <c r="A183" s="22"/>
      <c r="B183" s="31"/>
      <c r="C183" s="31"/>
      <c r="D183" s="31"/>
      <c r="E183" s="32"/>
      <c r="F183" s="21">
        <f t="shared" si="7"/>
        <v>0</v>
      </c>
    </row>
    <row r="184" spans="1:6">
      <c r="A184" s="22"/>
      <c r="B184" s="31"/>
      <c r="C184" s="23"/>
      <c r="D184" s="31"/>
      <c r="E184" s="32"/>
      <c r="F184" s="21">
        <f t="shared" si="7"/>
        <v>0</v>
      </c>
    </row>
    <row r="185" spans="1:6">
      <c r="A185" s="22"/>
      <c r="B185" s="31"/>
      <c r="C185" s="31"/>
      <c r="D185" s="31"/>
      <c r="E185" s="32"/>
      <c r="F185" s="21">
        <f t="shared" si="7"/>
        <v>0</v>
      </c>
    </row>
    <row r="186" spans="1:6">
      <c r="A186" s="22"/>
      <c r="B186" s="31"/>
      <c r="C186" s="31"/>
      <c r="D186" s="31"/>
      <c r="E186" s="32"/>
      <c r="F186" s="21">
        <f t="shared" si="7"/>
        <v>0</v>
      </c>
    </row>
    <row r="187" spans="1:6">
      <c r="A187" s="22"/>
      <c r="B187" s="31"/>
      <c r="C187" s="23"/>
      <c r="D187" s="31"/>
      <c r="E187" s="32"/>
      <c r="F187" s="21">
        <f t="shared" si="7"/>
        <v>0</v>
      </c>
    </row>
    <row r="188" spans="1:6">
      <c r="A188" s="22"/>
      <c r="B188" s="31"/>
      <c r="C188" s="23"/>
      <c r="D188" s="31"/>
      <c r="E188" s="32"/>
      <c r="F188" s="21">
        <f t="shared" si="7"/>
        <v>0</v>
      </c>
    </row>
    <row r="189" spans="1:6">
      <c r="A189" s="22"/>
      <c r="B189" s="31"/>
      <c r="C189" s="23"/>
      <c r="D189" s="31"/>
      <c r="E189" s="32"/>
      <c r="F189" s="21">
        <f t="shared" si="7"/>
        <v>0</v>
      </c>
    </row>
    <row r="190" spans="1:6">
      <c r="A190" s="22"/>
      <c r="B190" s="31"/>
      <c r="C190" s="23"/>
      <c r="D190" s="31"/>
      <c r="E190" s="32"/>
      <c r="F190" s="21">
        <f t="shared" si="7"/>
        <v>0</v>
      </c>
    </row>
    <row r="191" spans="1:6">
      <c r="A191" s="22"/>
      <c r="B191" s="31"/>
      <c r="C191" s="23"/>
      <c r="D191" s="31"/>
      <c r="E191" s="32"/>
      <c r="F191" s="21">
        <f t="shared" si="7"/>
        <v>0</v>
      </c>
    </row>
    <row r="192" spans="1:6">
      <c r="A192" s="22"/>
      <c r="B192" s="34"/>
      <c r="C192" s="31"/>
      <c r="D192" s="31"/>
      <c r="E192" s="32"/>
      <c r="F192" s="21">
        <f t="shared" si="7"/>
        <v>0</v>
      </c>
    </row>
    <row r="193" spans="1:6">
      <c r="A193" s="22"/>
      <c r="B193" s="34"/>
      <c r="C193" s="31"/>
      <c r="D193" s="31"/>
      <c r="E193" s="32"/>
      <c r="F193" s="21">
        <f t="shared" si="7"/>
        <v>0</v>
      </c>
    </row>
    <row r="194" spans="1:6">
      <c r="A194" s="22"/>
      <c r="B194" s="31"/>
      <c r="C194" s="31"/>
      <c r="D194" s="31"/>
      <c r="E194" s="32"/>
      <c r="F194" s="21">
        <f t="shared" si="7"/>
        <v>0</v>
      </c>
    </row>
    <row r="195" spans="1:6">
      <c r="A195" s="22"/>
      <c r="B195" s="31"/>
      <c r="C195" s="23"/>
      <c r="D195" s="31"/>
      <c r="E195" s="32"/>
      <c r="F195" s="21">
        <f t="shared" si="7"/>
        <v>0</v>
      </c>
    </row>
    <row r="196" spans="1:6">
      <c r="A196" s="22"/>
      <c r="B196" s="31"/>
      <c r="C196" s="23"/>
      <c r="D196" s="31"/>
      <c r="E196" s="32"/>
      <c r="F196" s="21">
        <f t="shared" si="7"/>
        <v>0</v>
      </c>
    </row>
    <row r="197" spans="1:6">
      <c r="A197" s="22"/>
      <c r="B197" s="31"/>
      <c r="C197" s="23"/>
      <c r="D197" s="31"/>
      <c r="E197" s="32"/>
      <c r="F197" s="21">
        <f t="shared" si="7"/>
        <v>0</v>
      </c>
    </row>
    <row r="198" spans="1:6">
      <c r="A198" s="22"/>
      <c r="B198" s="31"/>
      <c r="C198" s="23"/>
      <c r="D198" s="31"/>
      <c r="E198" s="32"/>
      <c r="F198" s="21">
        <f t="shared" si="7"/>
        <v>0</v>
      </c>
    </row>
    <row r="199" spans="1:6">
      <c r="A199" s="22"/>
      <c r="B199" s="31"/>
      <c r="C199" s="23"/>
      <c r="D199" s="31"/>
      <c r="E199" s="32"/>
      <c r="F199" s="21">
        <f t="shared" si="7"/>
        <v>0</v>
      </c>
    </row>
    <row r="200" spans="1:6">
      <c r="A200" s="22"/>
      <c r="B200" s="31"/>
      <c r="C200" s="23"/>
      <c r="D200" s="31"/>
      <c r="E200" s="32"/>
      <c r="F200" s="21">
        <f t="shared" si="7"/>
        <v>0</v>
      </c>
    </row>
    <row r="201" spans="1:6">
      <c r="A201" s="22"/>
      <c r="B201" s="31"/>
      <c r="C201" s="23"/>
      <c r="D201" s="31"/>
      <c r="E201" s="32"/>
      <c r="F201" s="21">
        <f t="shared" si="7"/>
        <v>0</v>
      </c>
    </row>
    <row r="202" spans="1:6">
      <c r="A202" s="22"/>
      <c r="B202" s="31"/>
      <c r="C202" s="31"/>
      <c r="D202" s="31"/>
      <c r="E202" s="32"/>
      <c r="F202" s="21">
        <f t="shared" si="7"/>
        <v>0</v>
      </c>
    </row>
    <row r="203" spans="1:6">
      <c r="A203" s="22"/>
      <c r="B203" s="31"/>
      <c r="C203" s="31"/>
      <c r="D203" s="31"/>
      <c r="E203" s="32"/>
      <c r="F203" s="21">
        <f t="shared" si="7"/>
        <v>0</v>
      </c>
    </row>
    <row r="204" spans="1:6">
      <c r="A204" s="22"/>
      <c r="B204" s="31"/>
      <c r="C204" s="31"/>
      <c r="D204" s="31"/>
      <c r="E204" s="32"/>
      <c r="F204" s="21">
        <f t="shared" si="7"/>
        <v>0</v>
      </c>
    </row>
    <row r="205" spans="1:6">
      <c r="A205" s="22"/>
      <c r="B205" s="31"/>
      <c r="C205" s="31"/>
      <c r="D205" s="31"/>
      <c r="E205" s="32"/>
      <c r="F205" s="21">
        <f t="shared" si="7"/>
        <v>0</v>
      </c>
    </row>
    <row r="206" spans="1:6">
      <c r="A206" s="22"/>
      <c r="B206" s="31"/>
      <c r="C206" s="31"/>
      <c r="D206" s="31"/>
      <c r="E206" s="32"/>
      <c r="F206" s="21">
        <f t="shared" si="7"/>
        <v>0</v>
      </c>
    </row>
    <row r="207" spans="1:6">
      <c r="A207" s="22"/>
      <c r="B207" s="31"/>
      <c r="C207" s="31"/>
      <c r="D207" s="31"/>
      <c r="E207" s="32"/>
      <c r="F207" s="21">
        <f t="shared" si="7"/>
        <v>0</v>
      </c>
    </row>
    <row r="208" spans="1:6">
      <c r="A208" s="22"/>
      <c r="B208" s="31"/>
      <c r="C208" s="31"/>
      <c r="D208" s="31"/>
      <c r="E208" s="32"/>
      <c r="F208" s="21">
        <f t="shared" si="7"/>
        <v>0</v>
      </c>
    </row>
    <row r="209" spans="1:6">
      <c r="A209" s="22"/>
      <c r="B209" s="31"/>
      <c r="C209" s="31"/>
      <c r="D209" s="31"/>
      <c r="E209" s="32"/>
      <c r="F209" s="21">
        <f t="shared" si="7"/>
        <v>0</v>
      </c>
    </row>
    <row r="210" spans="1:6">
      <c r="A210" s="22"/>
      <c r="B210" s="31"/>
      <c r="C210" s="31"/>
      <c r="D210" s="31"/>
      <c r="E210" s="32"/>
      <c r="F210" s="21">
        <f t="shared" si="7"/>
        <v>0</v>
      </c>
    </row>
    <row r="211" spans="1:6">
      <c r="A211" s="22"/>
      <c r="B211" s="31"/>
      <c r="C211" s="31"/>
      <c r="D211" s="31"/>
      <c r="E211" s="32"/>
      <c r="F211" s="21">
        <f t="shared" si="7"/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78"/>
  <sheetViews>
    <sheetView workbookViewId="0">
      <selection activeCell="I2" sqref="I2"/>
    </sheetView>
  </sheetViews>
  <sheetFormatPr defaultColWidth="9" defaultRowHeight="14.4"/>
  <cols>
    <col min="1" max="1" width="5.5" style="10" customWidth="1"/>
    <col min="2" max="2" width="13.3796296296296" style="11" customWidth="1"/>
    <col min="3" max="3" width="21.25" style="12" customWidth="1"/>
    <col min="4" max="4" width="20.3796296296296" style="10" customWidth="1"/>
    <col min="5" max="5" width="5.11111111111111" style="10" customWidth="1"/>
    <col min="6" max="6" width="5.22222222222222" style="10" customWidth="1"/>
    <col min="7" max="7" width="29.75" style="10" hidden="1" customWidth="1"/>
    <col min="8" max="9" width="17.1296296296296" style="11"/>
    <col min="10" max="10" width="11.5"/>
  </cols>
  <sheetData>
    <row r="1" spans="1:9">
      <c r="A1" s="13" t="s">
        <v>1</v>
      </c>
      <c r="B1" s="14" t="s">
        <v>116</v>
      </c>
      <c r="C1" s="15" t="s">
        <v>64</v>
      </c>
      <c r="D1" s="13" t="s">
        <v>65</v>
      </c>
      <c r="E1" s="13" t="s">
        <v>117</v>
      </c>
      <c r="F1" s="13" t="s">
        <v>3</v>
      </c>
      <c r="G1" s="13" t="s">
        <v>118</v>
      </c>
      <c r="H1" s="14" t="s">
        <v>119</v>
      </c>
      <c r="I1" s="14" t="s">
        <v>120</v>
      </c>
    </row>
    <row r="2" spans="1:9">
      <c r="A2" s="8">
        <f t="shared" ref="A2:A10" si="0">ROW()-1</f>
        <v>1</v>
      </c>
      <c r="B2" s="5">
        <v>46026</v>
      </c>
      <c r="C2" s="7" t="s">
        <v>55</v>
      </c>
      <c r="D2" s="8" t="str">
        <f>IFERROR(VLOOKUP(C2,产品数据!$B:$D,2,FALSE),"")</f>
        <v>1升*12瓶/箱</v>
      </c>
      <c r="E2" s="8">
        <v>12</v>
      </c>
      <c r="F2" s="8" t="str">
        <f>IFERROR(VLOOKUP(C2,产品数据!$B:$D,3,FALSE),"")</f>
        <v>瓶</v>
      </c>
      <c r="G2" s="8"/>
      <c r="H2" s="5">
        <v>45975</v>
      </c>
      <c r="I2" s="5">
        <f>IF(C2=0,"",IF(H2=0,"未记录生产日期",IFERROR(H2+IFERROR(VLOOKUP(C2,产品数据!$B:$F,5,FALSE),"未录入生产日期"),"未写入保质期")))</f>
        <v>46515</v>
      </c>
    </row>
    <row r="3" spans="1:9">
      <c r="A3" s="8">
        <f t="shared" si="0"/>
        <v>2</v>
      </c>
      <c r="B3" s="5">
        <v>46029</v>
      </c>
      <c r="C3" s="7" t="s">
        <v>41</v>
      </c>
      <c r="D3" s="8" t="str">
        <f>IFERROR(VLOOKUP(C3,产品数据!$B:$D,2,FALSE),"")</f>
        <v>5l/*4桶/箱</v>
      </c>
      <c r="E3" s="8">
        <v>20</v>
      </c>
      <c r="F3" s="8" t="str">
        <f>IFERROR(VLOOKUP(C3,产品数据!$B:$D,3,FALSE),"")</f>
        <v>桶</v>
      </c>
      <c r="G3" s="8"/>
      <c r="H3" s="5">
        <v>45970</v>
      </c>
      <c r="I3" s="5">
        <f>IF(C3=0,"",IF(H3=0,"未记录生产日期",IFERROR(H3+IFERROR(VLOOKUP(C3,产品数据!$B:$F,5,FALSE),"未录入生产日期"),"未写入保质期")))</f>
        <v>46510</v>
      </c>
    </row>
    <row r="4" spans="1:9">
      <c r="A4" s="8">
        <f t="shared" si="0"/>
        <v>3</v>
      </c>
      <c r="B4" s="5">
        <v>46029</v>
      </c>
      <c r="C4" s="16" t="s">
        <v>54</v>
      </c>
      <c r="D4" s="8" t="str">
        <f>IFERROR(VLOOKUP(C4,产品数据!$B:$D,2,FALSE),"")</f>
        <v>1kg*6瓶/箱</v>
      </c>
      <c r="E4" s="8">
        <v>12</v>
      </c>
      <c r="F4" s="8" t="str">
        <f>IFERROR(VLOOKUP(C4,产品数据!$B:$D,3,FALSE),"")</f>
        <v>瓶</v>
      </c>
      <c r="G4" s="8"/>
      <c r="H4" s="5">
        <v>45891</v>
      </c>
      <c r="I4" s="5">
        <f>IF(C4=0,"",IF(H4=0,"未记录生产日期",IFERROR(H4+IFERROR(VLOOKUP(C4,产品数据!$B:$F,5,FALSE),"未录入生产日期"),"未写入保质期")))</f>
        <v>46341</v>
      </c>
    </row>
    <row r="5" spans="1:9">
      <c r="A5" s="8">
        <f t="shared" si="0"/>
        <v>4</v>
      </c>
      <c r="B5" s="5">
        <v>46029</v>
      </c>
      <c r="C5" s="16" t="s">
        <v>42</v>
      </c>
      <c r="D5" s="8" t="str">
        <f>IFERROR(VLOOKUP(C5,产品数据!$B:$D,2,FALSE),"")</f>
        <v>1.68L*6壶</v>
      </c>
      <c r="E5" s="8">
        <v>18</v>
      </c>
      <c r="F5" s="8" t="str">
        <f>IFERROR(VLOOKUP(C5,产品数据!$B:$D,3,FALSE),"")</f>
        <v>壶</v>
      </c>
      <c r="G5" s="8"/>
      <c r="H5" s="5">
        <v>45974</v>
      </c>
      <c r="I5" s="5">
        <f>IF(C5=0,"",IF(H5=0,"未记录生产日期",IFERROR(H5+IFERROR(VLOOKUP(C5,产品数据!$B:$F,5,FALSE),"未录入生产日期"),"未写入保质期")))</f>
        <v>46514</v>
      </c>
    </row>
    <row r="6" spans="1:9">
      <c r="A6" s="8">
        <f t="shared" si="0"/>
        <v>5</v>
      </c>
      <c r="B6" s="5">
        <v>46029</v>
      </c>
      <c r="C6" s="16" t="s">
        <v>43</v>
      </c>
      <c r="D6" s="8" t="str">
        <f>IFERROR(VLOOKUP(C6,产品数据!$B:$D,2,FALSE),"")</f>
        <v>1.9升/瓶*6瓶/箱</v>
      </c>
      <c r="E6" s="8">
        <v>6</v>
      </c>
      <c r="F6" s="8" t="str">
        <f>IFERROR(VLOOKUP(C6,产品数据!$B:$D,3,FALSE),"")</f>
        <v>瓶</v>
      </c>
      <c r="G6" s="8"/>
      <c r="H6" s="5">
        <v>45823</v>
      </c>
      <c r="I6" s="5">
        <f>IF(C6=0,"",IF(H6=0,"未记录生产日期",IFERROR(H6+IFERROR(VLOOKUP(C6,产品数据!$B:$F,5,FALSE),"未录入生产日期"),"未写入保质期")))</f>
        <v>46363</v>
      </c>
    </row>
    <row r="7" spans="1:9">
      <c r="A7" s="8">
        <f t="shared" si="0"/>
        <v>6</v>
      </c>
      <c r="B7" s="5">
        <v>46029</v>
      </c>
      <c r="C7" s="16" t="s">
        <v>48</v>
      </c>
      <c r="D7" s="8" t="str">
        <f>IFERROR(VLOOKUP(C7,产品数据!$B:$D,2,FALSE),"")</f>
        <v>500克/瓶*24瓶/箱</v>
      </c>
      <c r="E7" s="8">
        <v>12</v>
      </c>
      <c r="F7" s="8" t="str">
        <f>IFERROR(VLOOKUP(C7,产品数据!$B:$D,3,FALSE),"")</f>
        <v>瓶</v>
      </c>
      <c r="G7" s="8"/>
      <c r="H7" s="5">
        <v>45870</v>
      </c>
      <c r="I7" s="5">
        <f>IF(C7=0,"",IF(H7=0,"未记录生产日期",IFERROR(H7+IFERROR(VLOOKUP(C7,产品数据!$B:$F,5,FALSE),"未录入生产日期"),"未写入保质期")))</f>
        <v>46950</v>
      </c>
    </row>
    <row r="8" spans="1:9">
      <c r="A8" s="8">
        <f t="shared" si="0"/>
        <v>7</v>
      </c>
      <c r="B8" s="5">
        <v>46029</v>
      </c>
      <c r="C8" s="16" t="s">
        <v>45</v>
      </c>
      <c r="D8" s="8" t="str">
        <f>IFERROR(VLOOKUP(C8,产品数据!$B:$D,2,FALSE),"")</f>
        <v>1.9kg/瓶</v>
      </c>
      <c r="E8" s="8">
        <v>6</v>
      </c>
      <c r="F8" s="8" t="str">
        <f>IFERROR(VLOOKUP(C8,产品数据!$B:$D,3,FALSE),"")</f>
        <v>瓶</v>
      </c>
      <c r="G8" s="8"/>
      <c r="H8" s="5">
        <v>45874</v>
      </c>
      <c r="I8" s="5">
        <f>IF(C8=0,"",IF(H8=0,"未记录生产日期",IFERROR(H8+IFERROR(VLOOKUP(C8,产品数据!$B:$F,5,FALSE),"未录入生产日期"),"未写入保质期")))</f>
        <v>46414</v>
      </c>
    </row>
    <row r="9" spans="1:9">
      <c r="A9" s="8">
        <f t="shared" si="0"/>
        <v>8</v>
      </c>
      <c r="B9" s="5">
        <v>46030</v>
      </c>
      <c r="C9" s="16" t="s">
        <v>40</v>
      </c>
      <c r="D9" s="8" t="str">
        <f>IFERROR(VLOOKUP(C9,产品数据!$B:$D,2,FALSE),"")</f>
        <v>10kg/包</v>
      </c>
      <c r="E9" s="8">
        <v>12</v>
      </c>
      <c r="F9" s="8" t="str">
        <f>IFERROR(VLOOKUP(C9,产品数据!$B:$D,3,FALSE),"")</f>
        <v>包</v>
      </c>
      <c r="G9" s="8"/>
      <c r="H9" s="5">
        <v>45997</v>
      </c>
      <c r="I9" s="5">
        <f>IF(C9=0,"",IF(H9=0,"未记录生产日期",IFERROR(H9+IFERROR(VLOOKUP(C9,产品数据!$B:$F,5,FALSE),"未录入生产日期"),"未写入保质期")))</f>
        <v>46357</v>
      </c>
    </row>
    <row r="10" spans="1:9">
      <c r="A10" s="8">
        <f t="shared" si="0"/>
        <v>9</v>
      </c>
      <c r="B10" s="5">
        <v>46034</v>
      </c>
      <c r="C10" s="16" t="s">
        <v>39</v>
      </c>
      <c r="D10" s="8" t="str">
        <f>IFERROR(VLOOKUP(C10,产品数据!$B:$D,2,FALSE),"")</f>
        <v>10千克/袋</v>
      </c>
      <c r="E10" s="8">
        <v>20</v>
      </c>
      <c r="F10" s="8" t="str">
        <f>IFERROR(VLOOKUP(C10,产品数据!$B:$D,3,FALSE),"")</f>
        <v>袋</v>
      </c>
      <c r="G10" s="8"/>
      <c r="H10" s="5">
        <v>45992</v>
      </c>
      <c r="I10" s="5">
        <f>IF(C10=0,"",IF(H10=0,"未记录生产日期",IFERROR(H10+IFERROR(VLOOKUP(C10,产品数据!$B:$F,5,FALSE),"未录入生产日期"),"未写入保质期")))</f>
        <v>46352</v>
      </c>
    </row>
    <row r="11" spans="1:9">
      <c r="A11" s="8">
        <f t="shared" ref="A11:A20" si="1">ROW()-1</f>
        <v>10</v>
      </c>
      <c r="B11" s="5">
        <v>46034</v>
      </c>
      <c r="C11" s="16" t="s">
        <v>52</v>
      </c>
      <c r="D11" s="8" t="str">
        <f>IFERROR(VLOOKUP(C11,产品数据!$B:$D,2,FALSE),"")</f>
        <v>705ml/瓶</v>
      </c>
      <c r="E11" s="8">
        <v>12</v>
      </c>
      <c r="F11" s="8" t="str">
        <f>IFERROR(VLOOKUP(C11,产品数据!$B:$D,3,FALSE),"")</f>
        <v>瓶</v>
      </c>
      <c r="G11" s="8"/>
      <c r="H11" s="5">
        <v>45891</v>
      </c>
      <c r="I11" s="5">
        <f>IF(C11=0,"",IF(H11=0,"未记录生产日期",IFERROR(H11+IFERROR(VLOOKUP(C11,产品数据!$B:$F,5,FALSE),"未录入生产日期"),"未写入保质期")))</f>
        <v>46611</v>
      </c>
    </row>
    <row r="12" spans="1:9">
      <c r="A12" s="8">
        <f t="shared" si="1"/>
        <v>11</v>
      </c>
      <c r="B12" s="5">
        <v>46034</v>
      </c>
      <c r="C12" s="16" t="s">
        <v>53</v>
      </c>
      <c r="D12" s="8" t="str">
        <f>IFERROR(VLOOKUP(C12,产品数据!$B:$D,2,FALSE),"")</f>
        <v>2.5L*6桶/箱</v>
      </c>
      <c r="E12" s="8">
        <v>6</v>
      </c>
      <c r="F12" s="8" t="str">
        <f>IFERROR(VLOOKUP(C12,产品数据!$B:$D,3,FALSE),"")</f>
        <v>桶</v>
      </c>
      <c r="G12" s="8"/>
      <c r="H12" s="5">
        <v>46009</v>
      </c>
      <c r="I12" s="5">
        <f>IF(C12=0,"",IF(H12=0,"未记录生产日期",IFERROR(H12+IFERROR(VLOOKUP(C12,产品数据!$B:$F,5,FALSE),"未录入生产日期"),"未写入保质期")))</f>
        <v>47089</v>
      </c>
    </row>
    <row r="13" spans="1:9">
      <c r="A13" s="8">
        <f t="shared" si="1"/>
        <v>12</v>
      </c>
      <c r="B13" s="5">
        <v>46034</v>
      </c>
      <c r="C13" s="16" t="s">
        <v>63</v>
      </c>
      <c r="D13" s="8" t="str">
        <f>IFERROR(VLOOKUP(C13,产品数据!$B:$D,2,FALSE),"")</f>
        <v>280g/包</v>
      </c>
      <c r="E13" s="8">
        <v>70</v>
      </c>
      <c r="F13" s="8" t="str">
        <f>IFERROR(VLOOKUP(C13,产品数据!$B:$D,3,FALSE),"")</f>
        <v>包</v>
      </c>
      <c r="G13" s="8"/>
      <c r="H13" s="5">
        <v>45915</v>
      </c>
      <c r="I13" s="5">
        <f>IF(C13=0,"",IF(H13=0,"未记录生产日期",IFERROR(H13+IFERROR(VLOOKUP(C13,产品数据!$B:$F,5,FALSE),"未录入生产日期"),"未写入保质期")))</f>
        <v>47715</v>
      </c>
    </row>
    <row r="14" spans="1:9">
      <c r="A14" s="8">
        <f t="shared" si="1"/>
        <v>13</v>
      </c>
      <c r="B14" s="5">
        <v>46034</v>
      </c>
      <c r="C14" s="16" t="s">
        <v>57</v>
      </c>
      <c r="D14" s="8" t="str">
        <f>IFERROR(VLOOKUP(C14,产品数据!$B:$D,2,FALSE),"")</f>
        <v>400g*25包/箱</v>
      </c>
      <c r="E14" s="8">
        <v>25</v>
      </c>
      <c r="F14" s="8" t="str">
        <f>IFERROR(VLOOKUP(C14,产品数据!$B:$D,3,FALSE),"")</f>
        <v>包</v>
      </c>
      <c r="G14" s="8"/>
      <c r="H14" s="5">
        <v>45953</v>
      </c>
      <c r="I14" s="5">
        <f>IF(C14=0,"",IF(H14=0,"未记录生产日期",IFERROR(H14+IFERROR(VLOOKUP(C14,产品数据!$B:$F,5,FALSE),"未录入生产日期"),"未写入保质期")))</f>
        <v>46493</v>
      </c>
    </row>
    <row r="15" spans="1:9">
      <c r="A15" s="8">
        <f t="shared" si="1"/>
        <v>14</v>
      </c>
      <c r="B15" s="5">
        <v>46034</v>
      </c>
      <c r="C15" s="16" t="s">
        <v>62</v>
      </c>
      <c r="D15" s="8" t="str">
        <f>IFERROR(VLOOKUP(C15,产品数据!$B:$D,2,FALSE),"")</f>
        <v>600克/瓶</v>
      </c>
      <c r="E15" s="8">
        <v>2</v>
      </c>
      <c r="F15" s="8" t="str">
        <f>IFERROR(VLOOKUP(C15,产品数据!$B:$D,3,FALSE),"")</f>
        <v>瓶</v>
      </c>
      <c r="G15" s="8"/>
      <c r="H15" s="5">
        <v>45981</v>
      </c>
      <c r="I15" s="5">
        <f>IF(C15=0,"",IF(H15=0,"未记录生产日期",IFERROR(H15+IFERROR(VLOOKUP(C15,产品数据!$B:$F,5,FALSE),"未录入生产日期"),"未写入保质期")))</f>
        <v>46521</v>
      </c>
    </row>
    <row r="16" spans="1:9">
      <c r="A16" s="8">
        <f t="shared" si="1"/>
        <v>15</v>
      </c>
      <c r="B16" s="5">
        <v>46034</v>
      </c>
      <c r="C16" s="16" t="s">
        <v>50</v>
      </c>
      <c r="D16" s="8" t="str">
        <f>IFERROR(VLOOKUP(C16,产品数据!$B:$D,2,FALSE),"")</f>
        <v>2kg/包*6包/箱</v>
      </c>
      <c r="E16" s="8">
        <v>30</v>
      </c>
      <c r="F16" s="8" t="str">
        <f>IFERROR(VLOOKUP(C16,产品数据!$B:$D,3,FALSE),"")</f>
        <v>包</v>
      </c>
      <c r="G16" s="8"/>
      <c r="H16" s="17">
        <v>45948</v>
      </c>
      <c r="I16" s="5">
        <f>IF(C16=0,"",IF(H16=0,"未记录生产日期",IFERROR(H16+IFERROR(VLOOKUP(C16,产品数据!$B:$F,5,FALSE),"未录入生产日期"),"未写入保质期")))</f>
        <v>46308</v>
      </c>
    </row>
    <row r="17" spans="1:9">
      <c r="A17" s="8">
        <f t="shared" si="1"/>
        <v>16</v>
      </c>
      <c r="B17" s="17">
        <v>46037</v>
      </c>
      <c r="C17" s="16" t="s">
        <v>48</v>
      </c>
      <c r="D17" s="8" t="str">
        <f>IFERROR(VLOOKUP(C17,产品数据!$B:$D,2,FALSE),"")</f>
        <v>500克/瓶*24瓶/箱</v>
      </c>
      <c r="E17" s="8">
        <v>24</v>
      </c>
      <c r="F17" s="8" t="str">
        <f>IFERROR(VLOOKUP(C17,产品数据!$B:$D,3,FALSE),"")</f>
        <v>瓶</v>
      </c>
      <c r="G17" s="8"/>
      <c r="H17" s="17">
        <v>45665</v>
      </c>
      <c r="I17" s="5">
        <f>IF(C17=0,"",IF(H17=0,"未记录生产日期",IFERROR(H17+IFERROR(VLOOKUP(C17,产品数据!$B:$F,5,FALSE),"未录入生产日期"),"未写入保质期")))</f>
        <v>46745</v>
      </c>
    </row>
    <row r="18" spans="1:9">
      <c r="A18" s="8">
        <f t="shared" si="1"/>
        <v>17</v>
      </c>
      <c r="B18" s="17">
        <v>46037</v>
      </c>
      <c r="C18" s="16" t="s">
        <v>47</v>
      </c>
      <c r="D18" s="8" t="str">
        <f>IFERROR(VLOOKUP(C18,产品数据!$B:$D,2,FALSE),"")</f>
        <v>500克/瓶*24瓶/箱</v>
      </c>
      <c r="E18" s="8">
        <v>12</v>
      </c>
      <c r="F18" s="8" t="str">
        <f>IFERROR(VLOOKUP(C18,产品数据!$B:$D,3,FALSE),"")</f>
        <v>瓶</v>
      </c>
      <c r="G18" s="8"/>
      <c r="H18" s="17">
        <v>45833</v>
      </c>
      <c r="I18" s="5">
        <f>IF(C18=0,"",IF(H18=0,"未记录生产日期",IFERROR(H18+IFERROR(VLOOKUP(C18,产品数据!$B:$F,5,FALSE),"未录入生产日期"),"未写入保质期")))</f>
        <v>46913</v>
      </c>
    </row>
    <row r="19" spans="1:9">
      <c r="A19" s="8">
        <f t="shared" si="1"/>
        <v>18</v>
      </c>
      <c r="B19" s="17">
        <v>46037</v>
      </c>
      <c r="C19" s="16" t="s">
        <v>63</v>
      </c>
      <c r="D19" s="8" t="str">
        <f>IFERROR(VLOOKUP(C19,产品数据!$B:$D,2,FALSE),"")</f>
        <v>280g/包</v>
      </c>
      <c r="E19" s="8">
        <v>30</v>
      </c>
      <c r="F19" s="8" t="str">
        <f>IFERROR(VLOOKUP(C19,产品数据!$B:$D,3,FALSE),"")</f>
        <v>包</v>
      </c>
      <c r="G19" s="8"/>
      <c r="H19" s="17">
        <v>46001</v>
      </c>
      <c r="I19" s="5">
        <f>IF(C19=0,"",IF(H19=0,"未记录生产日期",IFERROR(H19+IFERROR(VLOOKUP(C19,产品数据!$B:$F,5,FALSE),"未录入生产日期"),"未写入保质期")))</f>
        <v>47801</v>
      </c>
    </row>
    <row r="20" spans="1:9">
      <c r="A20" s="8">
        <f t="shared" si="1"/>
        <v>19</v>
      </c>
      <c r="B20" s="17">
        <v>46037</v>
      </c>
      <c r="C20" s="16" t="s">
        <v>41</v>
      </c>
      <c r="D20" s="8" t="str">
        <f>IFERROR(VLOOKUP(C20,产品数据!$B:$D,2,FALSE),"")</f>
        <v>5l/*4桶/箱</v>
      </c>
      <c r="E20" s="8">
        <v>20</v>
      </c>
      <c r="F20" s="8" t="str">
        <f>IFERROR(VLOOKUP(C20,产品数据!$B:$D,3,FALSE),"")</f>
        <v>桶</v>
      </c>
      <c r="G20" s="8"/>
      <c r="H20" s="17">
        <v>45927</v>
      </c>
      <c r="I20" s="5">
        <f>IF(C20=0,"",IF(H20=0,"未记录生产日期",IFERROR(H20+IFERROR(VLOOKUP(C20,产品数据!$B:$F,5,FALSE),"未录入生产日期"),"未写入保质期")))</f>
        <v>46467</v>
      </c>
    </row>
    <row r="21" spans="1:9">
      <c r="A21" s="8">
        <f t="shared" ref="A21:A30" si="2">ROW()-1</f>
        <v>20</v>
      </c>
      <c r="B21" s="17">
        <v>46042</v>
      </c>
      <c r="C21" s="16" t="s">
        <v>41</v>
      </c>
      <c r="D21" s="8" t="str">
        <f>IFERROR(VLOOKUP(C21,产品数据!$B:$D,2,FALSE),"")</f>
        <v>5l/*4桶/箱</v>
      </c>
      <c r="E21" s="8">
        <v>20</v>
      </c>
      <c r="F21" s="8" t="str">
        <f>IFERROR(VLOOKUP(C21,产品数据!$B:$D,3,FALSE),"")</f>
        <v>桶</v>
      </c>
      <c r="G21" s="8"/>
      <c r="H21" s="17">
        <v>45927</v>
      </c>
      <c r="I21" s="5">
        <f>IF(C21=0,"",IF(H21=0,"未记录生产日期",IFERROR(H21+IFERROR(VLOOKUP(C21,产品数据!$B:$F,5,FALSE),"未录入生产日期"),"未写入保质期")))</f>
        <v>46467</v>
      </c>
    </row>
    <row r="22" spans="1:9">
      <c r="A22" s="8">
        <f t="shared" si="2"/>
        <v>21</v>
      </c>
      <c r="B22" s="17">
        <v>46042</v>
      </c>
      <c r="C22" s="16" t="s">
        <v>53</v>
      </c>
      <c r="D22" s="8" t="str">
        <f>IFERROR(VLOOKUP(C22,产品数据!$B:$D,2,FALSE),"")</f>
        <v>2.5L*6桶/箱</v>
      </c>
      <c r="E22" s="8">
        <v>12</v>
      </c>
      <c r="F22" s="8" t="str">
        <f>IFERROR(VLOOKUP(C22,产品数据!$B:$D,3,FALSE),"")</f>
        <v>桶</v>
      </c>
      <c r="G22" s="8"/>
      <c r="H22" s="17">
        <v>46009</v>
      </c>
      <c r="I22" s="5">
        <f>IF(C22=0,"",IF(H22=0,"未记录生产日期",IFERROR(H22+IFERROR(VLOOKUP(C22,产品数据!$B:$F,5,FALSE),"未录入生产日期"),"未写入保质期")))</f>
        <v>47089</v>
      </c>
    </row>
    <row r="23" spans="1:9">
      <c r="A23" s="8">
        <f t="shared" si="2"/>
        <v>22</v>
      </c>
      <c r="B23" s="17">
        <v>46042</v>
      </c>
      <c r="C23" s="16" t="s">
        <v>54</v>
      </c>
      <c r="D23" s="8" t="str">
        <f>IFERROR(VLOOKUP(C23,产品数据!$B:$D,2,FALSE),"")</f>
        <v>1kg*6瓶/箱</v>
      </c>
      <c r="E23" s="8">
        <v>12</v>
      </c>
      <c r="F23" s="8" t="str">
        <f>IFERROR(VLOOKUP(C23,产品数据!$B:$D,3,FALSE),"")</f>
        <v>瓶</v>
      </c>
      <c r="G23" s="8"/>
      <c r="H23" s="17">
        <v>46022</v>
      </c>
      <c r="I23" s="5">
        <f>IF(C23=0,"",IF(H23=0,"未记录生产日期",IFERROR(H23+IFERROR(VLOOKUP(C23,产品数据!$B:$F,5,FALSE),"未录入生产日期"),"未写入保质期")))</f>
        <v>46472</v>
      </c>
    </row>
    <row r="24" spans="1:9">
      <c r="A24" s="8">
        <f t="shared" si="2"/>
        <v>23</v>
      </c>
      <c r="B24" s="17">
        <v>46042</v>
      </c>
      <c r="C24" s="16" t="s">
        <v>44</v>
      </c>
      <c r="D24" s="8" t="str">
        <f>IFERROR(VLOOKUP(C24,产品数据!$B:$D,2,FALSE),"")</f>
        <v>1.9升/瓶*6瓶/箱</v>
      </c>
      <c r="E24" s="8">
        <v>6</v>
      </c>
      <c r="F24" s="8" t="str">
        <f>IFERROR(VLOOKUP(C24,产品数据!$B:$D,3,FALSE),"")</f>
        <v>瓶</v>
      </c>
      <c r="G24" s="8"/>
      <c r="H24" s="17">
        <v>45790</v>
      </c>
      <c r="I24" s="5">
        <f>IF(C24=0,"",IF(H24=0,"未记录生产日期",IFERROR(H24+IFERROR(VLOOKUP(C24,产品数据!$B:$F,5,FALSE),"未录入生产日期"),"未写入保质期")))</f>
        <v>46330</v>
      </c>
    </row>
    <row r="25" spans="1:9">
      <c r="A25" s="8">
        <f t="shared" si="2"/>
        <v>24</v>
      </c>
      <c r="B25" s="17">
        <v>46043</v>
      </c>
      <c r="C25" s="16" t="s">
        <v>43</v>
      </c>
      <c r="D25" s="8" t="str">
        <f>IFERROR(VLOOKUP(C25,产品数据!$B:$D,2,FALSE),"")</f>
        <v>1.9升/瓶*6瓶/箱</v>
      </c>
      <c r="E25" s="8">
        <v>18</v>
      </c>
      <c r="F25" s="8" t="str">
        <f>IFERROR(VLOOKUP(C25,产品数据!$B:$D,3,FALSE),"")</f>
        <v>瓶</v>
      </c>
      <c r="G25" s="8"/>
      <c r="H25" s="17">
        <v>45978</v>
      </c>
      <c r="I25" s="5">
        <f>IF(C25=0,"",IF(H25=0,"未记录生产日期",IFERROR(H25+IFERROR(VLOOKUP(C25,产品数据!$B:$F,5,FALSE),"未录入生产日期"),"未写入保质期")))</f>
        <v>46518</v>
      </c>
    </row>
    <row r="26" spans="1:9">
      <c r="A26" s="8">
        <f t="shared" si="2"/>
        <v>25</v>
      </c>
      <c r="B26" s="17">
        <v>46043</v>
      </c>
      <c r="C26" s="16" t="s">
        <v>61</v>
      </c>
      <c r="D26" s="8" t="str">
        <f>IFERROR(VLOOKUP(C26,产品数据!$B:$D,2,FALSE),"")</f>
        <v>2.5kg/包</v>
      </c>
      <c r="E26" s="8">
        <v>10</v>
      </c>
      <c r="F26" s="8" t="str">
        <f>IFERROR(VLOOKUP(C26,产品数据!$B:$D,3,FALSE),"")</f>
        <v>包</v>
      </c>
      <c r="G26" s="8"/>
      <c r="H26" s="17">
        <v>45971</v>
      </c>
      <c r="I26" s="5">
        <f>IF(C26=0,"",IF(H26=0,"未记录生产日期",IFERROR(H26+IFERROR(VLOOKUP(C26,产品数据!$B:$F,5,FALSE),"未录入生产日期"),"未写入保质期")))</f>
        <v>46691</v>
      </c>
    </row>
    <row r="27" spans="1:9">
      <c r="A27" s="8">
        <f t="shared" si="2"/>
        <v>26</v>
      </c>
      <c r="B27" s="17">
        <v>46045</v>
      </c>
      <c r="C27" s="16" t="s">
        <v>42</v>
      </c>
      <c r="D27" s="8" t="str">
        <f>IFERROR(VLOOKUP(C27,产品数据!$B:$D,2,FALSE),"")</f>
        <v>1.68L*6壶</v>
      </c>
      <c r="E27" s="8">
        <v>18</v>
      </c>
      <c r="F27" s="8" t="str">
        <f>IFERROR(VLOOKUP(C27,产品数据!$B:$D,3,FALSE),"")</f>
        <v>壶</v>
      </c>
      <c r="G27" s="8"/>
      <c r="H27" s="17">
        <v>45974</v>
      </c>
      <c r="I27" s="5">
        <f>IF(C27=0,"",IF(H27=0,"未记录生产日期",IFERROR(H27+IFERROR(VLOOKUP(C27,产品数据!$B:$F,5,FALSE),"未录入生产日期"),"未写入保质期")))</f>
        <v>46514</v>
      </c>
    </row>
    <row r="28" spans="1:9">
      <c r="A28" s="8">
        <f t="shared" si="2"/>
        <v>27</v>
      </c>
      <c r="B28" s="17">
        <v>46045</v>
      </c>
      <c r="C28" s="16" t="s">
        <v>57</v>
      </c>
      <c r="D28" s="8" t="str">
        <f>IFERROR(VLOOKUP(C28,产品数据!$B:$D,2,FALSE),"")</f>
        <v>400g*25包/箱</v>
      </c>
      <c r="E28" s="8">
        <v>25</v>
      </c>
      <c r="F28" s="8" t="str">
        <f>IFERROR(VLOOKUP(C28,产品数据!$B:$D,3,FALSE),"")</f>
        <v>包</v>
      </c>
      <c r="G28" s="8"/>
      <c r="H28" s="17">
        <v>45953</v>
      </c>
      <c r="I28" s="5">
        <f>IF(C28=0,"",IF(H28=0,"未记录生产日期",IFERROR(H28+IFERROR(VLOOKUP(C28,产品数据!$B:$F,5,FALSE),"未录入生产日期"),"未写入保质期")))</f>
        <v>46493</v>
      </c>
    </row>
    <row r="29" spans="1:9">
      <c r="A29" s="8">
        <f t="shared" si="2"/>
        <v>28</v>
      </c>
      <c r="B29" s="17">
        <v>46045</v>
      </c>
      <c r="C29" s="16" t="s">
        <v>41</v>
      </c>
      <c r="D29" s="8" t="str">
        <f>IFERROR(VLOOKUP(C29,产品数据!$B:$D,2,FALSE),"")</f>
        <v>5l/*4桶/箱</v>
      </c>
      <c r="E29" s="8">
        <v>20</v>
      </c>
      <c r="F29" s="8" t="str">
        <f>IFERROR(VLOOKUP(C29,产品数据!$B:$D,3,FALSE),"")</f>
        <v>桶</v>
      </c>
      <c r="G29" s="8"/>
      <c r="H29" s="17">
        <v>45927</v>
      </c>
      <c r="I29" s="5">
        <f>IF(C29=0,"",IF(H29=0,"未记录生产日期",IFERROR(H29+IFERROR(VLOOKUP(C29,产品数据!$B:$F,5,FALSE),"未录入生产日期"),"未写入保质期")))</f>
        <v>46467</v>
      </c>
    </row>
    <row r="30" spans="1:9">
      <c r="A30" s="8">
        <f t="shared" si="2"/>
        <v>29</v>
      </c>
      <c r="B30" s="17">
        <v>46045</v>
      </c>
      <c r="C30" s="16" t="s">
        <v>39</v>
      </c>
      <c r="D30" s="8" t="str">
        <f>IFERROR(VLOOKUP(C30,产品数据!$B:$D,2,FALSE),"")</f>
        <v>10千克/袋</v>
      </c>
      <c r="E30" s="8">
        <v>20</v>
      </c>
      <c r="F30" s="8" t="str">
        <f>IFERROR(VLOOKUP(C30,产品数据!$B:$D,3,FALSE),"")</f>
        <v>袋</v>
      </c>
      <c r="G30" s="8"/>
      <c r="H30" s="17">
        <v>45992</v>
      </c>
      <c r="I30" s="5">
        <f>IF(C30=0,"",IF(H30=0,"未记录生产日期",IFERROR(H30+IFERROR(VLOOKUP(C30,产品数据!$B:$F,5,FALSE),"未录入生产日期"),"未写入保质期")))</f>
        <v>46352</v>
      </c>
    </row>
    <row r="31" spans="1:9">
      <c r="A31" s="8">
        <f t="shared" ref="A31:A40" si="3">ROW()-1</f>
        <v>30</v>
      </c>
      <c r="B31" s="17">
        <v>46045</v>
      </c>
      <c r="C31" s="16" t="s">
        <v>40</v>
      </c>
      <c r="D31" s="8" t="str">
        <f>IFERROR(VLOOKUP(C31,产品数据!$B:$D,2,FALSE),"")</f>
        <v>10kg/包</v>
      </c>
      <c r="E31" s="8">
        <v>27</v>
      </c>
      <c r="F31" s="8" t="str">
        <f>IFERROR(VLOOKUP(C31,产品数据!$B:$D,3,FALSE),"")</f>
        <v>包</v>
      </c>
      <c r="G31" s="8"/>
      <c r="H31" s="17">
        <v>45997</v>
      </c>
      <c r="I31" s="5">
        <f>IF(C31=0,"",IF(H31=0,"未记录生产日期",IFERROR(H31+IFERROR(VLOOKUP(C31,产品数据!$B:$F,5,FALSE),"未录入生产日期"),"未写入保质期")))</f>
        <v>46357</v>
      </c>
    </row>
    <row r="32" spans="1:9">
      <c r="A32" s="8">
        <f t="shared" si="3"/>
        <v>31</v>
      </c>
      <c r="B32" s="17">
        <v>46049</v>
      </c>
      <c r="C32" s="16" t="s">
        <v>40</v>
      </c>
      <c r="D32" s="8" t="str">
        <f>IFERROR(VLOOKUP(C32,产品数据!$B:$D,2,FALSE),"")</f>
        <v>10kg/包</v>
      </c>
      <c r="E32" s="8">
        <v>9</v>
      </c>
      <c r="F32" s="8" t="str">
        <f>IFERROR(VLOOKUP(C32,产品数据!$B:$D,3,FALSE),"")</f>
        <v>包</v>
      </c>
      <c r="G32" s="8"/>
      <c r="H32" s="17">
        <v>45991</v>
      </c>
      <c r="I32" s="5">
        <f>IF(C32=0,"",IF(H32=0,"未记录生产日期",IFERROR(H32+IFERROR(VLOOKUP(C32,产品数据!$B:$F,5,FALSE),"未录入生产日期"),"未写入保质期")))</f>
        <v>46351</v>
      </c>
    </row>
    <row r="33" spans="1:9">
      <c r="A33" s="8">
        <f t="shared" si="3"/>
        <v>32</v>
      </c>
      <c r="B33" s="17">
        <v>46052</v>
      </c>
      <c r="C33" s="16" t="s">
        <v>56</v>
      </c>
      <c r="D33" s="8" t="str">
        <f>IFERROR(VLOOKUP(C33,产品数据!$B:$D,2,FALSE),"")</f>
        <v>178g*50包/箱</v>
      </c>
      <c r="E33" s="8">
        <v>50</v>
      </c>
      <c r="F33" s="8" t="str">
        <f>IFERROR(VLOOKUP(C33,产品数据!$B:$D,3,FALSE),"")</f>
        <v>包</v>
      </c>
      <c r="G33" s="8"/>
      <c r="H33" s="17">
        <v>45985</v>
      </c>
      <c r="I33" s="5">
        <f>IF(C33=0,"",IF(H33=0,"未记录生产日期",IFERROR(H33+IFERROR(VLOOKUP(C33,产品数据!$B:$F,5,FALSE),"未录入生产日期"),"未写入保质期")))</f>
        <v>46345</v>
      </c>
    </row>
    <row r="34" spans="1:9">
      <c r="A34" s="8">
        <f t="shared" si="3"/>
        <v>33</v>
      </c>
      <c r="B34" s="17">
        <v>46056</v>
      </c>
      <c r="C34" s="16" t="s">
        <v>44</v>
      </c>
      <c r="D34" s="8" t="str">
        <f>IFERROR(VLOOKUP(C34,产品数据!$B:$D,2,FALSE),"")</f>
        <v>1.9升/瓶*6瓶/箱</v>
      </c>
      <c r="E34" s="8">
        <v>18</v>
      </c>
      <c r="F34" s="8" t="str">
        <f>IFERROR(VLOOKUP(C34,产品数据!$B:$D,3,FALSE),"")</f>
        <v>瓶</v>
      </c>
      <c r="G34" s="8"/>
      <c r="H34" s="17">
        <v>45969</v>
      </c>
      <c r="I34" s="5">
        <f>IF(C34=0,"",IF(H34=0,"未记录生产日期",IFERROR(H34+IFERROR(VLOOKUP(C34,产品数据!$B:$F,5,FALSE),"未录入生产日期"),"未写入保质期")))</f>
        <v>46509</v>
      </c>
    </row>
    <row r="35" spans="1:9">
      <c r="A35" s="8">
        <f t="shared" si="3"/>
        <v>34</v>
      </c>
      <c r="B35" s="17">
        <v>46056</v>
      </c>
      <c r="C35" s="16" t="s">
        <v>52</v>
      </c>
      <c r="D35" s="8" t="str">
        <f>IFERROR(VLOOKUP(C35,产品数据!$B:$D,2,FALSE),"")</f>
        <v>705ml/瓶</v>
      </c>
      <c r="E35" s="8">
        <v>24</v>
      </c>
      <c r="F35" s="8" t="str">
        <f>IFERROR(VLOOKUP(C35,产品数据!$B:$D,3,FALSE),"")</f>
        <v>瓶</v>
      </c>
      <c r="G35" s="8"/>
      <c r="H35" s="17">
        <v>45966</v>
      </c>
      <c r="I35" s="5">
        <f>IF(C35=0,"",IF(H35=0,"未记录生产日期",IFERROR(H35+IFERROR(VLOOKUP(C35,产品数据!$B:$F,5,FALSE),"未录入生产日期"),"未写入保质期")))</f>
        <v>46686</v>
      </c>
    </row>
    <row r="36" spans="1:9">
      <c r="A36" s="8">
        <f t="shared" si="3"/>
        <v>35</v>
      </c>
      <c r="B36" s="17">
        <v>46056</v>
      </c>
      <c r="C36" s="16" t="s">
        <v>63</v>
      </c>
      <c r="D36" s="8" t="str">
        <f>IFERROR(VLOOKUP(C36,产品数据!$B:$D,2,FALSE),"")</f>
        <v>280g/包</v>
      </c>
      <c r="E36" s="8">
        <v>100</v>
      </c>
      <c r="F36" s="8" t="str">
        <f>IFERROR(VLOOKUP(C36,产品数据!$B:$D,3,FALSE),"")</f>
        <v>包</v>
      </c>
      <c r="G36" s="8"/>
      <c r="H36" s="17">
        <v>45981</v>
      </c>
      <c r="I36" s="5">
        <f>IF(C36=0,"",IF(H36=0,"未记录生产日期",IFERROR(H36+IFERROR(VLOOKUP(C36,产品数据!$B:$F,5,FALSE),"未录入生产日期"),"未写入保质期")))</f>
        <v>47781</v>
      </c>
    </row>
    <row r="37" spans="1:9">
      <c r="A37" s="8">
        <f t="shared" si="3"/>
        <v>36</v>
      </c>
      <c r="B37" s="17">
        <v>46056</v>
      </c>
      <c r="C37" s="16" t="s">
        <v>53</v>
      </c>
      <c r="D37" s="8" t="str">
        <f>IFERROR(VLOOKUP(C37,产品数据!$B:$D,2,FALSE),"")</f>
        <v>2.5L*6桶/箱</v>
      </c>
      <c r="E37" s="8">
        <v>18</v>
      </c>
      <c r="F37" s="8" t="str">
        <f>IFERROR(VLOOKUP(C37,产品数据!$B:$D,3,FALSE),"")</f>
        <v>桶</v>
      </c>
      <c r="G37" s="8"/>
      <c r="H37" s="17">
        <v>45979</v>
      </c>
      <c r="I37" s="5">
        <f>IF(C37=0,"",IF(H37=0,"未记录生产日期",IFERROR(H37+IFERROR(VLOOKUP(C37,产品数据!$B:$F,5,FALSE),"未录入生产日期"),"未写入保质期")))</f>
        <v>47059</v>
      </c>
    </row>
    <row r="38" spans="1:9">
      <c r="A38" s="8">
        <f t="shared" si="3"/>
        <v>37</v>
      </c>
      <c r="B38" s="17">
        <v>46056</v>
      </c>
      <c r="C38" s="16" t="s">
        <v>54</v>
      </c>
      <c r="D38" s="8" t="str">
        <f>IFERROR(VLOOKUP(C38,产品数据!$B:$D,2,FALSE),"")</f>
        <v>1kg*6瓶/箱</v>
      </c>
      <c r="E38" s="8">
        <v>24</v>
      </c>
      <c r="F38" s="8" t="str">
        <f>IFERROR(VLOOKUP(C38,产品数据!$B:$D,3,FALSE),"")</f>
        <v>瓶</v>
      </c>
      <c r="G38" s="8"/>
      <c r="H38" s="17">
        <v>46011</v>
      </c>
      <c r="I38" s="5">
        <f>IF(C38=0,"",IF(H38=0,"未记录生产日期",IFERROR(H38+IFERROR(VLOOKUP(C38,产品数据!$B:$F,5,FALSE),"未录入生产日期"),"未写入保质期")))</f>
        <v>46461</v>
      </c>
    </row>
    <row r="39" spans="1:9">
      <c r="A39" s="8">
        <f t="shared" si="3"/>
        <v>38</v>
      </c>
      <c r="B39" s="17">
        <v>46056</v>
      </c>
      <c r="C39" s="16" t="s">
        <v>57</v>
      </c>
      <c r="D39" s="8" t="str">
        <f>IFERROR(VLOOKUP(C39,产品数据!$B:$D,2,FALSE),"")</f>
        <v>400g*25包/箱</v>
      </c>
      <c r="E39" s="8">
        <v>25</v>
      </c>
      <c r="F39" s="8" t="str">
        <f>IFERROR(VLOOKUP(C39,产品数据!$B:$D,3,FALSE),"")</f>
        <v>包</v>
      </c>
      <c r="G39" s="8"/>
      <c r="H39" s="17">
        <v>45953</v>
      </c>
      <c r="I39" s="5">
        <f>IF(C39=0,"",IF(H39=0,"未记录生产日期",IFERROR(H39+IFERROR(VLOOKUP(C39,产品数据!$B:$F,5,FALSE),"未录入生产日期"),"未写入保质期")))</f>
        <v>46493</v>
      </c>
    </row>
    <row r="40" spans="1:9">
      <c r="A40" s="8">
        <f t="shared" si="3"/>
        <v>39</v>
      </c>
      <c r="B40" s="17">
        <v>46057</v>
      </c>
      <c r="C40" s="16" t="s">
        <v>39</v>
      </c>
      <c r="D40" s="8" t="str">
        <f>IFERROR(VLOOKUP(C40,产品数据!$B:$D,2,FALSE),"")</f>
        <v>10千克/袋</v>
      </c>
      <c r="E40" s="8">
        <v>20</v>
      </c>
      <c r="F40" s="8" t="str">
        <f>IFERROR(VLOOKUP(C40,产品数据!$B:$D,3,FALSE),"")</f>
        <v>袋</v>
      </c>
      <c r="G40" s="8"/>
      <c r="H40" s="17">
        <v>46015</v>
      </c>
      <c r="I40" s="5">
        <f>IF(C40=0,"",IF(H40=0,"未记录生产日期",IFERROR(H40+IFERROR(VLOOKUP(C40,产品数据!$B:$F,5,FALSE),"未录入生产日期"),"未写入保质期")))</f>
        <v>46375</v>
      </c>
    </row>
    <row r="41" spans="1:9">
      <c r="A41" s="8">
        <f t="shared" ref="A41:A50" si="4">ROW()-1</f>
        <v>40</v>
      </c>
      <c r="B41" s="17">
        <v>46057</v>
      </c>
      <c r="C41" s="16" t="s">
        <v>41</v>
      </c>
      <c r="D41" s="8" t="str">
        <f>IFERROR(VLOOKUP(C41,产品数据!$B:$D,2,FALSE),"")</f>
        <v>5l/*4桶/箱</v>
      </c>
      <c r="E41" s="8">
        <v>24</v>
      </c>
      <c r="F41" s="8" t="str">
        <f>IFERROR(VLOOKUP(C41,产品数据!$B:$D,3,FALSE),"")</f>
        <v>桶</v>
      </c>
      <c r="G41" s="8"/>
      <c r="H41" s="17">
        <v>45927</v>
      </c>
      <c r="I41" s="5">
        <f>IF(C41=0,"",IF(H41=0,"未记录生产日期",IFERROR(H41+IFERROR(VLOOKUP(C41,产品数据!$B:$F,5,FALSE),"未录入生产日期"),"未写入保质期")))</f>
        <v>46467</v>
      </c>
    </row>
    <row r="42" spans="1:9">
      <c r="A42" s="8">
        <f t="shared" si="4"/>
        <v>41</v>
      </c>
      <c r="B42" s="17">
        <v>46057</v>
      </c>
      <c r="C42" s="16" t="s">
        <v>41</v>
      </c>
      <c r="D42" s="8" t="str">
        <f>IFERROR(VLOOKUP(C42,产品数据!$B:$D,2,FALSE),"")</f>
        <v>5l/*4桶/箱</v>
      </c>
      <c r="E42" s="8">
        <v>8</v>
      </c>
      <c r="F42" s="8" t="str">
        <f>IFERROR(VLOOKUP(C42,产品数据!$B:$D,3,FALSE),"")</f>
        <v>桶</v>
      </c>
      <c r="G42" s="8"/>
      <c r="H42" s="17">
        <v>45970</v>
      </c>
      <c r="I42" s="5">
        <f>IF(C42=0,"",IF(H42=0,"未记录生产日期",IFERROR(H42+IFERROR(VLOOKUP(C42,产品数据!$B:$F,5,FALSE),"未录入生产日期"),"未写入保质期")))</f>
        <v>46510</v>
      </c>
    </row>
    <row r="43" spans="1:9">
      <c r="A43" s="8">
        <f t="shared" si="4"/>
        <v>42</v>
      </c>
      <c r="B43" s="17">
        <v>46057</v>
      </c>
      <c r="C43" s="16" t="s">
        <v>41</v>
      </c>
      <c r="D43" s="8" t="str">
        <f>IFERROR(VLOOKUP(C43,产品数据!$B:$D,2,FALSE),"")</f>
        <v>5l/*4桶/箱</v>
      </c>
      <c r="E43" s="8">
        <v>8</v>
      </c>
      <c r="F43" s="8" t="str">
        <f>IFERROR(VLOOKUP(C43,产品数据!$B:$D,3,FALSE),"")</f>
        <v>桶</v>
      </c>
      <c r="G43" s="8"/>
      <c r="H43" s="17">
        <v>46000</v>
      </c>
      <c r="I43" s="5">
        <f>IF(C43=0,"",IF(H43=0,"未记录生产日期",IFERROR(H43+IFERROR(VLOOKUP(C43,产品数据!$B:$F,5,FALSE),"未录入生产日期"),"未写入保质期")))</f>
        <v>46540</v>
      </c>
    </row>
    <row r="44" spans="1:9">
      <c r="A44" s="8">
        <f t="shared" si="4"/>
        <v>43</v>
      </c>
      <c r="B44" s="17">
        <v>46064</v>
      </c>
      <c r="C44" s="16" t="s">
        <v>39</v>
      </c>
      <c r="D44" s="8" t="str">
        <f>IFERROR(VLOOKUP(C44,产品数据!$B:$D,2,FALSE),"")</f>
        <v>10千克/袋</v>
      </c>
      <c r="E44" s="8">
        <v>20</v>
      </c>
      <c r="F44" s="8" t="str">
        <f>IFERROR(VLOOKUP(C44,产品数据!$B:$D,3,FALSE),"")</f>
        <v>袋</v>
      </c>
      <c r="G44" s="8"/>
      <c r="H44" s="17">
        <v>46040</v>
      </c>
      <c r="I44" s="5">
        <f>IF(C44=0,"",IF(H44=0,"未记录生产日期",IFERROR(H44+IFERROR(VLOOKUP(C44,产品数据!$B:$F,5,FALSE),"未录入生产日期"),"未写入保质期")))</f>
        <v>46400</v>
      </c>
    </row>
    <row r="45" spans="1:9">
      <c r="A45" s="8">
        <f t="shared" si="4"/>
        <v>44</v>
      </c>
      <c r="B45" s="17">
        <v>46064</v>
      </c>
      <c r="C45" s="16" t="s">
        <v>41</v>
      </c>
      <c r="D45" s="8" t="str">
        <f>IFERROR(VLOOKUP(C45,产品数据!$B:$D,2,FALSE),"")</f>
        <v>5l/*4桶/箱</v>
      </c>
      <c r="E45" s="8">
        <v>20</v>
      </c>
      <c r="F45" s="8" t="str">
        <f>IFERROR(VLOOKUP(C45,产品数据!$B:$D,3,FALSE),"")</f>
        <v>桶</v>
      </c>
      <c r="G45" s="8"/>
      <c r="H45" s="17">
        <v>46047</v>
      </c>
      <c r="I45" s="5">
        <f>IF(C45=0,"",IF(H45=0,"未记录生产日期",IFERROR(H45+IFERROR(VLOOKUP(C45,产品数据!$B:$F,5,FALSE),"未录入生产日期"),"未写入保质期")))</f>
        <v>46587</v>
      </c>
    </row>
    <row r="46" spans="1:9">
      <c r="A46" s="8">
        <f t="shared" si="4"/>
        <v>45</v>
      </c>
      <c r="B46" s="17">
        <v>46064</v>
      </c>
      <c r="C46" s="16" t="s">
        <v>42</v>
      </c>
      <c r="D46" s="8" t="str">
        <f>IFERROR(VLOOKUP(C46,产品数据!$B:$D,2,FALSE),"")</f>
        <v>1.68L*6壶</v>
      </c>
      <c r="E46" s="8">
        <v>6</v>
      </c>
      <c r="F46" s="8" t="str">
        <f>IFERROR(VLOOKUP(C46,产品数据!$B:$D,3,FALSE),"")</f>
        <v>壶</v>
      </c>
      <c r="G46" s="8"/>
      <c r="H46" s="17">
        <v>45993</v>
      </c>
      <c r="I46" s="5">
        <f>IF(C46=0,"",IF(H46=0,"未记录生产日期",IFERROR(H46+IFERROR(VLOOKUP(C46,产品数据!$B:$F,5,FALSE),"未录入生产日期"),"未写入保质期")))</f>
        <v>46533</v>
      </c>
    </row>
    <row r="47" spans="1:9">
      <c r="A47" s="8">
        <f t="shared" si="4"/>
        <v>46</v>
      </c>
      <c r="B47" s="17">
        <v>46064</v>
      </c>
      <c r="C47" s="16" t="s">
        <v>42</v>
      </c>
      <c r="D47" s="8" t="str">
        <f>IFERROR(VLOOKUP(C47,产品数据!$B:$D,2,FALSE),"")</f>
        <v>1.68L*6壶</v>
      </c>
      <c r="E47" s="8">
        <v>6</v>
      </c>
      <c r="F47" s="8" t="str">
        <f>IFERROR(VLOOKUP(C47,产品数据!$B:$D,3,FALSE),"")</f>
        <v>壶</v>
      </c>
      <c r="G47" s="8"/>
      <c r="H47" s="17">
        <v>45994</v>
      </c>
      <c r="I47" s="5">
        <f>IF(C47=0,"",IF(H47=0,"未记录生产日期",IFERROR(H47+IFERROR(VLOOKUP(C47,产品数据!$B:$F,5,FALSE),"未录入生产日期"),"未写入保质期")))</f>
        <v>46534</v>
      </c>
    </row>
    <row r="48" spans="1:9">
      <c r="A48" s="8">
        <f t="shared" si="4"/>
        <v>47</v>
      </c>
      <c r="B48" s="17">
        <v>46064</v>
      </c>
      <c r="C48" s="16" t="s">
        <v>56</v>
      </c>
      <c r="D48" s="8" t="str">
        <f>IFERROR(VLOOKUP(C48,产品数据!$B:$D,2,FALSE),"")</f>
        <v>178g*50包/箱</v>
      </c>
      <c r="E48" s="8">
        <v>50</v>
      </c>
      <c r="F48" s="8" t="str">
        <f>IFERROR(VLOOKUP(C48,产品数据!$B:$D,3,FALSE),"")</f>
        <v>包</v>
      </c>
      <c r="G48" s="8"/>
      <c r="H48" s="17">
        <v>46030</v>
      </c>
      <c r="I48" s="5">
        <f>IF(C48=0,"",IF(H48=0,"未记录生产日期",IFERROR(H48+IFERROR(VLOOKUP(C48,产品数据!$B:$F,5,FALSE),"未录入生产日期"),"未写入保质期")))</f>
        <v>46390</v>
      </c>
    </row>
    <row r="49" spans="1:10">
      <c r="A49" s="8">
        <f t="shared" si="4"/>
        <v>48</v>
      </c>
      <c r="B49" s="17">
        <v>46084</v>
      </c>
      <c r="C49" s="16" t="s">
        <v>57</v>
      </c>
      <c r="D49" s="8" t="str">
        <f>IFERROR(VLOOKUP(C49,产品数据!$B:$D,2,FALSE),"")</f>
        <v>400g*25包/箱</v>
      </c>
      <c r="E49" s="8">
        <v>25</v>
      </c>
      <c r="F49" s="8" t="str">
        <f>IFERROR(VLOOKUP(C49,产品数据!$B:$D,3,FALSE),"")</f>
        <v>包</v>
      </c>
      <c r="G49" s="8"/>
      <c r="H49" s="17">
        <v>45953</v>
      </c>
      <c r="I49" s="5">
        <f>IF(C49=0,"",IF(H49=0,"未记录生产日期",IFERROR(H49+IFERROR(VLOOKUP(C49,产品数据!$B:$F,5,FALSE),"未录入生产日期"),"未写入保质期")))</f>
        <v>46493</v>
      </c>
    </row>
    <row r="50" spans="1:10">
      <c r="A50" s="8">
        <f t="shared" si="4"/>
        <v>49</v>
      </c>
      <c r="B50" s="17">
        <v>46084</v>
      </c>
      <c r="C50" s="16" t="s">
        <v>54</v>
      </c>
      <c r="D50" s="8" t="str">
        <f>IFERROR(VLOOKUP(C50,产品数据!$B:$D,2,FALSE),"")</f>
        <v>1kg*6瓶/箱</v>
      </c>
      <c r="E50" s="8">
        <v>6</v>
      </c>
      <c r="F50" s="8" t="str">
        <f>IFERROR(VLOOKUP(C50,产品数据!$B:$D,3,FALSE),"")</f>
        <v>瓶</v>
      </c>
      <c r="G50" s="8"/>
      <c r="H50" s="17">
        <v>46011</v>
      </c>
      <c r="I50" s="5">
        <f>IF(C50=0,"",IF(H50=0,"未记录生产日期",IFERROR(H50+IFERROR(VLOOKUP(C50,产品数据!$B:$F,5,FALSE),"未录入生产日期"),"未写入保质期")))</f>
        <v>46461</v>
      </c>
    </row>
    <row r="51" spans="1:10">
      <c r="A51" s="8">
        <f t="shared" ref="A51:A60" si="5">ROW()-1</f>
        <v>50</v>
      </c>
      <c r="B51" s="17">
        <v>46084</v>
      </c>
      <c r="C51" s="16" t="s">
        <v>42</v>
      </c>
      <c r="D51" s="8" t="str">
        <f>IFERROR(VLOOKUP(C51,产品数据!$B:$D,2,FALSE),"")</f>
        <v>1.68L*6壶</v>
      </c>
      <c r="E51" s="8">
        <v>6</v>
      </c>
      <c r="F51" s="8" t="str">
        <f>IFERROR(VLOOKUP(C51,产品数据!$B:$D,3,FALSE),"")</f>
        <v>壶</v>
      </c>
      <c r="G51" s="8"/>
      <c r="H51" s="17">
        <v>45993</v>
      </c>
      <c r="I51" s="5">
        <f>IF(C51=0,"",IF(H51=0,"未记录生产日期",IFERROR(H51+IFERROR(VLOOKUP(C51,产品数据!$B:$F,5,FALSE),"未录入生产日期"),"未写入保质期")))</f>
        <v>46533</v>
      </c>
    </row>
    <row r="52" spans="1:10">
      <c r="A52" s="8">
        <f t="shared" si="5"/>
        <v>51</v>
      </c>
      <c r="B52" s="17">
        <v>46084</v>
      </c>
      <c r="C52" s="16" t="s">
        <v>40</v>
      </c>
      <c r="D52" s="8" t="str">
        <f>IFERROR(VLOOKUP(C52,产品数据!$B:$D,2,FALSE),"")</f>
        <v>10kg/包</v>
      </c>
      <c r="E52" s="8">
        <v>15</v>
      </c>
      <c r="F52" s="8" t="str">
        <f>IFERROR(VLOOKUP(C52,产品数据!$B:$D,3,FALSE),"")</f>
        <v>包</v>
      </c>
      <c r="G52" s="8"/>
      <c r="H52" s="17">
        <v>45991</v>
      </c>
      <c r="I52" s="5">
        <f>IF(C52=0,"",IF(H52=0,"未记录生产日期",IFERROR(H52+IFERROR(VLOOKUP(C52,产品数据!$B:$F,5,FALSE),"未录入生产日期"),"未写入保质期")))</f>
        <v>46351</v>
      </c>
    </row>
    <row r="53" spans="1:10">
      <c r="A53" s="8">
        <f t="shared" si="5"/>
        <v>52</v>
      </c>
      <c r="B53" s="17">
        <v>46087</v>
      </c>
      <c r="C53" s="16" t="s">
        <v>54</v>
      </c>
      <c r="D53" s="8" t="str">
        <f>IFERROR(VLOOKUP(C53,产品数据!$B:$D,2,FALSE),"")</f>
        <v>1kg*6瓶/箱</v>
      </c>
      <c r="E53" s="8">
        <v>6</v>
      </c>
      <c r="F53" s="8" t="str">
        <f>IFERROR(VLOOKUP(C53,产品数据!$B:$D,3,FALSE),"")</f>
        <v>瓶</v>
      </c>
      <c r="G53" s="8"/>
      <c r="H53" s="17">
        <v>46033</v>
      </c>
      <c r="I53" s="5">
        <f>IF(C53=0,"",IF(H53=0,"未记录生产日期",IFERROR(H53+IFERROR(VLOOKUP(C53,产品数据!$B:$F,5,FALSE),"未录入生产日期"),"未写入保质期")))</f>
        <v>46483</v>
      </c>
    </row>
    <row r="54" spans="1:10">
      <c r="A54" s="8">
        <f t="shared" si="5"/>
        <v>53</v>
      </c>
      <c r="B54" s="17">
        <v>46087</v>
      </c>
      <c r="C54" s="16" t="s">
        <v>41</v>
      </c>
      <c r="D54" s="8" t="str">
        <f>IFERROR(VLOOKUP(C54,产品数据!$B:$D,2,FALSE),"")</f>
        <v>5l/*4桶/箱</v>
      </c>
      <c r="E54" s="8">
        <v>31</v>
      </c>
      <c r="F54" s="8" t="str">
        <f>IFERROR(VLOOKUP(C54,产品数据!$B:$D,3,FALSE),"")</f>
        <v>桶</v>
      </c>
      <c r="G54" s="8"/>
      <c r="H54" s="17">
        <v>46021</v>
      </c>
      <c r="I54" s="5">
        <f>IF(C54=0,"",IF(H54=0,"未记录生产日期",IFERROR(H54+IFERROR(VLOOKUP(C54,产品数据!$B:$F,5,FALSE),"未录入生产日期"),"未写入保质期")))</f>
        <v>46561</v>
      </c>
    </row>
    <row r="55" spans="1:10">
      <c r="A55" s="8">
        <f t="shared" si="5"/>
        <v>54</v>
      </c>
      <c r="B55" s="17">
        <v>46087</v>
      </c>
      <c r="C55" s="16" t="s">
        <v>41</v>
      </c>
      <c r="D55" s="8" t="str">
        <f>IFERROR(VLOOKUP(C55,产品数据!$B:$D,2,FALSE),"")</f>
        <v>5l/*4桶/箱</v>
      </c>
      <c r="E55" s="8">
        <v>24</v>
      </c>
      <c r="F55" s="8" t="str">
        <f>IFERROR(VLOOKUP(C55,产品数据!$B:$D,3,FALSE),"")</f>
        <v>桶</v>
      </c>
      <c r="G55" s="8"/>
      <c r="H55" s="17">
        <v>46047</v>
      </c>
      <c r="I55" s="5">
        <f>IF(C55=0,"",IF(H55=0,"未记录生产日期",IFERROR(H55+IFERROR(VLOOKUP(C55,产品数据!$B:$F,5,FALSE),"未录入生产日期"),"未写入保质期")))</f>
        <v>46587</v>
      </c>
    </row>
    <row r="56" spans="1:10">
      <c r="A56" s="8">
        <f t="shared" si="5"/>
        <v>55</v>
      </c>
      <c r="B56" s="17">
        <v>46087</v>
      </c>
      <c r="C56" s="16" t="s">
        <v>39</v>
      </c>
      <c r="D56" s="8" t="str">
        <f>IFERROR(VLOOKUP(C56,产品数据!$B:$D,2,FALSE),"")</f>
        <v>10千克/袋</v>
      </c>
      <c r="E56" s="8">
        <v>20</v>
      </c>
      <c r="F56" s="8" t="str">
        <f>IFERROR(VLOOKUP(C56,产品数据!$B:$D,3,FALSE),"")</f>
        <v>袋</v>
      </c>
      <c r="G56" s="8"/>
      <c r="H56" s="17">
        <v>45676</v>
      </c>
      <c r="I56" s="5">
        <f>IF(C56=0,"",IF(H56=0,"未记录生产日期",IFERROR(H56+IFERROR(VLOOKUP(C56,产品数据!$B:$F,5,FALSE),"未录入生产日期"),"未写入保质期")))</f>
        <v>46036</v>
      </c>
    </row>
    <row r="57" spans="1:10">
      <c r="A57" s="8">
        <f t="shared" si="5"/>
        <v>56</v>
      </c>
      <c r="B57" s="17">
        <v>46090</v>
      </c>
      <c r="C57" s="16" t="s">
        <v>63</v>
      </c>
      <c r="D57" s="8" t="str">
        <f>IFERROR(VLOOKUP(C57,产品数据!$B:$D,2,FALSE),"")</f>
        <v>280g/包</v>
      </c>
      <c r="E57" s="8">
        <v>270</v>
      </c>
      <c r="F57" s="8" t="str">
        <f>IFERROR(VLOOKUP(C57,产品数据!$B:$D,3,FALSE),"")</f>
        <v>包</v>
      </c>
      <c r="G57" s="8"/>
      <c r="H57" s="17">
        <v>46018</v>
      </c>
      <c r="I57" s="5">
        <f>IF(C57=0,"",IF(H57=0,"未记录生产日期",IFERROR(H57+IFERROR(VLOOKUP(C57,产品数据!$B:$F,5,FALSE),"未录入生产日期"),"未写入保质期")))</f>
        <v>47818</v>
      </c>
      <c r="J57" s="18">
        <v>46009</v>
      </c>
    </row>
    <row r="58" spans="1:10">
      <c r="A58" s="8">
        <f t="shared" si="5"/>
        <v>57</v>
      </c>
      <c r="B58" s="17">
        <v>46090</v>
      </c>
      <c r="C58" s="16" t="s">
        <v>40</v>
      </c>
      <c r="D58" s="8" t="str">
        <f>IFERROR(VLOOKUP(C58,产品数据!$B:$D,2,FALSE),"")</f>
        <v>10kg/包</v>
      </c>
      <c r="E58" s="8">
        <v>6</v>
      </c>
      <c r="F58" s="8" t="str">
        <f>IFERROR(VLOOKUP(C58,产品数据!$B:$D,3,FALSE),"")</f>
        <v>包</v>
      </c>
      <c r="G58" s="8"/>
      <c r="H58" s="17">
        <v>45991</v>
      </c>
      <c r="I58" s="5">
        <f>IF(C58=0,"",IF(H58=0,"未记录生产日期",IFERROR(H58+IFERROR(VLOOKUP(C58,产品数据!$B:$F,5,FALSE),"未录入生产日期"),"未写入保质期")))</f>
        <v>46351</v>
      </c>
    </row>
    <row r="59" spans="1:10">
      <c r="A59" s="8">
        <f t="shared" si="5"/>
        <v>58</v>
      </c>
      <c r="B59" s="17">
        <v>46090</v>
      </c>
      <c r="C59" s="16" t="s">
        <v>56</v>
      </c>
      <c r="D59" s="8" t="str">
        <f>IFERROR(VLOOKUP(C59,产品数据!$B:$D,2,FALSE),"")</f>
        <v>178g*50包/箱</v>
      </c>
      <c r="E59" s="8">
        <v>150</v>
      </c>
      <c r="F59" s="8" t="str">
        <f>IFERROR(VLOOKUP(C59,产品数据!$B:$D,3,FALSE),"")</f>
        <v>包</v>
      </c>
      <c r="G59" s="8"/>
      <c r="H59" s="17">
        <v>46030</v>
      </c>
      <c r="I59" s="5">
        <f>IF(C59=0,"",IF(H59=0,"未记录生产日期",IFERROR(H59+IFERROR(VLOOKUP(C59,产品数据!$B:$F,5,FALSE),"未录入生产日期"),"未写入保质期")))</f>
        <v>46390</v>
      </c>
    </row>
    <row r="60" spans="1:10">
      <c r="A60" s="8">
        <f t="shared" si="5"/>
        <v>59</v>
      </c>
      <c r="B60" s="17">
        <v>46090</v>
      </c>
      <c r="C60" s="16" t="s">
        <v>57</v>
      </c>
      <c r="D60" s="8" t="str">
        <f>IFERROR(VLOOKUP(C60,产品数据!$B:$D,2,FALSE),"")</f>
        <v>400g*25包/箱</v>
      </c>
      <c r="E60" s="8">
        <v>50</v>
      </c>
      <c r="F60" s="8" t="str">
        <f>IFERROR(VLOOKUP(C60,产品数据!$B:$D,3,FALSE),"")</f>
        <v>包</v>
      </c>
      <c r="G60" s="8"/>
      <c r="H60" s="17">
        <v>46034</v>
      </c>
      <c r="I60" s="5">
        <f>IF(C60=0,"",IF(H60=0,"未记录生产日期",IFERROR(H60+IFERROR(VLOOKUP(C60,产品数据!$B:$F,5,FALSE),"未录入生产日期"),"未写入保质期")))</f>
        <v>46574</v>
      </c>
    </row>
    <row r="61" spans="1:10">
      <c r="A61" s="8">
        <f t="shared" ref="A61:A70" si="6">ROW()-1</f>
        <v>60</v>
      </c>
      <c r="B61" s="17">
        <v>46090</v>
      </c>
      <c r="C61" s="16" t="s">
        <v>44</v>
      </c>
      <c r="D61" s="8" t="str">
        <f>IFERROR(VLOOKUP(C61,产品数据!$B:$D,2,FALSE),"")</f>
        <v>1.9升/瓶*6瓶/箱</v>
      </c>
      <c r="E61" s="8">
        <v>30</v>
      </c>
      <c r="F61" s="8" t="str">
        <f>IFERROR(VLOOKUP(C61,产品数据!$B:$D,3,FALSE),"")</f>
        <v>瓶</v>
      </c>
      <c r="G61" s="8"/>
      <c r="H61" s="17">
        <v>46002</v>
      </c>
      <c r="I61" s="5">
        <f>IF(C61=0,"",IF(H61=0,"未记录生产日期",IFERROR(H61+IFERROR(VLOOKUP(C61,产品数据!$B:$F,5,FALSE),"未录入生产日期"),"未写入保质期")))</f>
        <v>46542</v>
      </c>
    </row>
    <row r="62" spans="1:10">
      <c r="A62" s="8">
        <f t="shared" si="6"/>
        <v>61</v>
      </c>
      <c r="B62" s="17">
        <v>46090</v>
      </c>
      <c r="C62" s="16" t="s">
        <v>52</v>
      </c>
      <c r="D62" s="8" t="str">
        <f>IFERROR(VLOOKUP(C62,产品数据!$B:$D,2,FALSE),"")</f>
        <v>705ml/瓶</v>
      </c>
      <c r="E62" s="8">
        <v>37</v>
      </c>
      <c r="F62" s="8" t="str">
        <f>IFERROR(VLOOKUP(C62,产品数据!$B:$D,3,FALSE),"")</f>
        <v>瓶</v>
      </c>
      <c r="G62" s="8"/>
      <c r="H62" s="17">
        <v>45976</v>
      </c>
      <c r="I62" s="5">
        <f>IF(C62=0,"",IF(H62=0,"未记录生产日期",IFERROR(H62+IFERROR(VLOOKUP(C62,产品数据!$B:$F,5,FALSE),"未录入生产日期"),"未写入保质期")))</f>
        <v>46696</v>
      </c>
    </row>
    <row r="63" spans="1:10">
      <c r="A63" s="8">
        <f t="shared" si="6"/>
        <v>62</v>
      </c>
      <c r="B63" s="17">
        <v>46090</v>
      </c>
      <c r="C63" s="16" t="s">
        <v>52</v>
      </c>
      <c r="D63" s="8" t="str">
        <f>IFERROR(VLOOKUP(C63,产品数据!$B:$D,2,FALSE),"")</f>
        <v>705ml/瓶</v>
      </c>
      <c r="E63" s="8">
        <v>7</v>
      </c>
      <c r="F63" s="8" t="str">
        <f>IFERROR(VLOOKUP(C63,产品数据!$B:$D,3,FALSE),"")</f>
        <v>瓶</v>
      </c>
      <c r="G63" s="8"/>
      <c r="H63" s="17">
        <v>46035</v>
      </c>
      <c r="I63" s="5">
        <f>IF(C63=0,"",IF(H63=0,"未记录生产日期",IFERROR(H63+IFERROR(VLOOKUP(C63,产品数据!$B:$F,5,FALSE),"未录入生产日期"),"未写入保质期")))</f>
        <v>46755</v>
      </c>
    </row>
    <row r="64" spans="1:10">
      <c r="A64" s="8">
        <f t="shared" si="6"/>
        <v>63</v>
      </c>
      <c r="B64" s="17">
        <v>46090</v>
      </c>
      <c r="C64" s="16" t="s">
        <v>61</v>
      </c>
      <c r="D64" s="8" t="str">
        <f>IFERROR(VLOOKUP(C64,产品数据!$B:$D,2,FALSE),"")</f>
        <v>2.5kg/包</v>
      </c>
      <c r="E64" s="8">
        <v>16</v>
      </c>
      <c r="F64" s="8" t="str">
        <f>IFERROR(VLOOKUP(C64,产品数据!$B:$D,3,FALSE),"")</f>
        <v>包</v>
      </c>
      <c r="G64" s="8"/>
      <c r="H64" s="17">
        <v>46028</v>
      </c>
      <c r="I64" s="5">
        <f>IF(C64=0,"",IF(H64=0,"未记录生产日期",IFERROR(H64+IFERROR(VLOOKUP(C64,产品数据!$B:$F,5,FALSE),"未录入生产日期"),"未写入保质期")))</f>
        <v>46748</v>
      </c>
    </row>
    <row r="65" spans="1:9">
      <c r="A65" s="8">
        <f t="shared" si="6"/>
        <v>64</v>
      </c>
      <c r="B65" s="17">
        <v>46092</v>
      </c>
      <c r="C65" s="16" t="s">
        <v>42</v>
      </c>
      <c r="D65" s="8" t="str">
        <f>IFERROR(VLOOKUP(C65,产品数据!$B:$D,2,FALSE),"")</f>
        <v>1.68L*6壶</v>
      </c>
      <c r="E65" s="8">
        <v>6</v>
      </c>
      <c r="F65" s="8" t="str">
        <f>IFERROR(VLOOKUP(C65,产品数据!$B:$D,3,FALSE),"")</f>
        <v>壶</v>
      </c>
      <c r="G65" s="8"/>
      <c r="H65" s="17">
        <v>46022</v>
      </c>
      <c r="I65" s="5">
        <f>IF(C65=0,"",IF(H65=0,"未记录生产日期",IFERROR(H65+IFERROR(VLOOKUP(C65,产品数据!$B:$F,5,FALSE),"未录入生产日期"),"未写入保质期")))</f>
        <v>46562</v>
      </c>
    </row>
    <row r="66" spans="1:9">
      <c r="A66" s="8">
        <f t="shared" si="6"/>
        <v>65</v>
      </c>
      <c r="B66" s="17">
        <v>46092</v>
      </c>
      <c r="C66" s="16" t="s">
        <v>43</v>
      </c>
      <c r="D66" s="8" t="str">
        <f>IFERROR(VLOOKUP(C66,产品数据!$B:$D,2,FALSE),"")</f>
        <v>1.9升/瓶*6瓶/箱</v>
      </c>
      <c r="E66" s="8">
        <v>6</v>
      </c>
      <c r="F66" s="8" t="str">
        <f>IFERROR(VLOOKUP(C66,产品数据!$B:$D,3,FALSE),"")</f>
        <v>瓶</v>
      </c>
      <c r="G66" s="8"/>
      <c r="H66" s="17">
        <v>45947</v>
      </c>
      <c r="I66" s="5">
        <f>IF(C66=0,"",IF(H66=0,"未记录生产日期",IFERROR(H66+IFERROR(VLOOKUP(C66,产品数据!$B:$F,5,FALSE),"未录入生产日期"),"未写入保质期")))</f>
        <v>46487</v>
      </c>
    </row>
    <row r="67" spans="1:9">
      <c r="A67" s="8">
        <f t="shared" si="6"/>
        <v>66</v>
      </c>
      <c r="B67" s="17">
        <v>46092</v>
      </c>
      <c r="C67" s="16" t="s">
        <v>45</v>
      </c>
      <c r="D67" s="8" t="str">
        <f>IFERROR(VLOOKUP(C67,产品数据!$B:$D,2,FALSE),"")</f>
        <v>1.9kg/瓶</v>
      </c>
      <c r="E67" s="8">
        <v>6</v>
      </c>
      <c r="F67" s="8" t="str">
        <f>IFERROR(VLOOKUP(C67,产品数据!$B:$D,3,FALSE),"")</f>
        <v>瓶</v>
      </c>
      <c r="G67" s="8"/>
      <c r="H67" s="17">
        <v>45972</v>
      </c>
      <c r="I67" s="5">
        <f>IF(C67=0,"",IF(H67=0,"未记录生产日期",IFERROR(H67+IFERROR(VLOOKUP(C67,产品数据!$B:$F,5,FALSE),"未录入生产日期"),"未写入保质期")))</f>
        <v>46512</v>
      </c>
    </row>
    <row r="68" spans="1:9">
      <c r="A68" s="8">
        <f t="shared" si="6"/>
        <v>67</v>
      </c>
      <c r="B68" s="17">
        <v>46092</v>
      </c>
      <c r="C68" s="16" t="s">
        <v>53</v>
      </c>
      <c r="D68" s="8" t="str">
        <f>IFERROR(VLOOKUP(C68,产品数据!$B:$D,2,FALSE),"")</f>
        <v>2.5L*6桶/箱</v>
      </c>
      <c r="E68" s="8">
        <v>12</v>
      </c>
      <c r="F68" s="8" t="str">
        <f>IFERROR(VLOOKUP(C68,产品数据!$B:$D,3,FALSE),"")</f>
        <v>桶</v>
      </c>
      <c r="G68" s="8"/>
      <c r="H68" s="17">
        <v>46058</v>
      </c>
      <c r="I68" s="5">
        <f>IF(C68=0,"",IF(H68=0,"未记录生产日期",IFERROR(H68+IFERROR(VLOOKUP(C68,产品数据!$B:$F,5,FALSE),"未录入生产日期"),"未写入保质期")))</f>
        <v>47138</v>
      </c>
    </row>
    <row r="69" spans="1:9">
      <c r="A69" s="8">
        <f t="shared" si="6"/>
        <v>68</v>
      </c>
      <c r="B69" s="17">
        <v>46092</v>
      </c>
      <c r="C69" s="16" t="s">
        <v>54</v>
      </c>
      <c r="D69" s="8" t="str">
        <f>IFERROR(VLOOKUP(C69,产品数据!$B:$D,2,FALSE),"")</f>
        <v>1kg*6瓶/箱</v>
      </c>
      <c r="E69" s="8">
        <v>6</v>
      </c>
      <c r="F69" s="8" t="str">
        <f>IFERROR(VLOOKUP(C69,产品数据!$B:$D,3,FALSE),"")</f>
        <v>瓶</v>
      </c>
      <c r="G69" s="8"/>
      <c r="H69" s="17">
        <v>46035</v>
      </c>
      <c r="I69" s="5">
        <f>IF(C69=0,"",IF(H69=0,"未记录生产日期",IFERROR(H69+IFERROR(VLOOKUP(C69,产品数据!$B:$F,5,FALSE),"未录入生产日期"),"未写入保质期")))</f>
        <v>46485</v>
      </c>
    </row>
    <row r="70" spans="1:9">
      <c r="A70" s="8">
        <f t="shared" si="6"/>
        <v>69</v>
      </c>
      <c r="B70" s="17">
        <v>46097</v>
      </c>
      <c r="C70" s="16" t="s">
        <v>96</v>
      </c>
      <c r="D70" s="8" t="str">
        <f>IFERROR(VLOOKUP(C70,产品数据!$B:$D,2,FALSE),"")</f>
        <v>10千克/袋</v>
      </c>
      <c r="E70" s="8">
        <v>20</v>
      </c>
      <c r="F70" s="8" t="str">
        <f>IFERROR(VLOOKUP(C70,产品数据!$B:$D,3,FALSE),"")</f>
        <v>袋</v>
      </c>
      <c r="G70" s="8"/>
      <c r="H70" s="17">
        <v>46084</v>
      </c>
      <c r="I70" s="5">
        <f>IF(C70=0,"",IF(H70=0,"未记录生产日期",IFERROR(H70+IFERROR(VLOOKUP(C70,产品数据!$B:$F,5,FALSE),"未录入生产日期"),"未写入保质期")))</f>
        <v>46444</v>
      </c>
    </row>
    <row r="71" spans="1:9">
      <c r="A71" s="8">
        <f t="shared" ref="A71:A80" si="7">ROW()-1</f>
        <v>70</v>
      </c>
      <c r="B71" s="17">
        <v>46104</v>
      </c>
      <c r="C71" s="16" t="s">
        <v>41</v>
      </c>
      <c r="D71" s="8" t="str">
        <f>IFERROR(VLOOKUP(C71,产品数据!$B:$D,2,FALSE),"")</f>
        <v>5l/*4桶/箱</v>
      </c>
      <c r="E71" s="8">
        <v>8</v>
      </c>
      <c r="F71" s="8" t="str">
        <f>IFERROR(VLOOKUP(C71,产品数据!$B:$D,3,FALSE),"")</f>
        <v>桶</v>
      </c>
      <c r="G71" s="8"/>
      <c r="H71" s="17">
        <v>46055</v>
      </c>
      <c r="I71" s="5">
        <f>IF(C71=0,"",IF(H71=0,"未记录生产日期",IFERROR(H71+IFERROR(VLOOKUP(C71,产品数据!$B:$F,5,FALSE),"未录入生产日期"),"未写入保质期")))</f>
        <v>46595</v>
      </c>
    </row>
    <row r="72" spans="1:9">
      <c r="A72" s="8">
        <f t="shared" si="7"/>
        <v>71</v>
      </c>
      <c r="B72" s="17">
        <v>46104</v>
      </c>
      <c r="C72" s="16" t="s">
        <v>41</v>
      </c>
      <c r="D72" s="8" t="str">
        <f>IFERROR(VLOOKUP(C72,产品数据!$B:$D,2,FALSE),"")</f>
        <v>5l/*4桶/箱</v>
      </c>
      <c r="E72" s="8">
        <v>12</v>
      </c>
      <c r="F72" s="8" t="str">
        <f>IFERROR(VLOOKUP(C72,产品数据!$B:$D,3,FALSE),"")</f>
        <v>桶</v>
      </c>
      <c r="G72" s="8"/>
      <c r="H72" s="17">
        <v>46046</v>
      </c>
      <c r="I72" s="5">
        <f>IF(C72=0,"",IF(H72=0,"未记录生产日期",IFERROR(H72+IFERROR(VLOOKUP(C72,产品数据!$B:$F,5,FALSE),"未录入生产日期"),"未写入保质期")))</f>
        <v>46586</v>
      </c>
    </row>
    <row r="73" spans="1:9">
      <c r="A73" s="8">
        <f t="shared" si="7"/>
        <v>72</v>
      </c>
      <c r="B73" s="17">
        <v>46104</v>
      </c>
      <c r="C73" s="16" t="s">
        <v>42</v>
      </c>
      <c r="D73" s="8" t="str">
        <f>IFERROR(VLOOKUP(C73,产品数据!$B:$D,2,FALSE),"")</f>
        <v>1.68L*6壶</v>
      </c>
      <c r="E73" s="8">
        <v>6</v>
      </c>
      <c r="F73" s="8" t="str">
        <f>IFERROR(VLOOKUP(C73,产品数据!$B:$D,3,FALSE),"")</f>
        <v>壶</v>
      </c>
      <c r="G73" s="8"/>
      <c r="H73" s="17">
        <v>46034</v>
      </c>
      <c r="I73" s="5">
        <f>IF(C73=0,"",IF(H73=0,"未记录生产日期",IFERROR(H73+IFERROR(VLOOKUP(C73,产品数据!$B:$F,5,FALSE),"未录入生产日期"),"未写入保质期")))</f>
        <v>46574</v>
      </c>
    </row>
    <row r="74" spans="1:9">
      <c r="A74" s="8">
        <f t="shared" si="7"/>
        <v>73</v>
      </c>
      <c r="B74" s="17">
        <v>46104</v>
      </c>
      <c r="C74" s="16" t="s">
        <v>42</v>
      </c>
      <c r="D74" s="8" t="str">
        <f>IFERROR(VLOOKUP(C74,产品数据!$B:$D,2,FALSE),"")</f>
        <v>1.68L*6壶</v>
      </c>
      <c r="E74" s="8">
        <v>24</v>
      </c>
      <c r="F74" s="8" t="str">
        <f>IFERROR(VLOOKUP(C74,产品数据!$B:$D,3,FALSE),"")</f>
        <v>壶</v>
      </c>
      <c r="G74" s="8"/>
      <c r="H74" s="17">
        <v>45982</v>
      </c>
      <c r="I74" s="5">
        <f>IF(C74=0,"",IF(H74=0,"未记录生产日期",IFERROR(H74+IFERROR(VLOOKUP(C74,产品数据!$B:$F,5,FALSE),"未录入生产日期"),"未写入保质期")))</f>
        <v>46522</v>
      </c>
    </row>
    <row r="75" spans="1:9">
      <c r="A75" s="8">
        <f t="shared" si="7"/>
        <v>74</v>
      </c>
      <c r="B75" s="17">
        <v>46104</v>
      </c>
      <c r="C75" s="16" t="s">
        <v>97</v>
      </c>
      <c r="D75" s="8" t="str">
        <f>IFERROR(VLOOKUP(C75,产品数据!$B:$D,2,FALSE),"")</f>
        <v>2.5L*6桶/箱</v>
      </c>
      <c r="E75" s="8">
        <v>12</v>
      </c>
      <c r="F75" s="8" t="str">
        <f>IFERROR(VLOOKUP(C75,产品数据!$B:$D,3,FALSE),"")</f>
        <v>桶</v>
      </c>
      <c r="G75" s="8"/>
      <c r="H75" s="17">
        <v>46027</v>
      </c>
      <c r="I75" s="5">
        <f>IF(C75=0,"",IF(H75=0,"未记录生产日期",IFERROR(H75+IFERROR(VLOOKUP(C75,产品数据!$B:$F,5,FALSE),"未录入生产日期"),"未写入保质期")))</f>
        <v>47107</v>
      </c>
    </row>
    <row r="76" spans="1:9">
      <c r="A76" s="8">
        <f t="shared" si="7"/>
        <v>75</v>
      </c>
      <c r="B76" s="17">
        <v>46104</v>
      </c>
      <c r="C76" s="16" t="s">
        <v>100</v>
      </c>
      <c r="D76" s="8" t="str">
        <f>IFERROR(VLOOKUP(C76,产品数据!$B:$D,2,FALSE),"")</f>
        <v>5kg/包</v>
      </c>
      <c r="E76" s="8">
        <v>50</v>
      </c>
      <c r="F76" s="8" t="str">
        <f>IFERROR(VLOOKUP(C76,产品数据!$B:$D,3,FALSE),"")</f>
        <v>包</v>
      </c>
      <c r="G76" s="8"/>
      <c r="H76" s="17">
        <v>46079</v>
      </c>
      <c r="I76" s="5">
        <f>IF(C76=0,"",IF(H76=0,"未记录生产日期",IFERROR(H76+IFERROR(VLOOKUP(C76,产品数据!$B:$F,5,FALSE),"未录入生产日期"),"未写入保质期")))</f>
        <v>46439</v>
      </c>
    </row>
    <row r="77" spans="1:9">
      <c r="A77" s="8">
        <f t="shared" si="7"/>
        <v>76</v>
      </c>
      <c r="B77" s="17">
        <v>46104</v>
      </c>
      <c r="C77" s="16" t="s">
        <v>98</v>
      </c>
      <c r="D77" s="8" t="str">
        <f>IFERROR(VLOOKUP(C77,产品数据!$B:$D,2,FALSE),"")</f>
        <v>360g/包</v>
      </c>
      <c r="E77" s="8">
        <v>5</v>
      </c>
      <c r="F77" s="8" t="str">
        <f>IFERROR(VLOOKUP(C77,产品数据!$B:$D,3,FALSE),"")</f>
        <v>包</v>
      </c>
      <c r="G77" s="8"/>
      <c r="H77" s="17">
        <v>46049</v>
      </c>
      <c r="I77" s="5">
        <f>IF(C77=0,"",IF(H77=0,"未记录生产日期",IFERROR(H77+IFERROR(VLOOKUP(C77,产品数据!$B:$F,5,FALSE),"未录入生产日期"),"未写入保质期")))</f>
        <v>46589</v>
      </c>
    </row>
    <row r="78" spans="1:9">
      <c r="A78" s="8">
        <f t="shared" si="7"/>
        <v>77</v>
      </c>
      <c r="B78" s="17">
        <v>46104</v>
      </c>
      <c r="C78" s="16" t="s">
        <v>96</v>
      </c>
      <c r="D78" s="8" t="str">
        <f>IFERROR(VLOOKUP(C78,产品数据!$B:$D,2,FALSE),"")</f>
        <v>10千克/袋</v>
      </c>
      <c r="E78" s="8">
        <v>5</v>
      </c>
      <c r="F78" s="8" t="str">
        <f>IFERROR(VLOOKUP(C78,产品数据!$B:$D,3,FALSE),"")</f>
        <v>袋</v>
      </c>
      <c r="G78" s="8"/>
      <c r="H78" s="17">
        <v>46084</v>
      </c>
      <c r="I78" s="5">
        <f>IF(C78=0,"",IF(H78=0,"未记录生产日期",IFERROR(H78+IFERROR(VLOOKUP(C78,产品数据!$B:$F,5,FALSE),"未录入生产日期"),"未写入保质期")))</f>
        <v>46444</v>
      </c>
    </row>
    <row r="79" spans="1:9">
      <c r="A79" s="8">
        <f t="shared" si="7"/>
        <v>78</v>
      </c>
      <c r="B79" s="17">
        <v>46105</v>
      </c>
      <c r="C79" s="16" t="s">
        <v>43</v>
      </c>
      <c r="D79" s="8" t="str">
        <f>IFERROR(VLOOKUP(C79,产品数据!$B:$D,2,FALSE),"")</f>
        <v>1.9升/瓶*6瓶/箱</v>
      </c>
      <c r="E79" s="8">
        <v>12</v>
      </c>
      <c r="F79" s="8" t="str">
        <f>IFERROR(VLOOKUP(C79,产品数据!$B:$D,3,FALSE),"")</f>
        <v>瓶</v>
      </c>
      <c r="G79" s="8"/>
      <c r="H79" s="17">
        <v>45947</v>
      </c>
      <c r="I79" s="5">
        <f>IF(C79=0,"",IF(H79=0,"未记录生产日期",IFERROR(H79+IFERROR(VLOOKUP(C79,产品数据!$B:$F,5,FALSE),"未录入生产日期"),"未写入保质期")))</f>
        <v>46487</v>
      </c>
    </row>
    <row r="80" spans="1:9">
      <c r="A80" s="8">
        <f t="shared" si="7"/>
        <v>79</v>
      </c>
      <c r="B80" s="17">
        <v>46105</v>
      </c>
      <c r="C80" s="16" t="s">
        <v>54</v>
      </c>
      <c r="D80" s="8" t="str">
        <f>IFERROR(VLOOKUP(C80,产品数据!$B:$D,2,FALSE),"")</f>
        <v>1kg*6瓶/箱</v>
      </c>
      <c r="E80" s="8">
        <v>12</v>
      </c>
      <c r="F80" s="8" t="str">
        <f>IFERROR(VLOOKUP(C80,产品数据!$B:$D,3,FALSE),"")</f>
        <v>瓶</v>
      </c>
      <c r="G80" s="8"/>
      <c r="H80" s="17">
        <v>46033</v>
      </c>
      <c r="I80" s="5">
        <f>IF(C80=0,"",IF(H80=0,"未记录生产日期",IFERROR(H80+IFERROR(VLOOKUP(C80,产品数据!$B:$F,5,FALSE),"未录入生产日期"),"未写入保质期")))</f>
        <v>46483</v>
      </c>
    </row>
    <row r="81" spans="1:9">
      <c r="A81" s="8">
        <f t="shared" ref="A81:A90" si="8">ROW()-1</f>
        <v>80</v>
      </c>
      <c r="B81" s="17">
        <v>46111</v>
      </c>
      <c r="C81" s="16" t="s">
        <v>41</v>
      </c>
      <c r="D81" s="8" t="str">
        <f>IFERROR(VLOOKUP(C81,产品数据!$B:$D,2,FALSE),"")</f>
        <v>5l/*4桶/箱</v>
      </c>
      <c r="E81" s="8">
        <v>40</v>
      </c>
      <c r="F81" s="8" t="str">
        <f>IFERROR(VLOOKUP(C81,产品数据!$B:$D,3,FALSE),"")</f>
        <v>桶</v>
      </c>
      <c r="G81" s="8"/>
      <c r="H81" s="17">
        <v>46055</v>
      </c>
      <c r="I81" s="5">
        <f>IF(C81=0,"",IF(H81=0,"未记录生产日期",IFERROR(H81+IFERROR(VLOOKUP(C81,产品数据!$B:$F,5,FALSE),"未录入生产日期"),"未写入保质期")))</f>
        <v>46595</v>
      </c>
    </row>
    <row r="82" spans="1:9">
      <c r="A82" s="8">
        <f t="shared" si="8"/>
        <v>81</v>
      </c>
      <c r="B82" s="17">
        <v>46113</v>
      </c>
      <c r="C82" s="16" t="s">
        <v>59</v>
      </c>
      <c r="D82" s="8" t="str">
        <f>IFERROR(VLOOKUP(C82,产品数据!$B:$D,2,FALSE),"")</f>
        <v>102克/包</v>
      </c>
      <c r="E82" s="8">
        <v>20</v>
      </c>
      <c r="F82" s="8" t="str">
        <f>IFERROR(VLOOKUP(C82,产品数据!$B:$D,3,FALSE),"")</f>
        <v>包</v>
      </c>
      <c r="G82" s="8"/>
      <c r="H82" s="17">
        <v>45956</v>
      </c>
      <c r="I82" s="5">
        <f>IF(C82=0,"",IF(H82=0,"未记录生产日期",IFERROR(H82+IFERROR(VLOOKUP(C82,产品数据!$B:$F,5,FALSE),"未录入生产日期"),"未写入保质期")))</f>
        <v>46496</v>
      </c>
    </row>
    <row r="83" spans="1:9">
      <c r="A83" s="8">
        <f t="shared" si="8"/>
        <v>82</v>
      </c>
      <c r="B83" s="17">
        <v>46114</v>
      </c>
      <c r="C83" s="16" t="s">
        <v>96</v>
      </c>
      <c r="D83" s="8" t="str">
        <f>IFERROR(VLOOKUP(C83,产品数据!$B:$D,2,FALSE),"")</f>
        <v>10千克/袋</v>
      </c>
      <c r="E83" s="8">
        <v>10</v>
      </c>
      <c r="F83" s="8" t="str">
        <f>IFERROR(VLOOKUP(C83,产品数据!$B:$D,3,FALSE),"")</f>
        <v>袋</v>
      </c>
      <c r="G83" s="8"/>
      <c r="H83" s="17">
        <v>46084</v>
      </c>
      <c r="I83" s="5">
        <f>IF(C83=0,"",IF(H83=0,"未记录生产日期",IFERROR(H83+IFERROR(VLOOKUP(C83,产品数据!$B:$F,5,FALSE),"未录入生产日期"),"未写入保质期")))</f>
        <v>46444</v>
      </c>
    </row>
    <row r="84" spans="1:9">
      <c r="A84" s="8">
        <f t="shared" si="8"/>
        <v>83</v>
      </c>
      <c r="B84" s="17">
        <v>46115</v>
      </c>
      <c r="C84" s="16" t="s">
        <v>102</v>
      </c>
      <c r="D84" s="8" t="str">
        <f>IFERROR(VLOOKUP(C84,产品数据!$B:$D,2,FALSE),"")</f>
        <v>410毫升*12瓶/箱</v>
      </c>
      <c r="E84" s="8">
        <v>9</v>
      </c>
      <c r="F84" s="8" t="str">
        <f>IFERROR(VLOOKUP(C84,产品数据!$B:$D,3,FALSE),"")</f>
        <v>瓶</v>
      </c>
      <c r="G84" s="8"/>
      <c r="H84" s="17">
        <v>45996</v>
      </c>
      <c r="I84" s="5">
        <f>IF(C84=0,"",IF(H84=0,"未记录生产日期",IFERROR(H84+IFERROR(VLOOKUP(C84,产品数据!$B:$F,5,FALSE),"未录入生产日期"),"未写入保质期")))</f>
        <v>46716</v>
      </c>
    </row>
    <row r="85" spans="1:9">
      <c r="A85" s="8">
        <f t="shared" si="8"/>
        <v>84</v>
      </c>
      <c r="B85" s="17">
        <v>46119</v>
      </c>
      <c r="C85" s="16" t="s">
        <v>96</v>
      </c>
      <c r="D85" s="8" t="str">
        <f>IFERROR(VLOOKUP(C85,产品数据!$B:$D,2,FALSE),"")</f>
        <v>10千克/袋</v>
      </c>
      <c r="E85" s="8">
        <v>17</v>
      </c>
      <c r="F85" s="8" t="str">
        <f>IFERROR(VLOOKUP(C85,产品数据!$B:$D,3,FALSE),"")</f>
        <v>袋</v>
      </c>
      <c r="G85" s="8"/>
      <c r="H85" s="17">
        <v>46084</v>
      </c>
      <c r="I85" s="5">
        <f>IF(C85=0,"",IF(H85=0,"未记录生产日期",IFERROR(H85+IFERROR(VLOOKUP(C85,产品数据!$B:$F,5,FALSE),"未录入生产日期"),"未写入保质期")))</f>
        <v>46444</v>
      </c>
    </row>
    <row r="86" spans="1:9">
      <c r="A86" s="8">
        <f t="shared" si="8"/>
        <v>85</v>
      </c>
      <c r="B86" s="17">
        <v>46119</v>
      </c>
      <c r="C86" s="16" t="s">
        <v>104</v>
      </c>
      <c r="D86" s="8" t="str">
        <f>IFERROR(VLOOKUP(C86,产品数据!$B:$D,2,FALSE),"")</f>
        <v>500ml*6瓶/箱</v>
      </c>
      <c r="E86" s="8">
        <v>30</v>
      </c>
      <c r="F86" s="8" t="str">
        <f>IFERROR(VLOOKUP(C86,产品数据!$B:$D,3,FALSE),"")</f>
        <v>瓶</v>
      </c>
      <c r="G86" s="8"/>
      <c r="H86" s="17">
        <v>46016</v>
      </c>
      <c r="I86" s="5">
        <f>IF(C86=0,"",IF(H86=0,"未记录生产日期",IFERROR(H86+IFERROR(VLOOKUP(C86,产品数据!$B:$F,5,FALSE),"未录入生产日期"),"未写入保质期")))</f>
        <v>47096</v>
      </c>
    </row>
    <row r="87" spans="1:9">
      <c r="A87" s="8">
        <f t="shared" si="8"/>
        <v>86</v>
      </c>
      <c r="B87" s="17">
        <v>46120</v>
      </c>
      <c r="C87" s="16" t="s">
        <v>45</v>
      </c>
      <c r="D87" s="8" t="str">
        <f>IFERROR(VLOOKUP(C87,产品数据!$B:$D,2,FALSE),"")</f>
        <v>1.9kg/瓶</v>
      </c>
      <c r="E87" s="8">
        <v>6</v>
      </c>
      <c r="F87" s="8" t="str">
        <f>IFERROR(VLOOKUP(C87,产品数据!$B:$D,3,FALSE),"")</f>
        <v>瓶</v>
      </c>
      <c r="G87" s="8"/>
      <c r="H87" s="17">
        <v>46033</v>
      </c>
      <c r="I87" s="5">
        <f>IF(C87=0,"",IF(H87=0,"未记录生产日期",IFERROR(H87+IFERROR(VLOOKUP(C87,产品数据!$B:$F,5,FALSE),"未录入生产日期"),"未写入保质期")))</f>
        <v>46573</v>
      </c>
    </row>
    <row r="88" spans="1:9">
      <c r="A88" s="8">
        <f t="shared" si="8"/>
        <v>87</v>
      </c>
      <c r="B88" s="17">
        <v>46120</v>
      </c>
      <c r="C88" s="16" t="s">
        <v>54</v>
      </c>
      <c r="D88" s="8" t="str">
        <f>IFERROR(VLOOKUP(C88,产品数据!$B:$D,2,FALSE),"")</f>
        <v>1kg*6瓶/箱</v>
      </c>
      <c r="E88" s="8">
        <v>12</v>
      </c>
      <c r="F88" s="8" t="str">
        <f>IFERROR(VLOOKUP(C88,产品数据!$B:$D,3,FALSE),"")</f>
        <v>瓶</v>
      </c>
      <c r="G88" s="8"/>
      <c r="H88" s="17">
        <v>46035</v>
      </c>
      <c r="I88" s="5">
        <f>IF(C88=0,"",IF(H88=0,"未记录生产日期",IFERROR(H88+IFERROR(VLOOKUP(C88,产品数据!$B:$F,5,FALSE),"未录入生产日期"),"未写入保质期")))</f>
        <v>46485</v>
      </c>
    </row>
    <row r="89" spans="1:9">
      <c r="A89" s="8">
        <f t="shared" si="8"/>
        <v>88</v>
      </c>
      <c r="B89" s="17">
        <v>46120</v>
      </c>
      <c r="C89" s="16" t="s">
        <v>58</v>
      </c>
      <c r="D89" s="8" t="str">
        <f>IFERROR(VLOOKUP(C89,产品数据!$B:$D,2,FALSE),"")</f>
        <v>200克/包</v>
      </c>
      <c r="E89" s="8">
        <v>5</v>
      </c>
      <c r="F89" s="8" t="str">
        <f>IFERROR(VLOOKUP(C89,产品数据!$B:$D,3,FALSE),"")</f>
        <v>包</v>
      </c>
      <c r="G89" s="8"/>
      <c r="H89" s="17">
        <v>46037</v>
      </c>
      <c r="I89" s="5">
        <f>IF(C89=0,"",IF(H89=0,"未记录生产日期",IFERROR(H89+IFERROR(VLOOKUP(C89,产品数据!$B:$F,5,FALSE),"未录入生产日期"),"未写入保质期")))</f>
        <v>46577</v>
      </c>
    </row>
    <row r="90" spans="1:9">
      <c r="A90" s="8">
        <f t="shared" si="8"/>
        <v>89</v>
      </c>
      <c r="B90" s="17">
        <v>46125</v>
      </c>
      <c r="C90" s="16" t="s">
        <v>41</v>
      </c>
      <c r="D90" s="8" t="str">
        <f>IFERROR(VLOOKUP(C90,产品数据!$B:$D,2,FALSE),"")</f>
        <v>5l/*4桶/箱</v>
      </c>
      <c r="E90" s="8">
        <v>20</v>
      </c>
      <c r="F90" s="8" t="str">
        <f>IFERROR(VLOOKUP(C90,产品数据!$B:$D,3,FALSE),"")</f>
        <v>桶</v>
      </c>
      <c r="G90" s="8"/>
      <c r="H90" s="17">
        <v>46103</v>
      </c>
      <c r="I90" s="5">
        <f>IF(C90=0,"",IF(H90=0,"未记录生产日期",IFERROR(H90+IFERROR(VLOOKUP(C90,产品数据!$B:$F,5,FALSE),"未录入生产日期"),"未写入保质期")))</f>
        <v>46643</v>
      </c>
    </row>
    <row r="91" spans="1:9">
      <c r="A91" s="8">
        <f t="shared" ref="A91:A100" si="9">ROW()-1</f>
        <v>90</v>
      </c>
      <c r="B91" s="17">
        <v>46125</v>
      </c>
      <c r="C91" s="16" t="s">
        <v>96</v>
      </c>
      <c r="D91" s="8" t="str">
        <f>IFERROR(VLOOKUP(C91,产品数据!$B:$D,2,FALSE),"")</f>
        <v>10千克/袋</v>
      </c>
      <c r="E91" s="8">
        <v>20</v>
      </c>
      <c r="F91" s="8" t="str">
        <f>IFERROR(VLOOKUP(C91,产品数据!$B:$D,3,FALSE),"")</f>
        <v>袋</v>
      </c>
      <c r="G91" s="8"/>
      <c r="H91" s="17">
        <v>46093</v>
      </c>
      <c r="I91" s="5">
        <f>IF(C91=0,"",IF(H91=0,"未记录生产日期",IFERROR(H91+IFERROR(VLOOKUP(C91,产品数据!$B:$F,5,FALSE),"未录入生产日期"),"未写入保质期")))</f>
        <v>46453</v>
      </c>
    </row>
    <row r="92" spans="1:9">
      <c r="A92" s="8">
        <f t="shared" si="9"/>
        <v>91</v>
      </c>
      <c r="B92" s="17">
        <v>46125</v>
      </c>
      <c r="C92" s="16" t="s">
        <v>57</v>
      </c>
      <c r="D92" s="8" t="str">
        <f>IFERROR(VLOOKUP(C92,产品数据!$B:$D,2,FALSE),"")</f>
        <v>400g*25包/箱</v>
      </c>
      <c r="E92" s="8">
        <v>25</v>
      </c>
      <c r="F92" s="8" t="str">
        <f>IFERROR(VLOOKUP(C92,产品数据!$B:$D,3,FALSE),"")</f>
        <v>包</v>
      </c>
      <c r="G92" s="8"/>
      <c r="H92" s="17">
        <v>46085</v>
      </c>
      <c r="I92" s="5">
        <f>IF(C92=0,"",IF(H92=0,"未记录生产日期",IFERROR(H92+IFERROR(VLOOKUP(C92,产品数据!$B:$F,5,FALSE),"未录入生产日期"),"未写入保质期")))</f>
        <v>46625</v>
      </c>
    </row>
    <row r="93" spans="1:9">
      <c r="A93" s="8">
        <f t="shared" si="9"/>
        <v>92</v>
      </c>
      <c r="B93" s="17">
        <v>46125</v>
      </c>
      <c r="C93" s="16" t="s">
        <v>100</v>
      </c>
      <c r="D93" s="8" t="str">
        <f>IFERROR(VLOOKUP(C93,产品数据!$B:$D,2,FALSE),"")</f>
        <v>5kg/包</v>
      </c>
      <c r="E93" s="8">
        <v>25</v>
      </c>
      <c r="F93" s="8" t="str">
        <f>IFERROR(VLOOKUP(C93,产品数据!$B:$D,3,FALSE),"")</f>
        <v>包</v>
      </c>
      <c r="G93" s="8"/>
      <c r="H93" s="17">
        <v>46052</v>
      </c>
      <c r="I93" s="5">
        <f>IF(C93=0,"",IF(H93=0,"未记录生产日期",IFERROR(H93+IFERROR(VLOOKUP(C93,产品数据!$B:$F,5,FALSE),"未录入生产日期"),"未写入保质期")))</f>
        <v>46412</v>
      </c>
    </row>
    <row r="94" spans="1:9">
      <c r="A94" s="8">
        <f t="shared" si="9"/>
        <v>93</v>
      </c>
      <c r="B94" s="17">
        <v>46132</v>
      </c>
      <c r="C94" s="16" t="s">
        <v>106</v>
      </c>
      <c r="D94" s="8" t="str">
        <f>IFERROR(VLOOKUP(C94,产品数据!$B:$D,2,FALSE),"")</f>
        <v>1.9升/瓶*6瓶/箱</v>
      </c>
      <c r="E94" s="8">
        <v>6</v>
      </c>
      <c r="F94" s="8" t="str">
        <f>IFERROR(VLOOKUP(C94,产品数据!$B:$D,3,FALSE),"")</f>
        <v>瓶</v>
      </c>
      <c r="G94" s="8"/>
      <c r="H94" s="17">
        <v>45986</v>
      </c>
      <c r="I94" s="5">
        <f>IF(C94=0,"",IF(H94=0,"未记录生产日期",IFERROR(H94+IFERROR(VLOOKUP(C94,产品数据!$B:$F,5,FALSE),"未录入生产日期"),"未写入保质期")))</f>
        <v>46526</v>
      </c>
    </row>
    <row r="95" spans="1:9">
      <c r="A95" s="8">
        <f t="shared" si="9"/>
        <v>94</v>
      </c>
      <c r="B95" s="17">
        <v>46132</v>
      </c>
      <c r="C95" s="16" t="s">
        <v>41</v>
      </c>
      <c r="D95" s="8" t="str">
        <f>IFERROR(VLOOKUP(C95,产品数据!$B:$D,2,FALSE),"")</f>
        <v>5l/*4桶/箱</v>
      </c>
      <c r="E95" s="8">
        <v>40</v>
      </c>
      <c r="F95" s="8" t="str">
        <f>IFERROR(VLOOKUP(C95,产品数据!$B:$D,3,FALSE),"")</f>
        <v>桶</v>
      </c>
      <c r="G95" s="8"/>
      <c r="H95" s="17">
        <v>46093</v>
      </c>
      <c r="I95" s="5">
        <f>IF(C95=0,"",IF(H95=0,"未记录生产日期",IFERROR(H95+IFERROR(VLOOKUP(C95,产品数据!$B:$F,5,FALSE),"未录入生产日期"),"未写入保质期")))</f>
        <v>46633</v>
      </c>
    </row>
    <row r="96" spans="1:9">
      <c r="A96" s="8">
        <f t="shared" si="9"/>
        <v>95</v>
      </c>
      <c r="B96" s="17">
        <v>46132</v>
      </c>
      <c r="C96" s="16" t="s">
        <v>107</v>
      </c>
      <c r="D96" s="8" t="str">
        <f>IFERROR(VLOOKUP(C96,产品数据!$B:$D,2,FALSE),"")</f>
        <v>1.43L/壶*6壶/箱</v>
      </c>
      <c r="E96" s="8">
        <v>6</v>
      </c>
      <c r="F96" s="8" t="str">
        <f>IFERROR(VLOOKUP(C96,产品数据!$B:$D,3,FALSE),"")</f>
        <v>壶</v>
      </c>
      <c r="G96" s="8"/>
      <c r="H96" s="17">
        <v>45996</v>
      </c>
      <c r="I96" s="5">
        <f>IF(C96=0,"",IF(H96=0,"未记录生产日期",IFERROR(H96+IFERROR(VLOOKUP(C96,产品数据!$B:$F,5,FALSE),"未录入生产日期"),"未写入保质期")))</f>
        <v>46536</v>
      </c>
    </row>
    <row r="97" spans="1:9">
      <c r="A97" s="8">
        <f t="shared" si="9"/>
        <v>96</v>
      </c>
      <c r="B97" s="17">
        <v>46132</v>
      </c>
      <c r="C97" s="16" t="s">
        <v>47</v>
      </c>
      <c r="D97" s="8" t="str">
        <f>IFERROR(VLOOKUP(C97,产品数据!$B:$D,2,FALSE),"")</f>
        <v>500克/瓶*24瓶/箱</v>
      </c>
      <c r="E97" s="8">
        <v>12</v>
      </c>
      <c r="F97" s="8" t="str">
        <f>IFERROR(VLOOKUP(C97,产品数据!$B:$D,3,FALSE),"")</f>
        <v>瓶</v>
      </c>
      <c r="G97" s="8"/>
      <c r="H97" s="17">
        <v>46056</v>
      </c>
      <c r="I97" s="5">
        <f>IF(C97=0,"",IF(H97=0,"未记录生产日期",IFERROR(H97+IFERROR(VLOOKUP(C97,产品数据!$B:$F,5,FALSE),"未录入生产日期"),"未写入保质期")))</f>
        <v>47136</v>
      </c>
    </row>
    <row r="98" spans="1:9">
      <c r="A98" s="8">
        <f t="shared" si="9"/>
        <v>97</v>
      </c>
      <c r="B98" s="17">
        <v>46132</v>
      </c>
      <c r="C98" s="16" t="s">
        <v>96</v>
      </c>
      <c r="D98" s="8" t="str">
        <f>IFERROR(VLOOKUP(C98,产品数据!$B:$D,2,FALSE),"")</f>
        <v>10千克/袋</v>
      </c>
      <c r="E98" s="8">
        <v>15</v>
      </c>
      <c r="F98" s="8" t="str">
        <f>IFERROR(VLOOKUP(C98,产品数据!$B:$D,3,FALSE),"")</f>
        <v>袋</v>
      </c>
      <c r="G98" s="8"/>
      <c r="H98" s="17">
        <v>46093</v>
      </c>
      <c r="I98" s="5">
        <f>IF(C98=0,"",IF(H98=0,"未记录生产日期",IFERROR(H98+IFERROR(VLOOKUP(C98,产品数据!$B:$F,5,FALSE),"未录入生产日期"),"未写入保质期")))</f>
        <v>46453</v>
      </c>
    </row>
    <row r="99" spans="1:9">
      <c r="A99" s="8">
        <f t="shared" si="9"/>
        <v>98</v>
      </c>
      <c r="B99" s="17">
        <v>46132</v>
      </c>
      <c r="C99" s="16" t="s">
        <v>98</v>
      </c>
      <c r="D99" s="8" t="str">
        <f>IFERROR(VLOOKUP(C99,产品数据!$B:$D,2,FALSE),"")</f>
        <v>360g/包</v>
      </c>
      <c r="E99" s="8">
        <v>10</v>
      </c>
      <c r="F99" s="8" t="str">
        <f>IFERROR(VLOOKUP(C99,产品数据!$B:$D,3,FALSE),"")</f>
        <v>包</v>
      </c>
      <c r="G99" s="8"/>
      <c r="H99" s="17">
        <v>46087</v>
      </c>
      <c r="I99" s="5">
        <f>IF(C99=0,"",IF(H99=0,"未记录生产日期",IFERROR(H99+IFERROR(VLOOKUP(C99,产品数据!$B:$F,5,FALSE),"未录入生产日期"),"未写入保质期")))</f>
        <v>46627</v>
      </c>
    </row>
    <row r="100" spans="1:9">
      <c r="A100" s="8">
        <f t="shared" si="9"/>
        <v>99</v>
      </c>
      <c r="B100" s="17">
        <v>46132</v>
      </c>
      <c r="C100" s="16" t="s">
        <v>104</v>
      </c>
      <c r="D100" s="8" t="str">
        <f>IFERROR(VLOOKUP(C100,产品数据!$B:$D,2,FALSE),"")</f>
        <v>500ml*6瓶/箱</v>
      </c>
      <c r="E100" s="8">
        <v>60</v>
      </c>
      <c r="F100" s="8" t="str">
        <f>IFERROR(VLOOKUP(C100,产品数据!$B:$D,3,FALSE),"")</f>
        <v>瓶</v>
      </c>
      <c r="G100" s="8"/>
      <c r="H100" s="17">
        <v>46016</v>
      </c>
      <c r="I100" s="5">
        <f>IF(C100=0,"",IF(H100=0,"未记录生产日期",IFERROR(H100+IFERROR(VLOOKUP(C100,产品数据!$B:$F,5,FALSE),"未录入生产日期"),"未写入保质期")))</f>
        <v>47096</v>
      </c>
    </row>
    <row r="101" spans="1:9">
      <c r="A101" s="8">
        <f t="shared" ref="A101:A110" si="10">ROW()-1</f>
        <v>100</v>
      </c>
      <c r="B101" s="17">
        <v>46132</v>
      </c>
      <c r="C101" s="16" t="s">
        <v>100</v>
      </c>
      <c r="D101" s="8" t="str">
        <f>IFERROR(VLOOKUP(C101,产品数据!$B:$D,2,FALSE),"")</f>
        <v>5kg/包</v>
      </c>
      <c r="E101" s="8">
        <v>25</v>
      </c>
      <c r="F101" s="8" t="str">
        <f>IFERROR(VLOOKUP(C101,产品数据!$B:$D,3,FALSE),"")</f>
        <v>包</v>
      </c>
      <c r="G101" s="8"/>
      <c r="H101" s="17">
        <v>46074</v>
      </c>
      <c r="I101" s="5">
        <f>IF(C101=0,"",IF(H101=0,"未记录生产日期",IFERROR(H101+IFERROR(VLOOKUP(C101,产品数据!$B:$F,5,FALSE),"未录入生产日期"),"未写入保质期")))</f>
        <v>46434</v>
      </c>
    </row>
    <row r="102" spans="1:9">
      <c r="A102" s="8">
        <f t="shared" si="10"/>
        <v>101</v>
      </c>
      <c r="B102" s="17">
        <v>46135</v>
      </c>
      <c r="C102" s="16" t="s">
        <v>45</v>
      </c>
      <c r="D102" s="8" t="str">
        <f>IFERROR(VLOOKUP(C102,产品数据!$B:$D,2,FALSE),"")</f>
        <v>1.9kg/瓶</v>
      </c>
      <c r="E102" s="8">
        <v>12</v>
      </c>
      <c r="F102" s="8" t="str">
        <f>IFERROR(VLOOKUP(C102,产品数据!$B:$D,3,FALSE),"")</f>
        <v>瓶</v>
      </c>
      <c r="G102" s="8"/>
      <c r="H102" s="17">
        <v>45987</v>
      </c>
      <c r="I102" s="5">
        <f>IF(C102=0,"",IF(H102=0,"未记录生产日期",IFERROR(H102+IFERROR(VLOOKUP(C102,产品数据!$B:$F,5,FALSE),"未录入生产日期"),"未写入保质期")))</f>
        <v>46527</v>
      </c>
    </row>
    <row r="103" spans="1:9">
      <c r="A103" s="8">
        <f t="shared" si="10"/>
        <v>102</v>
      </c>
      <c r="B103" s="17">
        <v>46135</v>
      </c>
      <c r="C103" s="16" t="s">
        <v>49</v>
      </c>
      <c r="D103" s="8" t="str">
        <f>IFERROR(VLOOKUP(C103,产品数据!$B:$D,2,FALSE),"")</f>
        <v>180g/包</v>
      </c>
      <c r="E103" s="8">
        <v>10</v>
      </c>
      <c r="F103" s="8" t="str">
        <f>IFERROR(VLOOKUP(C103,产品数据!$B:$D,3,FALSE),"")</f>
        <v>包</v>
      </c>
      <c r="G103" s="8"/>
      <c r="H103" s="17">
        <v>46089</v>
      </c>
      <c r="I103" s="5">
        <f>IF(C103=0,"",IF(H103=0,"未记录生产日期",IFERROR(H103+IFERROR(VLOOKUP(C103,产品数据!$B:$F,5,FALSE),"未录入生产日期"),"未写入保质期")))</f>
        <v>46449</v>
      </c>
    </row>
    <row r="104" spans="1:9">
      <c r="A104" s="8">
        <f t="shared" si="10"/>
        <v>103</v>
      </c>
      <c r="B104" s="17">
        <v>46135</v>
      </c>
      <c r="C104" s="16" t="s">
        <v>54</v>
      </c>
      <c r="D104" s="8" t="str">
        <f>IFERROR(VLOOKUP(C104,产品数据!$B:$D,2,FALSE),"")</f>
        <v>1kg*6瓶/箱</v>
      </c>
      <c r="E104" s="8">
        <v>30</v>
      </c>
      <c r="F104" s="8" t="str">
        <f>IFERROR(VLOOKUP(C104,产品数据!$B:$D,3,FALSE),"")</f>
        <v>瓶</v>
      </c>
      <c r="G104" s="8"/>
      <c r="H104" s="17">
        <v>46088</v>
      </c>
      <c r="I104" s="5">
        <f>IF(C104=0,"",IF(H104=0,"未记录生产日期",IFERROR(H104+IFERROR(VLOOKUP(C104,产品数据!$B:$F,5,FALSE),"未录入生产日期"),"未写入保质期")))</f>
        <v>46538</v>
      </c>
    </row>
    <row r="105" spans="1:9">
      <c r="A105" s="8">
        <f t="shared" si="10"/>
        <v>104</v>
      </c>
      <c r="B105" s="17">
        <v>46135</v>
      </c>
      <c r="C105" s="16" t="s">
        <v>58</v>
      </c>
      <c r="D105" s="8" t="str">
        <f>IFERROR(VLOOKUP(C105,产品数据!$B:$D,2,FALSE),"")</f>
        <v>200克/包</v>
      </c>
      <c r="E105" s="8">
        <v>6</v>
      </c>
      <c r="F105" s="8" t="str">
        <f>IFERROR(VLOOKUP(C105,产品数据!$B:$D,3,FALSE),"")</f>
        <v>包</v>
      </c>
      <c r="G105" s="8"/>
      <c r="H105" s="17">
        <v>46058</v>
      </c>
      <c r="I105" s="5">
        <f>IF(C105=0,"",IF(H105=0,"未记录生产日期",IFERROR(H105+IFERROR(VLOOKUP(C105,产品数据!$B:$F,5,FALSE),"未录入生产日期"),"未写入保质期")))</f>
        <v>46598</v>
      </c>
    </row>
    <row r="106" spans="1:9">
      <c r="A106" s="8">
        <f t="shared" si="10"/>
        <v>105</v>
      </c>
      <c r="B106" s="17">
        <v>46140</v>
      </c>
      <c r="C106" s="16" t="s">
        <v>41</v>
      </c>
      <c r="D106" s="8" t="str">
        <f>IFERROR(VLOOKUP(C106,产品数据!$B:$D,2,FALSE),"")</f>
        <v>5l/*4桶/箱</v>
      </c>
      <c r="E106" s="8">
        <v>20</v>
      </c>
      <c r="F106" s="8" t="str">
        <f>IFERROR(VLOOKUP(C106,产品数据!$B:$D,3,FALSE),"")</f>
        <v>桶</v>
      </c>
      <c r="G106" s="8"/>
      <c r="H106" s="17">
        <v>46093</v>
      </c>
      <c r="I106" s="5">
        <f>IF(C106=0,"",IF(H106=0,"未记录生产日期",IFERROR(H106+IFERROR(VLOOKUP(C106,产品数据!$B:$F,5,FALSE),"未录入生产日期"),"未写入保质期")))</f>
        <v>46633</v>
      </c>
    </row>
    <row r="107" spans="1:9">
      <c r="A107" s="8">
        <f t="shared" si="10"/>
        <v>106</v>
      </c>
      <c r="B107" s="17">
        <v>46140</v>
      </c>
      <c r="C107" s="16" t="s">
        <v>57</v>
      </c>
      <c r="D107" s="8" t="str">
        <f>IFERROR(VLOOKUP(C107,产品数据!$B:$D,2,FALSE),"")</f>
        <v>400g*25包/箱</v>
      </c>
      <c r="E107" s="8">
        <v>50</v>
      </c>
      <c r="F107" s="8" t="str">
        <f>IFERROR(VLOOKUP(C107,产品数据!$B:$D,3,FALSE),"")</f>
        <v>包</v>
      </c>
      <c r="G107" s="8"/>
      <c r="H107" s="17">
        <v>46091</v>
      </c>
      <c r="I107" s="5">
        <f>IF(C107=0,"",IF(H107=0,"未记录生产日期",IFERROR(H107+IFERROR(VLOOKUP(C107,产品数据!$B:$F,5,FALSE),"未录入生产日期"),"未写入保质期")))</f>
        <v>46631</v>
      </c>
    </row>
    <row r="108" spans="1:9">
      <c r="A108" s="8">
        <f t="shared" si="10"/>
        <v>107</v>
      </c>
      <c r="B108" s="17">
        <v>46140</v>
      </c>
      <c r="C108" s="16" t="s">
        <v>96</v>
      </c>
      <c r="D108" s="8" t="str">
        <f>IFERROR(VLOOKUP(C108,产品数据!$B:$D,2,FALSE),"")</f>
        <v>10千克/袋</v>
      </c>
      <c r="E108" s="8">
        <v>20</v>
      </c>
      <c r="F108" s="8" t="str">
        <f>IFERROR(VLOOKUP(C108,产品数据!$B:$D,3,FALSE),"")</f>
        <v>袋</v>
      </c>
      <c r="G108" s="8"/>
      <c r="H108" s="17">
        <v>46101</v>
      </c>
      <c r="I108" s="5">
        <f>IF(C108=0,"",IF(H108=0,"未记录生产日期",IFERROR(H108+IFERROR(VLOOKUP(C108,产品数据!$B:$F,5,FALSE),"未录入生产日期"),"未写入保质期")))</f>
        <v>46461</v>
      </c>
    </row>
    <row r="109" spans="1:9">
      <c r="A109" s="8">
        <f t="shared" si="10"/>
        <v>108</v>
      </c>
      <c r="B109" s="17">
        <v>46140</v>
      </c>
      <c r="C109" s="16" t="s">
        <v>107</v>
      </c>
      <c r="D109" s="8" t="str">
        <f>IFERROR(VLOOKUP(C109,产品数据!$B:$D,2,FALSE),"")</f>
        <v>1.43L/壶*6壶/箱</v>
      </c>
      <c r="E109" s="8">
        <v>30</v>
      </c>
      <c r="F109" s="8" t="str">
        <f>IFERROR(VLOOKUP(C109,产品数据!$B:$D,3,FALSE),"")</f>
        <v>壶</v>
      </c>
      <c r="G109" s="8"/>
      <c r="H109" s="17">
        <v>45996</v>
      </c>
      <c r="I109" s="5">
        <f>IF(C109=0,"",IF(H109=0,"未记录生产日期",IFERROR(H109+IFERROR(VLOOKUP(C109,产品数据!$B:$F,5,FALSE),"未录入生产日期"),"未写入保质期")))</f>
        <v>46536</v>
      </c>
    </row>
    <row r="110" spans="1:9">
      <c r="A110" s="8">
        <f t="shared" si="10"/>
        <v>109</v>
      </c>
      <c r="B110" s="17">
        <v>46140</v>
      </c>
      <c r="C110" s="16" t="s">
        <v>100</v>
      </c>
      <c r="D110" s="8" t="str">
        <f>IFERROR(VLOOKUP(C110,产品数据!$B:$D,2,FALSE),"")</f>
        <v>5kg/包</v>
      </c>
      <c r="E110" s="8">
        <v>25</v>
      </c>
      <c r="F110" s="8" t="str">
        <f>IFERROR(VLOOKUP(C110,产品数据!$B:$D,3,FALSE),"")</f>
        <v>包</v>
      </c>
      <c r="G110" s="8"/>
      <c r="H110" s="17">
        <v>46116</v>
      </c>
      <c r="I110" s="5">
        <f>IF(C110=0,"",IF(H110=0,"未记录生产日期",IFERROR(H110+IFERROR(VLOOKUP(C110,产品数据!$B:$F,5,FALSE),"未录入生产日期"),"未写入保质期")))</f>
        <v>46476</v>
      </c>
    </row>
    <row r="111" spans="1:9">
      <c r="A111" s="8">
        <f t="shared" ref="A111:A120" si="11">ROW()-1</f>
        <v>110</v>
      </c>
      <c r="B111" s="17">
        <v>46140</v>
      </c>
      <c r="C111" s="16" t="s">
        <v>62</v>
      </c>
      <c r="D111" s="8" t="str">
        <f>IFERROR(VLOOKUP(C111,产品数据!$B:$D,2,FALSE),"")</f>
        <v>600克/瓶</v>
      </c>
      <c r="E111" s="8">
        <v>2</v>
      </c>
      <c r="F111" s="8" t="str">
        <f>IFERROR(VLOOKUP(C111,产品数据!$B:$D,3,FALSE),"")</f>
        <v>瓶</v>
      </c>
      <c r="G111" s="8"/>
      <c r="H111" s="17">
        <v>45981</v>
      </c>
      <c r="I111" s="5">
        <f>IF(C111=0,"",IF(H111=0,"未记录生产日期",IFERROR(H111+IFERROR(VLOOKUP(C111,产品数据!$B:$F,5,FALSE),"未录入生产日期"),"未写入保质期")))</f>
        <v>46521</v>
      </c>
    </row>
    <row r="112" spans="1:9">
      <c r="A112" s="8">
        <f t="shared" si="11"/>
        <v>111</v>
      </c>
      <c r="B112" s="17">
        <v>46148</v>
      </c>
      <c r="C112" s="16" t="s">
        <v>62</v>
      </c>
      <c r="D112" s="8" t="str">
        <f>IFERROR(VLOOKUP(C112,产品数据!$B:$D,2,FALSE),"")</f>
        <v>600克/瓶</v>
      </c>
      <c r="E112" s="8">
        <v>4</v>
      </c>
      <c r="F112" s="8" t="str">
        <f>IFERROR(VLOOKUP(C112,产品数据!$B:$D,3,FALSE),"")</f>
        <v>瓶</v>
      </c>
      <c r="G112" s="8"/>
      <c r="H112" s="17">
        <v>46101</v>
      </c>
      <c r="I112" s="5">
        <f>IF(C112=0,"",IF(H112=0,"未记录生产日期",IFERROR(H112+IFERROR(VLOOKUP(C112,产品数据!$B:$F,5,FALSE),"未录入生产日期"),"未写入保质期")))</f>
        <v>46641</v>
      </c>
    </row>
    <row r="113" spans="1:9">
      <c r="A113" s="8">
        <f t="shared" si="11"/>
        <v>112</v>
      </c>
      <c r="B113" s="17">
        <v>46149</v>
      </c>
      <c r="C113" s="16" t="s">
        <v>41</v>
      </c>
      <c r="D113" s="8" t="str">
        <f>IFERROR(VLOOKUP(C113,产品数据!$B:$D,2,FALSE),"")</f>
        <v>5l/*4桶/箱</v>
      </c>
      <c r="E113" s="8">
        <v>40</v>
      </c>
      <c r="F113" s="8" t="str">
        <f>IFERROR(VLOOKUP(C113,产品数据!$B:$D,3,FALSE),"")</f>
        <v>桶</v>
      </c>
      <c r="G113" s="8"/>
      <c r="H113" s="17">
        <v>46093</v>
      </c>
      <c r="I113" s="5">
        <f>IF(C113=0,"",IF(H113=0,"未记录生产日期",IFERROR(H113+IFERROR(VLOOKUP(C113,产品数据!$B:$F,5,FALSE),"未录入生产日期"),"未写入保质期")))</f>
        <v>46633</v>
      </c>
    </row>
    <row r="114" spans="1:9">
      <c r="A114" s="8">
        <f t="shared" si="11"/>
        <v>113</v>
      </c>
      <c r="B114" s="17">
        <v>46149</v>
      </c>
      <c r="C114" s="16" t="s">
        <v>109</v>
      </c>
      <c r="D114" s="8" t="str">
        <f>IFERROR(VLOOKUP(C114,产品数据!$B:$D,2,FALSE),"")</f>
        <v>1L/瓶*12瓶/箱</v>
      </c>
      <c r="E114" s="8">
        <v>12</v>
      </c>
      <c r="F114" s="8" t="str">
        <f>IFERROR(VLOOKUP(C114,产品数据!$B:$D,3,FALSE),"")</f>
        <v>瓶</v>
      </c>
      <c r="G114" s="8"/>
      <c r="H114" s="17">
        <v>46040</v>
      </c>
      <c r="I114" s="5">
        <f>IF(C114=0,"",IF(H114=0,"未记录生产日期",IFERROR(H114+IFERROR(VLOOKUP(C114,产品数据!$B:$F,5,FALSE),"未录入生产日期"),"未写入保质期")))</f>
        <v>46760</v>
      </c>
    </row>
    <row r="115" spans="1:9">
      <c r="A115" s="8">
        <f t="shared" si="11"/>
        <v>114</v>
      </c>
      <c r="B115" s="17">
        <v>46149</v>
      </c>
      <c r="C115" s="16" t="s">
        <v>56</v>
      </c>
      <c r="D115" s="8" t="str">
        <f>IFERROR(VLOOKUP(C115,产品数据!$B:$D,2,FALSE),"")</f>
        <v>178g*50包/箱</v>
      </c>
      <c r="E115" s="8">
        <v>50</v>
      </c>
      <c r="F115" s="8" t="str">
        <f>IFERROR(VLOOKUP(C115,产品数据!$B:$D,3,FALSE),"")</f>
        <v>包</v>
      </c>
      <c r="G115" s="8"/>
      <c r="H115" s="17">
        <v>46087</v>
      </c>
      <c r="I115" s="5">
        <f>IF(C115=0,"",IF(H115=0,"未记录生产日期",IFERROR(H115+IFERROR(VLOOKUP(C115,产品数据!$B:$F,5,FALSE),"未录入生产日期"),"未写入保质期")))</f>
        <v>46447</v>
      </c>
    </row>
    <row r="116" spans="1:9">
      <c r="A116" s="8">
        <f t="shared" si="11"/>
        <v>115</v>
      </c>
      <c r="B116" s="17">
        <v>46149</v>
      </c>
      <c r="C116" s="16" t="s">
        <v>96</v>
      </c>
      <c r="D116" s="8" t="str">
        <f>IFERROR(VLOOKUP(C116,产品数据!$B:$D,2,FALSE),"")</f>
        <v>10千克/袋</v>
      </c>
      <c r="E116" s="8">
        <v>10</v>
      </c>
      <c r="F116" s="8" t="str">
        <f>IFERROR(VLOOKUP(C116,产品数据!$B:$D,3,FALSE),"")</f>
        <v>袋</v>
      </c>
      <c r="G116" s="8"/>
      <c r="H116" s="17">
        <v>46128</v>
      </c>
      <c r="I116" s="5">
        <f>IF(C116=0,"",IF(H116=0,"未记录生产日期",IFERROR(H116+IFERROR(VLOOKUP(C116,产品数据!$B:$F,5,FALSE),"未录入生产日期"),"未写入保质期")))</f>
        <v>46488</v>
      </c>
    </row>
    <row r="117" spans="1:9">
      <c r="A117" s="8">
        <f t="shared" si="11"/>
        <v>116</v>
      </c>
      <c r="B117" s="17">
        <v>46153</v>
      </c>
      <c r="C117" s="16" t="s">
        <v>96</v>
      </c>
      <c r="D117" s="8" t="str">
        <f>IFERROR(VLOOKUP(C117,产品数据!$B:$D,2,FALSE),"")</f>
        <v>10千克/袋</v>
      </c>
      <c r="E117" s="8">
        <v>20</v>
      </c>
      <c r="F117" s="8" t="str">
        <f>IFERROR(VLOOKUP(C117,产品数据!$B:$D,3,FALSE),"")</f>
        <v>袋</v>
      </c>
      <c r="G117" s="8"/>
      <c r="H117" s="17">
        <v>46093</v>
      </c>
      <c r="I117" s="5">
        <f>IF(C117=0,"",IF(H117=0,"未记录生产日期",IFERROR(H117+IFERROR(VLOOKUP(C117,产品数据!$B:$F,5,FALSE),"未录入生产日期"),"未写入保质期")))</f>
        <v>46453</v>
      </c>
    </row>
    <row r="118" spans="1:9">
      <c r="A118" s="8">
        <f t="shared" si="11"/>
        <v>117</v>
      </c>
      <c r="B118" s="17">
        <v>46153</v>
      </c>
      <c r="C118" s="16" t="s">
        <v>104</v>
      </c>
      <c r="D118" s="8" t="str">
        <f>IFERROR(VLOOKUP(C118,产品数据!$B:$D,2,FALSE),"")</f>
        <v>500ml*6瓶/箱</v>
      </c>
      <c r="E118" s="8">
        <v>30</v>
      </c>
      <c r="F118" s="8" t="str">
        <f>IFERROR(VLOOKUP(C118,产品数据!$B:$D,3,FALSE),"")</f>
        <v>瓶</v>
      </c>
      <c r="G118" s="8"/>
      <c r="H118" s="17">
        <v>46016</v>
      </c>
      <c r="I118" s="5">
        <f>IF(C118=0,"",IF(H118=0,"未记录生产日期",IFERROR(H118+IFERROR(VLOOKUP(C118,产品数据!$B:$F,5,FALSE),"未录入生产日期"),"未写入保质期")))</f>
        <v>47096</v>
      </c>
    </row>
    <row r="119" spans="1:9">
      <c r="A119" s="8">
        <f t="shared" si="11"/>
        <v>118</v>
      </c>
      <c r="B119" s="17">
        <v>46153</v>
      </c>
      <c r="C119" s="16" t="s">
        <v>63</v>
      </c>
      <c r="D119" s="8" t="str">
        <f>IFERROR(VLOOKUP(C119,产品数据!$B:$D,2,FALSE),"")</f>
        <v>280g/包</v>
      </c>
      <c r="E119" s="8">
        <v>50</v>
      </c>
      <c r="F119" s="8" t="str">
        <f>IFERROR(VLOOKUP(C119,产品数据!$B:$D,3,FALSE),"")</f>
        <v>包</v>
      </c>
      <c r="G119" s="8"/>
      <c r="H119" s="17">
        <v>46073</v>
      </c>
      <c r="I119" s="5">
        <f>IF(C119=0,"",IF(H119=0,"未记录生产日期",IFERROR(H119+IFERROR(VLOOKUP(C119,产品数据!$B:$F,5,FALSE),"未录入生产日期"),"未写入保质期")))</f>
        <v>47873</v>
      </c>
    </row>
    <row r="120" spans="1:9">
      <c r="A120" s="8">
        <f t="shared" si="11"/>
        <v>119</v>
      </c>
      <c r="B120" s="17">
        <v>46153</v>
      </c>
      <c r="C120" s="16" t="s">
        <v>111</v>
      </c>
      <c r="D120" s="8" t="str">
        <f>IFERROR(VLOOKUP(C120,产品数据!$B:$D,2,FALSE),"")</f>
        <v>1.9升/瓶*6瓶/箱</v>
      </c>
      <c r="E120" s="8">
        <v>6</v>
      </c>
      <c r="F120" s="8" t="str">
        <f>IFERROR(VLOOKUP(C120,产品数据!$B:$D,3,FALSE),"")</f>
        <v>瓶</v>
      </c>
      <c r="G120" s="8"/>
      <c r="H120" s="17">
        <v>45971</v>
      </c>
      <c r="I120" s="5">
        <f>IF(C120=0,"",IF(H120=0,"未记录生产日期",IFERROR(H120+IFERROR(VLOOKUP(C120,产品数据!$B:$F,5,FALSE),"未录入生产日期"),"未写入保质期")))</f>
        <v>46511</v>
      </c>
    </row>
    <row r="121" spans="1:9">
      <c r="A121" s="8">
        <f t="shared" ref="A121:A130" si="12">ROW()-1</f>
        <v>120</v>
      </c>
      <c r="B121" s="17">
        <v>46160</v>
      </c>
      <c r="C121" s="16" t="s">
        <v>41</v>
      </c>
      <c r="D121" s="8" t="str">
        <f>IFERROR(VLOOKUP(C121,产品数据!$B:$D,2,FALSE),"")</f>
        <v>5l/*4桶/箱</v>
      </c>
      <c r="E121" s="8">
        <v>20</v>
      </c>
      <c r="F121" s="8" t="str">
        <f>IFERROR(VLOOKUP(C121,产品数据!$B:$D,3,FALSE),"")</f>
        <v>桶</v>
      </c>
      <c r="G121" s="8"/>
      <c r="H121" s="17">
        <v>46103</v>
      </c>
      <c r="I121" s="5">
        <f>IF(C121=0,"",IF(H121=0,"未记录生产日期",IFERROR(H121+IFERROR(VLOOKUP(C121,产品数据!$B:$F,5,FALSE),"未录入生产日期"),"未写入保质期")))</f>
        <v>46643</v>
      </c>
    </row>
    <row r="122" spans="1:9">
      <c r="A122" s="8">
        <f t="shared" si="12"/>
        <v>121</v>
      </c>
      <c r="B122" s="17">
        <v>46160</v>
      </c>
      <c r="C122" s="16" t="s">
        <v>96</v>
      </c>
      <c r="D122" s="8" t="str">
        <f>IFERROR(VLOOKUP(C122,产品数据!$B:$D,2,FALSE),"")</f>
        <v>10千克/袋</v>
      </c>
      <c r="E122" s="8">
        <v>10</v>
      </c>
      <c r="F122" s="8" t="str">
        <f>IFERROR(VLOOKUP(C122,产品数据!$B:$D,3,FALSE),"")</f>
        <v>袋</v>
      </c>
      <c r="G122" s="8"/>
      <c r="H122" s="17">
        <v>46137</v>
      </c>
      <c r="I122" s="5">
        <f>IF(C122=0,"",IF(H122=0,"未记录生产日期",IFERROR(H122+IFERROR(VLOOKUP(C122,产品数据!$B:$F,5,FALSE),"未录入生产日期"),"未写入保质期")))</f>
        <v>46497</v>
      </c>
    </row>
    <row r="123" spans="1:9">
      <c r="A123" s="8">
        <f t="shared" si="12"/>
        <v>122</v>
      </c>
      <c r="B123" s="17">
        <v>46160</v>
      </c>
      <c r="C123" s="16" t="s">
        <v>48</v>
      </c>
      <c r="D123" s="8" t="str">
        <f>IFERROR(VLOOKUP(C123,产品数据!$B:$D,2,FALSE),"")</f>
        <v>500克/瓶*24瓶/箱</v>
      </c>
      <c r="E123" s="8">
        <v>8</v>
      </c>
      <c r="F123" s="8" t="str">
        <f>IFERROR(VLOOKUP(C123,产品数据!$B:$D,3,FALSE),"")</f>
        <v>瓶</v>
      </c>
      <c r="G123" s="8"/>
      <c r="H123" s="17">
        <v>46111</v>
      </c>
      <c r="I123" s="5">
        <f>IF(C123=0,"",IF(H123=0,"未记录生产日期",IFERROR(H123+IFERROR(VLOOKUP(C123,产品数据!$B:$F,5,FALSE),"未录入生产日期"),"未写入保质期")))</f>
        <v>47191</v>
      </c>
    </row>
    <row r="124" spans="1:9">
      <c r="A124" s="8">
        <f t="shared" si="12"/>
        <v>123</v>
      </c>
      <c r="B124" s="17">
        <v>46160</v>
      </c>
      <c r="C124" s="16" t="s">
        <v>48</v>
      </c>
      <c r="D124" s="8" t="str">
        <f>IFERROR(VLOOKUP(C124,产品数据!$B:$D,2,FALSE),"")</f>
        <v>500克/瓶*24瓶/箱</v>
      </c>
      <c r="E124" s="8">
        <v>1</v>
      </c>
      <c r="F124" s="8" t="str">
        <f>IFERROR(VLOOKUP(C124,产品数据!$B:$D,3,FALSE),"")</f>
        <v>瓶</v>
      </c>
      <c r="G124" s="8"/>
      <c r="H124" s="17">
        <v>46099</v>
      </c>
      <c r="I124" s="5">
        <f>IF(C124=0,"",IF(H124=0,"未记录生产日期",IFERROR(H124+IFERROR(VLOOKUP(C124,产品数据!$B:$F,5,FALSE),"未录入生产日期"),"未写入保质期")))</f>
        <v>47179</v>
      </c>
    </row>
    <row r="125" spans="1:9">
      <c r="A125" s="8">
        <f t="shared" si="12"/>
        <v>124</v>
      </c>
      <c r="B125" s="17">
        <v>46160</v>
      </c>
      <c r="C125" s="16" t="s">
        <v>48</v>
      </c>
      <c r="D125" s="8" t="str">
        <f>IFERROR(VLOOKUP(C125,产品数据!$B:$D,2,FALSE),"")</f>
        <v>500克/瓶*24瓶/箱</v>
      </c>
      <c r="E125" s="8">
        <v>3</v>
      </c>
      <c r="F125" s="8" t="str">
        <f>IFERROR(VLOOKUP(C125,产品数据!$B:$D,3,FALSE),"")</f>
        <v>瓶</v>
      </c>
      <c r="G125" s="8"/>
      <c r="H125" s="17">
        <v>46085</v>
      </c>
      <c r="I125" s="5">
        <f>IF(C125=0,"",IF(H125=0,"未记录生产日期",IFERROR(H125+IFERROR(VLOOKUP(C125,产品数据!$B:$F,5,FALSE),"未录入生产日期"),"未写入保质期")))</f>
        <v>47165</v>
      </c>
    </row>
    <row r="126" spans="1:9">
      <c r="A126" s="8">
        <f t="shared" si="12"/>
        <v>125</v>
      </c>
      <c r="B126" s="17">
        <v>46160</v>
      </c>
      <c r="C126" s="16" t="s">
        <v>100</v>
      </c>
      <c r="D126" s="8" t="str">
        <f>IFERROR(VLOOKUP(C126,产品数据!$B:$D,2,FALSE),"")</f>
        <v>5kg/包</v>
      </c>
      <c r="E126" s="8">
        <v>25</v>
      </c>
      <c r="F126" s="8" t="str">
        <f>IFERROR(VLOOKUP(C126,产品数据!$B:$D,3,FALSE),"")</f>
        <v>包</v>
      </c>
      <c r="G126" s="8"/>
      <c r="H126" s="17">
        <v>46116</v>
      </c>
      <c r="I126" s="5">
        <f>IF(C126=0,"",IF(H126=0,"未记录生产日期",IFERROR(H126+IFERROR(VLOOKUP(C126,产品数据!$B:$F,5,FALSE),"未录入生产日期"),"未写入保质期")))</f>
        <v>46476</v>
      </c>
    </row>
    <row r="127" spans="1:9">
      <c r="A127" s="8">
        <f t="shared" si="12"/>
        <v>126</v>
      </c>
      <c r="B127" s="17">
        <v>46160</v>
      </c>
      <c r="C127" s="16" t="s">
        <v>112</v>
      </c>
      <c r="D127" s="8" t="str">
        <f>IFERROR(VLOOKUP(C127,产品数据!$B:$D,2,FALSE),"")</f>
        <v>250g/包</v>
      </c>
      <c r="E127" s="8">
        <v>10</v>
      </c>
      <c r="F127" s="8" t="str">
        <f>IFERROR(VLOOKUP(C127,产品数据!$B:$D,3,FALSE),"")</f>
        <v>包</v>
      </c>
      <c r="G127" s="8"/>
      <c r="H127" s="17">
        <v>46082</v>
      </c>
      <c r="I127" s="5">
        <f>IF(C127=0,"",IF(H127=0,"未记录生产日期",IFERROR(H127+IFERROR(VLOOKUP(C127,产品数据!$B:$F,5,FALSE),"未录入生产日期"),"未写入保质期")))</f>
        <v>46622</v>
      </c>
    </row>
    <row r="128" spans="1:9">
      <c r="A128" s="8">
        <f t="shared" si="12"/>
        <v>127</v>
      </c>
      <c r="B128" s="17">
        <v>46167</v>
      </c>
      <c r="C128" s="16" t="s">
        <v>41</v>
      </c>
      <c r="D128" s="8" t="str">
        <f>IFERROR(VLOOKUP(C128,产品数据!$B:$D,2,FALSE),"")</f>
        <v>5l/*4桶/箱</v>
      </c>
      <c r="E128" s="8">
        <v>20</v>
      </c>
      <c r="F128" s="8" t="str">
        <f>IFERROR(VLOOKUP(C128,产品数据!$B:$D,3,FALSE),"")</f>
        <v>桶</v>
      </c>
      <c r="G128" s="8"/>
      <c r="H128" s="17">
        <v>46096</v>
      </c>
      <c r="I128" s="5">
        <f>IF(C128=0,"",IF(H128=0,"未记录生产日期",IFERROR(H128+IFERROR(VLOOKUP(C128,产品数据!$B:$F,5,FALSE),"未录入生产日期"),"未写入保质期")))</f>
        <v>46636</v>
      </c>
    </row>
    <row r="129" spans="1:9">
      <c r="A129" s="8">
        <f t="shared" si="12"/>
        <v>128</v>
      </c>
      <c r="B129" s="17">
        <v>46167</v>
      </c>
      <c r="C129" s="16" t="s">
        <v>57</v>
      </c>
      <c r="D129" s="8" t="str">
        <f>IFERROR(VLOOKUP(C129,产品数据!$B:$D,2,FALSE),"")</f>
        <v>400g*25包/箱</v>
      </c>
      <c r="E129" s="8">
        <v>25</v>
      </c>
      <c r="F129" s="8" t="str">
        <f>IFERROR(VLOOKUP(C129,产品数据!$B:$D,3,FALSE),"")</f>
        <v>包</v>
      </c>
      <c r="G129" s="8"/>
      <c r="H129" s="17">
        <v>46122</v>
      </c>
      <c r="I129" s="5">
        <f>IF(C129=0,"",IF(H129=0,"未记录生产日期",IFERROR(H129+IFERROR(VLOOKUP(C129,产品数据!$B:$F,5,FALSE),"未录入生产日期"),"未写入保质期")))</f>
        <v>46662</v>
      </c>
    </row>
    <row r="130" spans="1:9">
      <c r="A130" s="8">
        <f t="shared" si="12"/>
        <v>129</v>
      </c>
      <c r="B130" s="17">
        <v>46167</v>
      </c>
      <c r="C130" s="16" t="s">
        <v>96</v>
      </c>
      <c r="D130" s="8" t="str">
        <f>IFERROR(VLOOKUP(C130,产品数据!$B:$D,2,FALSE),"")</f>
        <v>10千克/袋</v>
      </c>
      <c r="E130" s="8">
        <v>15</v>
      </c>
      <c r="F130" s="8" t="str">
        <f>IFERROR(VLOOKUP(C130,产品数据!$B:$D,3,FALSE),"")</f>
        <v>袋</v>
      </c>
      <c r="G130" s="8"/>
      <c r="H130" s="17">
        <v>46137</v>
      </c>
      <c r="I130" s="5">
        <f>IF(C130=0,"",IF(H130=0,"未记录生产日期",IFERROR(H130+IFERROR(VLOOKUP(C130,产品数据!$B:$F,5,FALSE),"未录入生产日期"),"未写入保质期")))</f>
        <v>46497</v>
      </c>
    </row>
    <row r="131" spans="1:9">
      <c r="A131" s="8">
        <f t="shared" ref="A131:A140" si="13">ROW()-1</f>
        <v>130</v>
      </c>
      <c r="B131" s="17">
        <v>46167</v>
      </c>
      <c r="C131" s="16" t="s">
        <v>104</v>
      </c>
      <c r="D131" s="8" t="str">
        <f>IFERROR(VLOOKUP(C131,产品数据!$B:$D,2,FALSE),"")</f>
        <v>500ml*6瓶/箱</v>
      </c>
      <c r="E131" s="8">
        <v>30</v>
      </c>
      <c r="F131" s="8" t="str">
        <f>IFERROR(VLOOKUP(C131,产品数据!$B:$D,3,FALSE),"")</f>
        <v>瓶</v>
      </c>
      <c r="G131" s="8"/>
      <c r="H131" s="17">
        <v>46016</v>
      </c>
      <c r="I131" s="5">
        <f>IF(C131=0,"",IF(H131=0,"未记录生产日期",IFERROR(H131+IFERROR(VLOOKUP(C131,产品数据!$B:$F,5,FALSE),"未录入生产日期"),"未写入保质期")))</f>
        <v>47096</v>
      </c>
    </row>
    <row r="132" spans="1:9">
      <c r="A132" s="8">
        <f t="shared" si="13"/>
        <v>131</v>
      </c>
      <c r="B132" s="17">
        <v>46167</v>
      </c>
      <c r="C132" s="16" t="s">
        <v>107</v>
      </c>
      <c r="D132" s="8" t="str">
        <f>IFERROR(VLOOKUP(C132,产品数据!$B:$D,2,FALSE),"")</f>
        <v>1.43L/壶*6壶/箱</v>
      </c>
      <c r="E132" s="8">
        <v>12</v>
      </c>
      <c r="F132" s="8" t="str">
        <f>IFERROR(VLOOKUP(C132,产品数据!$B:$D,3,FALSE),"")</f>
        <v>壶</v>
      </c>
      <c r="G132" s="8"/>
      <c r="H132" s="17">
        <v>46007</v>
      </c>
      <c r="I132" s="5">
        <f>IF(C132=0,"",IF(H132=0,"未记录生产日期",IFERROR(H132+IFERROR(VLOOKUP(C132,产品数据!$B:$F,5,FALSE),"未录入生产日期"),"未写入保质期")))</f>
        <v>46547</v>
      </c>
    </row>
    <row r="133" spans="1:9">
      <c r="A133" s="8">
        <f t="shared" si="13"/>
        <v>132</v>
      </c>
      <c r="B133" s="17">
        <v>46167</v>
      </c>
      <c r="C133" s="16" t="s">
        <v>112</v>
      </c>
      <c r="D133" s="8" t="str">
        <f>IFERROR(VLOOKUP(C133,产品数据!$B:$D,2,FALSE),"")</f>
        <v>250g/包</v>
      </c>
      <c r="E133" s="8">
        <v>14</v>
      </c>
      <c r="F133" s="8" t="str">
        <f>IFERROR(VLOOKUP(C133,产品数据!$B:$D,3,FALSE),"")</f>
        <v>包</v>
      </c>
      <c r="G133" s="8"/>
      <c r="H133" s="17">
        <v>46082</v>
      </c>
      <c r="I133" s="5">
        <f>IF(C133=0,"",IF(H133=0,"未记录生产日期",IFERROR(H133+IFERROR(VLOOKUP(C133,产品数据!$B:$F,5,FALSE),"未录入生产日期"),"未写入保质期")))</f>
        <v>46622</v>
      </c>
    </row>
    <row r="134" spans="1:9">
      <c r="A134" s="8">
        <f t="shared" si="13"/>
        <v>133</v>
      </c>
      <c r="B134" s="17">
        <v>46167</v>
      </c>
      <c r="C134" s="16" t="s">
        <v>63</v>
      </c>
      <c r="D134" s="8" t="str">
        <f>IFERROR(VLOOKUP(C134,产品数据!$B:$D,2,FALSE),"")</f>
        <v>280g/包</v>
      </c>
      <c r="E134" s="8">
        <v>50</v>
      </c>
      <c r="F134" s="8" t="str">
        <f>IFERROR(VLOOKUP(C134,产品数据!$B:$D,3,FALSE),"")</f>
        <v>包</v>
      </c>
      <c r="G134" s="8"/>
      <c r="H134" s="17">
        <v>46073</v>
      </c>
      <c r="I134" s="5">
        <f>IF(C134=0,"",IF(H134=0,"未记录生产日期",IFERROR(H134+IFERROR(VLOOKUP(C134,产品数据!$B:$F,5,FALSE),"未录入生产日期"),"未写入保质期")))</f>
        <v>47873</v>
      </c>
    </row>
    <row r="135" spans="1:9">
      <c r="A135" s="8">
        <f t="shared" si="13"/>
        <v>134</v>
      </c>
      <c r="B135" s="17">
        <v>46167</v>
      </c>
      <c r="C135" s="16" t="s">
        <v>63</v>
      </c>
      <c r="D135" s="8" t="str">
        <f>IFERROR(VLOOKUP(C135,产品数据!$B:$D,2,FALSE),"")</f>
        <v>280g/包</v>
      </c>
      <c r="E135" s="8">
        <v>50</v>
      </c>
      <c r="F135" s="8" t="str">
        <f>IFERROR(VLOOKUP(C135,产品数据!$B:$D,3,FALSE),"")</f>
        <v>包</v>
      </c>
      <c r="G135" s="8"/>
      <c r="H135" s="17">
        <v>46089</v>
      </c>
      <c r="I135" s="5">
        <f>IF(C135=0,"",IF(H135=0,"未记录生产日期",IFERROR(H135+IFERROR(VLOOKUP(C135,产品数据!$B:$F,5,FALSE),"未录入生产日期"),"未写入保质期")))</f>
        <v>47889</v>
      </c>
    </row>
    <row r="136" spans="1:9">
      <c r="A136" s="8">
        <f t="shared" si="13"/>
        <v>135</v>
      </c>
      <c r="B136" s="17">
        <v>46174</v>
      </c>
      <c r="C136" s="16" t="s">
        <v>41</v>
      </c>
      <c r="D136" s="8" t="str">
        <f>IFERROR(VLOOKUP(C136,产品数据!$B:$D,2,FALSE),"")</f>
        <v>5l/*4桶/箱</v>
      </c>
      <c r="E136" s="8">
        <v>20</v>
      </c>
      <c r="F136" s="8" t="str">
        <f>IFERROR(VLOOKUP(C136,产品数据!$B:$D,3,FALSE),"")</f>
        <v>桶</v>
      </c>
      <c r="G136" s="8"/>
      <c r="H136" s="17">
        <v>46088</v>
      </c>
      <c r="I136" s="5">
        <f>IF(C136=0,"",IF(H136=0,"未记录生产日期",IFERROR(H136+IFERROR(VLOOKUP(C136,产品数据!$B:$F,5,FALSE),"未录入生产日期"),"未写入保质期")))</f>
        <v>46628</v>
      </c>
    </row>
    <row r="137" spans="1:9">
      <c r="A137" s="8">
        <f t="shared" si="13"/>
        <v>136</v>
      </c>
      <c r="B137" s="17">
        <v>46174</v>
      </c>
      <c r="C137" s="16" t="s">
        <v>44</v>
      </c>
      <c r="D137" s="8" t="str">
        <f>IFERROR(VLOOKUP(C137,产品数据!$B:$D,2,FALSE),"")</f>
        <v>1.9升/瓶*6瓶/箱</v>
      </c>
      <c r="E137" s="8">
        <v>12</v>
      </c>
      <c r="F137" s="8" t="str">
        <f>IFERROR(VLOOKUP(C137,产品数据!$B:$D,3,FALSE),"")</f>
        <v>瓶</v>
      </c>
      <c r="G137" s="8"/>
      <c r="H137" s="17">
        <v>46060</v>
      </c>
      <c r="I137" s="5">
        <f>IF(C137=0,"",IF(H137=0,"未记录生产日期",IFERROR(H137+IFERROR(VLOOKUP(C137,产品数据!$B:$F,5,FALSE),"未录入生产日期"),"未写入保质期")))</f>
        <v>46600</v>
      </c>
    </row>
    <row r="138" spans="1:9">
      <c r="A138" s="8">
        <f t="shared" si="13"/>
        <v>137</v>
      </c>
      <c r="B138" s="17">
        <v>46174</v>
      </c>
      <c r="C138" s="16" t="s">
        <v>56</v>
      </c>
      <c r="D138" s="8" t="str">
        <f>IFERROR(VLOOKUP(C138,产品数据!$B:$D,2,FALSE),"")</f>
        <v>178g*50包/箱</v>
      </c>
      <c r="E138" s="8">
        <v>50</v>
      </c>
      <c r="F138" s="8" t="str">
        <f>IFERROR(VLOOKUP(C138,产品数据!$B:$D,3,FALSE),"")</f>
        <v>包</v>
      </c>
      <c r="G138" s="8"/>
      <c r="H138" s="17">
        <v>46087</v>
      </c>
      <c r="I138" s="5">
        <f>IF(C138=0,"",IF(H138=0,"未记录生产日期",IFERROR(H138+IFERROR(VLOOKUP(C138,产品数据!$B:$F,5,FALSE),"未录入生产日期"),"未写入保质期")))</f>
        <v>46447</v>
      </c>
    </row>
    <row r="139" spans="1:9">
      <c r="A139" s="8">
        <f t="shared" si="13"/>
        <v>138</v>
      </c>
      <c r="B139" s="17">
        <v>46174</v>
      </c>
      <c r="C139" s="16" t="s">
        <v>96</v>
      </c>
      <c r="D139" s="8" t="str">
        <f>IFERROR(VLOOKUP(C139,产品数据!$B:$D,2,FALSE),"")</f>
        <v>10千克/袋</v>
      </c>
      <c r="E139" s="8">
        <v>12</v>
      </c>
      <c r="F139" s="8" t="str">
        <f>IFERROR(VLOOKUP(C139,产品数据!$B:$D,3,FALSE),"")</f>
        <v>袋</v>
      </c>
      <c r="G139" s="8"/>
      <c r="H139" s="17">
        <v>46154</v>
      </c>
      <c r="I139" s="5">
        <f>IF(C139=0,"",IF(H139=0,"未记录生产日期",IFERROR(H139+IFERROR(VLOOKUP(C139,产品数据!$B:$F,5,FALSE),"未录入生产日期"),"未写入保质期")))</f>
        <v>46514</v>
      </c>
    </row>
    <row r="140" spans="1:9">
      <c r="A140" s="8">
        <f t="shared" si="13"/>
        <v>139</v>
      </c>
      <c r="B140" s="17">
        <v>46174</v>
      </c>
      <c r="C140" s="16" t="s">
        <v>104</v>
      </c>
      <c r="D140" s="8" t="str">
        <f>IFERROR(VLOOKUP(C140,产品数据!$B:$D,2,FALSE),"")</f>
        <v>500ml*6瓶/箱</v>
      </c>
      <c r="E140" s="8">
        <v>30</v>
      </c>
      <c r="F140" s="8" t="str">
        <f>IFERROR(VLOOKUP(C140,产品数据!$B:$D,3,FALSE),"")</f>
        <v>瓶</v>
      </c>
      <c r="G140" s="8"/>
      <c r="H140" s="17">
        <v>46016</v>
      </c>
      <c r="I140" s="5">
        <f>IF(C140=0,"",IF(H140=0,"未记录生产日期",IFERROR(H140+IFERROR(VLOOKUP(C140,产品数据!$B:$F,5,FALSE),"未录入生产日期"),"未写入保质期")))</f>
        <v>47096</v>
      </c>
    </row>
    <row r="141" spans="1:9">
      <c r="A141" s="8">
        <f t="shared" ref="A141:A150" si="14">ROW()-1</f>
        <v>140</v>
      </c>
      <c r="B141" s="17">
        <v>46174</v>
      </c>
      <c r="C141" s="16" t="s">
        <v>109</v>
      </c>
      <c r="D141" s="8" t="str">
        <f>IFERROR(VLOOKUP(C141,产品数据!$B:$D,2,FALSE),"")</f>
        <v>1L/瓶*12瓶/箱</v>
      </c>
      <c r="E141" s="8">
        <v>24</v>
      </c>
      <c r="F141" s="8" t="str">
        <f>IFERROR(VLOOKUP(C141,产品数据!$B:$D,3,FALSE),"")</f>
        <v>瓶</v>
      </c>
      <c r="G141" s="8"/>
      <c r="H141" s="17">
        <v>46052</v>
      </c>
      <c r="I141" s="5">
        <f>IF(C141=0,"",IF(H141=0,"未记录生产日期",IFERROR(H141+IFERROR(VLOOKUP(C141,产品数据!$B:$F,5,FALSE),"未录入生产日期"),"未写入保质期")))</f>
        <v>46772</v>
      </c>
    </row>
    <row r="142" spans="1:9">
      <c r="A142" s="8">
        <f t="shared" si="14"/>
        <v>141</v>
      </c>
      <c r="B142" s="17">
        <v>46174</v>
      </c>
      <c r="C142" s="16" t="s">
        <v>111</v>
      </c>
      <c r="D142" s="8" t="str">
        <f>IFERROR(VLOOKUP(C142,产品数据!$B:$D,2,FALSE),"")</f>
        <v>1.9升/瓶*6瓶/箱</v>
      </c>
      <c r="E142" s="8">
        <v>12</v>
      </c>
      <c r="F142" s="8" t="str">
        <f>IFERROR(VLOOKUP(C142,产品数据!$B:$D,3,FALSE),"")</f>
        <v>瓶</v>
      </c>
      <c r="G142" s="8"/>
      <c r="H142" s="17">
        <v>45971</v>
      </c>
      <c r="I142" s="5">
        <f>IF(C142=0,"",IF(H142=0,"未记录生产日期",IFERROR(H142+IFERROR(VLOOKUP(C142,产品数据!$B:$F,5,FALSE),"未录入生产日期"),"未写入保质期")))</f>
        <v>46511</v>
      </c>
    </row>
    <row r="143" spans="1:9">
      <c r="A143" s="8">
        <f t="shared" si="14"/>
        <v>142</v>
      </c>
      <c r="B143" s="17">
        <v>46174</v>
      </c>
      <c r="C143" s="16" t="s">
        <v>112</v>
      </c>
      <c r="D143" s="8" t="str">
        <f>IFERROR(VLOOKUP(C143,产品数据!$B:$D,2,FALSE),"")</f>
        <v>250g/包</v>
      </c>
      <c r="E143" s="8">
        <v>60</v>
      </c>
      <c r="F143" s="8" t="str">
        <f>IFERROR(VLOOKUP(C143,产品数据!$B:$D,3,FALSE),"")</f>
        <v>包</v>
      </c>
      <c r="G143" s="8"/>
      <c r="H143" s="17">
        <v>46113</v>
      </c>
      <c r="I143" s="5">
        <f>IF(C143=0,"",IF(H143=0,"未记录生产日期",IFERROR(H143+IFERROR(VLOOKUP(C143,产品数据!$B:$F,5,FALSE),"未录入生产日期"),"未写入保质期")))</f>
        <v>46653</v>
      </c>
    </row>
    <row r="144" spans="1:9">
      <c r="A144" s="8">
        <f t="shared" si="14"/>
        <v>143</v>
      </c>
      <c r="B144" s="17">
        <v>46174</v>
      </c>
      <c r="C144" s="16" t="s">
        <v>100</v>
      </c>
      <c r="D144" s="8" t="str">
        <f>IFERROR(VLOOKUP(C144,产品数据!$B:$D,2,FALSE),"")</f>
        <v>5kg/包</v>
      </c>
      <c r="E144" s="8">
        <v>25</v>
      </c>
      <c r="F144" s="8" t="str">
        <f>IFERROR(VLOOKUP(C144,产品数据!$B:$D,3,FALSE),"")</f>
        <v>包</v>
      </c>
      <c r="G144" s="8"/>
      <c r="H144" s="17">
        <v>46116</v>
      </c>
      <c r="I144" s="5">
        <f>IF(C144=0,"",IF(H144=0,"未记录生产日期",IFERROR(H144+IFERROR(VLOOKUP(C144,产品数据!$B:$F,5,FALSE),"未录入生产日期"),"未写入保质期")))</f>
        <v>46476</v>
      </c>
    </row>
    <row r="145" spans="1:9">
      <c r="A145" s="8">
        <f t="shared" si="14"/>
        <v>144</v>
      </c>
      <c r="B145" s="17">
        <v>46174</v>
      </c>
      <c r="C145" s="16" t="s">
        <v>114</v>
      </c>
      <c r="D145" s="8" t="str">
        <f>IFERROR(VLOOKUP(C145,产品数据!$B:$D,2,FALSE),"")</f>
        <v>300g/瓶*36瓶/箱</v>
      </c>
      <c r="E145" s="8">
        <v>36</v>
      </c>
      <c r="F145" s="8" t="str">
        <f>IFERROR(VLOOKUP(C145,产品数据!$B:$D,3,FALSE),"")</f>
        <v>瓶</v>
      </c>
      <c r="G145" s="8"/>
      <c r="H145" s="17">
        <v>46091</v>
      </c>
      <c r="I145" s="5">
        <f>IF(C145=0,"",IF(H145=0,"未记录生产日期",IFERROR(H145+IFERROR(VLOOKUP(C145,产品数据!$B:$F,5,FALSE),"未录入生产日期"),"未写入保质期")))</f>
        <v>47171</v>
      </c>
    </row>
    <row r="146" spans="1:9">
      <c r="A146" s="8">
        <f t="shared" si="14"/>
        <v>145</v>
      </c>
      <c r="B146" s="17">
        <v>46174</v>
      </c>
      <c r="C146" s="16" t="s">
        <v>50</v>
      </c>
      <c r="D146" s="8" t="str">
        <f>IFERROR(VLOOKUP(C146,产品数据!$B:$D,2,FALSE),"")</f>
        <v>2kg/包*6包/箱</v>
      </c>
      <c r="E146" s="8">
        <v>6</v>
      </c>
      <c r="F146" s="8" t="str">
        <f>IFERROR(VLOOKUP(C146,产品数据!$B:$D,3,FALSE),"")</f>
        <v>包</v>
      </c>
      <c r="G146" s="8"/>
      <c r="H146" s="17"/>
      <c r="I146" s="5" t="str">
        <f>IF(C146=0,"",IF(H146=0,"未记录生产日期",IFERROR(H146+IFERROR(VLOOKUP(C146,产品数据!$B:$F,5,FALSE),"未录入生产日期"),"未写入保质期")))</f>
        <v>未记录生产日期</v>
      </c>
    </row>
    <row r="147" spans="1:9">
      <c r="A147" s="8">
        <f t="shared" si="14"/>
        <v>146</v>
      </c>
      <c r="B147" s="17">
        <v>46176</v>
      </c>
      <c r="C147" s="16" t="s">
        <v>54</v>
      </c>
      <c r="D147" s="8" t="str">
        <f>IFERROR(VLOOKUP(C147,产品数据!$B:$D,2,FALSE),"")</f>
        <v>1kg*6瓶/箱</v>
      </c>
      <c r="E147" s="8">
        <v>30</v>
      </c>
      <c r="F147" s="8" t="str">
        <f>IFERROR(VLOOKUP(C147,产品数据!$B:$D,3,FALSE),"")</f>
        <v>瓶</v>
      </c>
      <c r="G147" s="8"/>
      <c r="H147" s="17">
        <v>46131</v>
      </c>
      <c r="I147" s="5">
        <f>IF(C147=0,"",IF(H147=0,"未记录生产日期",IFERROR(H147+IFERROR(VLOOKUP(C147,产品数据!$B:$F,5,FALSE),"未录入生产日期"),"未写入保质期")))</f>
        <v>46581</v>
      </c>
    </row>
    <row r="148" spans="1:9">
      <c r="A148" s="8">
        <f t="shared" si="14"/>
        <v>147</v>
      </c>
      <c r="B148" s="17"/>
      <c r="C148" s="16"/>
      <c r="D148" s="8" t="str">
        <f>IFERROR(VLOOKUP(C148,产品数据!$B:$D,2,FALSE),"")</f>
        <v/>
      </c>
      <c r="E148" s="8"/>
      <c r="F148" s="8" t="str">
        <f>IFERROR(VLOOKUP(C148,产品数据!$B:$D,3,FALSE),"")</f>
        <v/>
      </c>
      <c r="G148" s="8"/>
      <c r="H148" s="17"/>
      <c r="I148" s="5" t="str">
        <f>IF(C148=0,"",IF(H148=0,"未记录生产日期",IFERROR(H148+IFERROR(VLOOKUP(C148,产品数据!$B:$F,5,FALSE),"未录入生产日期"),"未写入保质期")))</f>
        <v/>
      </c>
    </row>
    <row r="149" spans="1:9">
      <c r="A149" s="8">
        <f t="shared" si="14"/>
        <v>148</v>
      </c>
      <c r="B149" s="17"/>
      <c r="C149" s="16"/>
      <c r="D149" s="8" t="str">
        <f>IFERROR(VLOOKUP(C149,产品数据!$B:$D,2,FALSE),"")</f>
        <v/>
      </c>
      <c r="E149" s="8"/>
      <c r="F149" s="8" t="str">
        <f>IFERROR(VLOOKUP(C149,产品数据!$B:$D,3,FALSE),"")</f>
        <v/>
      </c>
      <c r="G149" s="8"/>
      <c r="H149" s="17"/>
      <c r="I149" s="5" t="str">
        <f>IF(C149=0,"",IF(H149=0,"未记录生产日期",IFERROR(H149+IFERROR(VLOOKUP(C149,产品数据!$B:$F,5,FALSE),"未录入生产日期"),"未写入保质期")))</f>
        <v/>
      </c>
    </row>
    <row r="150" spans="1:9">
      <c r="A150" s="8">
        <f t="shared" si="14"/>
        <v>149</v>
      </c>
      <c r="B150" s="17"/>
      <c r="C150" s="16"/>
      <c r="D150" s="8" t="str">
        <f>IFERROR(VLOOKUP(C150,产品数据!$B:$D,2,FALSE),"")</f>
        <v/>
      </c>
      <c r="E150" s="8"/>
      <c r="F150" s="8" t="str">
        <f>IFERROR(VLOOKUP(C150,产品数据!$B:$D,3,FALSE),"")</f>
        <v/>
      </c>
      <c r="G150" s="8"/>
      <c r="H150" s="17"/>
      <c r="I150" s="5" t="str">
        <f>IF(C150=0,"",IF(H150=0,"未记录生产日期",IFERROR(H150+IFERROR(VLOOKUP(C150,产品数据!$B:$F,5,FALSE),"未录入生产日期"),"未写入保质期")))</f>
        <v/>
      </c>
    </row>
    <row r="151" spans="1:9">
      <c r="A151" s="8">
        <f t="shared" ref="A151:A160" si="15">ROW()-1</f>
        <v>150</v>
      </c>
      <c r="B151" s="17"/>
      <c r="C151" s="16"/>
      <c r="D151" s="8" t="str">
        <f>IFERROR(VLOOKUP(C151,产品数据!$B:$D,2,FALSE),"")</f>
        <v/>
      </c>
      <c r="E151" s="8"/>
      <c r="F151" s="8" t="str">
        <f>IFERROR(VLOOKUP(C151,产品数据!$B:$D,3,FALSE),"")</f>
        <v/>
      </c>
      <c r="G151" s="8"/>
      <c r="H151" s="17"/>
      <c r="I151" s="5" t="str">
        <f>IF(C151=0,"",IF(H151=0,"未记录生产日期",IFERROR(H151+IFERROR(VLOOKUP(C151,产品数据!$B:$F,5,FALSE),"未录入生产日期"),"未写入保质期")))</f>
        <v/>
      </c>
    </row>
    <row r="152" spans="1:9">
      <c r="A152" s="8">
        <f t="shared" si="15"/>
        <v>151</v>
      </c>
      <c r="B152" s="17"/>
      <c r="C152" s="16"/>
      <c r="D152" s="8" t="str">
        <f>IFERROR(VLOOKUP(C152,产品数据!$B:$D,2,FALSE),"")</f>
        <v/>
      </c>
      <c r="E152" s="8"/>
      <c r="F152" s="8" t="str">
        <f>IFERROR(VLOOKUP(C152,产品数据!$B:$D,3,FALSE),"")</f>
        <v/>
      </c>
      <c r="G152" s="8"/>
      <c r="H152" s="17"/>
      <c r="I152" s="5" t="str">
        <f>IF(C152=0,"",IF(H152=0,"未记录生产日期",IFERROR(H152+IFERROR(VLOOKUP(C152,产品数据!$B:$F,5,FALSE),"未录入生产日期"),"未写入保质期")))</f>
        <v/>
      </c>
    </row>
    <row r="153" spans="1:9">
      <c r="A153" s="8">
        <f t="shared" si="15"/>
        <v>152</v>
      </c>
      <c r="B153" s="17"/>
      <c r="C153" s="16"/>
      <c r="D153" s="8" t="str">
        <f>IFERROR(VLOOKUP(C153,产品数据!$B:$D,2,FALSE),"")</f>
        <v/>
      </c>
      <c r="E153" s="8"/>
      <c r="F153" s="8" t="str">
        <f>IFERROR(VLOOKUP(C153,产品数据!$B:$D,3,FALSE),"")</f>
        <v/>
      </c>
      <c r="G153" s="8"/>
      <c r="H153" s="17"/>
      <c r="I153" s="5" t="str">
        <f>IF(C153=0,"",IF(H153=0,"未记录生产日期",IFERROR(H153+IFERROR(VLOOKUP(C153,产品数据!$B:$F,5,FALSE),"未录入生产日期"),"未写入保质期")))</f>
        <v/>
      </c>
    </row>
    <row r="154" spans="1:9">
      <c r="A154" s="8">
        <f t="shared" si="15"/>
        <v>153</v>
      </c>
      <c r="B154" s="17"/>
      <c r="C154" s="16"/>
      <c r="D154" s="8" t="str">
        <f>IFERROR(VLOOKUP(C154,产品数据!$B:$D,2,FALSE),"")</f>
        <v/>
      </c>
      <c r="E154" s="16"/>
      <c r="F154" s="8" t="str">
        <f>IFERROR(VLOOKUP(C154,产品数据!$B:$D,3,FALSE),"")</f>
        <v/>
      </c>
      <c r="G154" s="8"/>
      <c r="H154" s="17"/>
      <c r="I154" s="5" t="str">
        <f>IF(C154=0,"",IF(H154=0,"未记录生产日期",IFERROR(H154+IFERROR(VLOOKUP(C154,产品数据!$B:$F,5,FALSE),"未录入生产日期"),"未写入保质期")))</f>
        <v/>
      </c>
    </row>
    <row r="155" spans="1:9">
      <c r="A155" s="8">
        <f t="shared" si="15"/>
        <v>154</v>
      </c>
      <c r="B155" s="17"/>
      <c r="C155" s="16"/>
      <c r="D155" s="8" t="str">
        <f>IFERROR(VLOOKUP(C155,产品数据!$B:$D,2,FALSE),"")</f>
        <v/>
      </c>
      <c r="E155" s="8"/>
      <c r="F155" s="8" t="str">
        <f>IFERROR(VLOOKUP(C155,产品数据!$B:$D,3,FALSE),"")</f>
        <v/>
      </c>
      <c r="G155" s="8"/>
      <c r="H155" s="17"/>
      <c r="I155" s="5" t="str">
        <f>IF(C155=0,"",IF(H155=0,"未记录生产日期",IFERROR(H155+IFERROR(VLOOKUP(C155,产品数据!$B:$F,5,FALSE),"未录入生产日期"),"未写入保质期")))</f>
        <v/>
      </c>
    </row>
    <row r="156" spans="1:9">
      <c r="A156" s="8">
        <f t="shared" si="15"/>
        <v>155</v>
      </c>
      <c r="B156" s="17"/>
      <c r="C156" s="16"/>
      <c r="D156" s="8" t="str">
        <f>IFERROR(VLOOKUP(C156,产品数据!$B:$D,2,FALSE),"")</f>
        <v/>
      </c>
      <c r="E156" s="8"/>
      <c r="F156" s="8" t="str">
        <f>IFERROR(VLOOKUP(C156,产品数据!$B:$D,3,FALSE),"")</f>
        <v/>
      </c>
      <c r="G156" s="8"/>
      <c r="H156" s="17"/>
      <c r="I156" s="5" t="str">
        <f>IF(C156=0,"",IF(H156=0,"未记录生产日期",IFERROR(H156+IFERROR(VLOOKUP(C156,产品数据!$B:$F,5,FALSE),"未录入生产日期"),"未写入保质期")))</f>
        <v/>
      </c>
    </row>
    <row r="157" spans="1:9">
      <c r="A157" s="8">
        <f t="shared" si="15"/>
        <v>156</v>
      </c>
      <c r="B157" s="17"/>
      <c r="C157" s="16"/>
      <c r="D157" s="8" t="str">
        <f>IFERROR(VLOOKUP(C157,产品数据!$B:$D,2,FALSE),"")</f>
        <v/>
      </c>
      <c r="E157" s="8"/>
      <c r="F157" s="8" t="str">
        <f>IFERROR(VLOOKUP(C157,产品数据!$B:$D,3,FALSE),"")</f>
        <v/>
      </c>
      <c r="G157" s="8"/>
      <c r="H157" s="17"/>
      <c r="I157" s="5" t="str">
        <f>IF(C157=0,"",IF(H157=0,"未记录生产日期",IFERROR(H157+IFERROR(VLOOKUP(C157,产品数据!$B:$F,5,FALSE),"未录入生产日期"),"未写入保质期")))</f>
        <v/>
      </c>
    </row>
    <row r="158" spans="1:9">
      <c r="A158" s="8">
        <f t="shared" si="15"/>
        <v>157</v>
      </c>
      <c r="B158" s="17"/>
      <c r="C158" s="16"/>
      <c r="D158" s="8" t="str">
        <f>IFERROR(VLOOKUP(C158,产品数据!$B:$D,2,FALSE),"")</f>
        <v/>
      </c>
      <c r="E158" s="8"/>
      <c r="F158" s="8" t="str">
        <f>IFERROR(VLOOKUP(C158,产品数据!$B:$D,3,FALSE),"")</f>
        <v/>
      </c>
      <c r="G158" s="8"/>
      <c r="H158" s="17"/>
      <c r="I158" s="5" t="str">
        <f>IF(C158=0,"",IF(H158=0,"未记录生产日期",IFERROR(H158+IFERROR(VLOOKUP(C158,产品数据!$B:$F,5,FALSE),"未录入生产日期"),"未写入保质期")))</f>
        <v/>
      </c>
    </row>
    <row r="159" spans="1:9">
      <c r="A159" s="8">
        <f t="shared" si="15"/>
        <v>158</v>
      </c>
      <c r="B159" s="17"/>
      <c r="C159" s="16"/>
      <c r="D159" s="8" t="str">
        <f>IFERROR(VLOOKUP(C159,产品数据!$B:$D,2,FALSE),"")</f>
        <v/>
      </c>
      <c r="E159" s="8"/>
      <c r="F159" s="8" t="str">
        <f>IFERROR(VLOOKUP(C159,产品数据!$B:$D,3,FALSE),"")</f>
        <v/>
      </c>
      <c r="G159" s="8"/>
      <c r="H159" s="17"/>
      <c r="I159" s="5" t="str">
        <f>IF(C159=0,"",IF(H159=0,"未记录生产日期",IFERROR(H159+IFERROR(VLOOKUP(C159,产品数据!$B:$F,5,FALSE),"未录入生产日期"),"未写入保质期")))</f>
        <v/>
      </c>
    </row>
    <row r="160" spans="1:9">
      <c r="A160" s="8">
        <f t="shared" si="15"/>
        <v>159</v>
      </c>
      <c r="B160" s="17"/>
      <c r="C160" s="16"/>
      <c r="D160" s="8" t="str">
        <f>IFERROR(VLOOKUP(C160,产品数据!$B:$D,2,FALSE),"")</f>
        <v/>
      </c>
      <c r="E160" s="8"/>
      <c r="F160" s="8" t="str">
        <f>IFERROR(VLOOKUP(C160,产品数据!$B:$D,3,FALSE),"")</f>
        <v/>
      </c>
      <c r="G160" s="8"/>
      <c r="H160" s="17"/>
      <c r="I160" s="5" t="str">
        <f>IF(C160=0,"",IF(H160=0,"未记录生产日期",IFERROR(H160+IFERROR(VLOOKUP(C160,产品数据!$B:$F,5,FALSE),"未录入生产日期"),"未写入保质期")))</f>
        <v/>
      </c>
    </row>
    <row r="161" spans="1:9">
      <c r="A161" s="8">
        <f t="shared" ref="A161:A170" si="16">ROW()-1</f>
        <v>160</v>
      </c>
      <c r="B161" s="17"/>
      <c r="C161" s="16"/>
      <c r="D161" s="8" t="str">
        <f>IFERROR(VLOOKUP(C161,产品数据!$B:$D,2,FALSE),"")</f>
        <v/>
      </c>
      <c r="E161" s="8"/>
      <c r="F161" s="8" t="str">
        <f>IFERROR(VLOOKUP(C161,产品数据!$B:$D,3,FALSE),"")</f>
        <v/>
      </c>
      <c r="G161" s="8"/>
      <c r="H161" s="17"/>
      <c r="I161" s="5" t="str">
        <f>IF(C161=0,"",IF(H161=0,"未记录生产日期",IFERROR(H161+IFERROR(VLOOKUP(C161,产品数据!$B:$F,5,FALSE),"未录入生产日期"),"未写入保质期")))</f>
        <v/>
      </c>
    </row>
    <row r="162" spans="1:9">
      <c r="A162" s="8">
        <f t="shared" si="16"/>
        <v>161</v>
      </c>
      <c r="B162" s="17"/>
      <c r="C162" s="16"/>
      <c r="D162" s="8" t="str">
        <f>IFERROR(VLOOKUP(C162,产品数据!$B:$D,2,FALSE),"")</f>
        <v/>
      </c>
      <c r="E162" s="8"/>
      <c r="F162" s="8" t="str">
        <f>IFERROR(VLOOKUP(C162,产品数据!$B:$D,3,FALSE),"")</f>
        <v/>
      </c>
      <c r="G162" s="8"/>
      <c r="H162" s="17"/>
      <c r="I162" s="5" t="str">
        <f>IF(C162=0,"",IF(H162=0,"未记录生产日期",IFERROR(H162+IFERROR(VLOOKUP(C162,产品数据!$B:$F,5,FALSE),"未录入生产日期"),"未写入保质期")))</f>
        <v/>
      </c>
    </row>
    <row r="163" spans="1:9">
      <c r="A163" s="8">
        <f t="shared" si="16"/>
        <v>162</v>
      </c>
      <c r="B163" s="17"/>
      <c r="C163" s="16"/>
      <c r="D163" s="8" t="str">
        <f>IFERROR(VLOOKUP(C163,产品数据!$B:$D,2,FALSE),"")</f>
        <v/>
      </c>
      <c r="E163" s="8"/>
      <c r="F163" s="8" t="str">
        <f>IFERROR(VLOOKUP(C163,产品数据!$B:$D,3,FALSE),"")</f>
        <v/>
      </c>
      <c r="G163" s="8"/>
      <c r="H163" s="17"/>
      <c r="I163" s="5" t="str">
        <f>IF(C163=0,"",IF(H163=0,"未记录生产日期",IFERROR(H163+IFERROR(VLOOKUP(C163,产品数据!$B:$F,5,FALSE),"未录入生产日期"),"未写入保质期")))</f>
        <v/>
      </c>
    </row>
    <row r="164" spans="1:9">
      <c r="A164" s="8">
        <f t="shared" si="16"/>
        <v>163</v>
      </c>
      <c r="B164" s="17"/>
      <c r="C164" s="16"/>
      <c r="D164" s="8" t="str">
        <f>IFERROR(VLOOKUP(C164,产品数据!$B:$D,2,FALSE),"")</f>
        <v/>
      </c>
      <c r="E164" s="8"/>
      <c r="F164" s="8" t="str">
        <f>IFERROR(VLOOKUP(C164,产品数据!$B:$D,3,FALSE),"")</f>
        <v/>
      </c>
      <c r="G164" s="8"/>
      <c r="H164" s="17"/>
      <c r="I164" s="5" t="str">
        <f>IF(C164=0,"",IF(H164=0,"未记录生产日期",IFERROR(H164+IFERROR(VLOOKUP(C164,产品数据!$B:$F,5,FALSE),"未录入生产日期"),"未写入保质期")))</f>
        <v/>
      </c>
    </row>
    <row r="165" spans="1:9">
      <c r="A165" s="8">
        <f t="shared" si="16"/>
        <v>164</v>
      </c>
      <c r="B165" s="17"/>
      <c r="C165" s="16"/>
      <c r="D165" s="8" t="str">
        <f>IFERROR(VLOOKUP(C165,产品数据!$B:$D,2,FALSE),"")</f>
        <v/>
      </c>
      <c r="E165" s="8"/>
      <c r="F165" s="8" t="str">
        <f>IFERROR(VLOOKUP(C165,产品数据!$B:$D,3,FALSE),"")</f>
        <v/>
      </c>
      <c r="G165" s="8"/>
      <c r="H165" s="17"/>
      <c r="I165" s="5" t="str">
        <f>IF(C165=0,"",IF(H165=0,"未记录生产日期",IFERROR(H165+IFERROR(VLOOKUP(C165,产品数据!$B:$F,5,FALSE),"未录入生产日期"),"未写入保质期")))</f>
        <v/>
      </c>
    </row>
    <row r="166" spans="1:9">
      <c r="A166" s="8">
        <f t="shared" si="16"/>
        <v>165</v>
      </c>
      <c r="B166" s="17"/>
      <c r="C166" s="16"/>
      <c r="D166" s="8" t="str">
        <f>IFERROR(VLOOKUP(C166,产品数据!$B:$D,2,FALSE),"")</f>
        <v/>
      </c>
      <c r="E166" s="8"/>
      <c r="F166" s="8" t="str">
        <f>IFERROR(VLOOKUP(C166,产品数据!$B:$D,3,FALSE),"")</f>
        <v/>
      </c>
      <c r="G166" s="8"/>
      <c r="H166" s="17"/>
      <c r="I166" s="5" t="str">
        <f>IF(C166=0,"",IF(H166=0,"未记录生产日期",IFERROR(H166+IFERROR(VLOOKUP(C166,产品数据!$B:$F,5,FALSE),"未录入生产日期"),"未写入保质期")))</f>
        <v/>
      </c>
    </row>
    <row r="167" spans="1:9">
      <c r="A167" s="8">
        <f t="shared" si="16"/>
        <v>166</v>
      </c>
      <c r="B167" s="17"/>
      <c r="C167" s="16"/>
      <c r="D167" s="8" t="str">
        <f>IFERROR(VLOOKUP(C167,产品数据!$B:$D,2,FALSE),"")</f>
        <v/>
      </c>
      <c r="E167" s="8"/>
      <c r="F167" s="8" t="str">
        <f>IFERROR(VLOOKUP(C167,产品数据!$B:$D,3,FALSE),"")</f>
        <v/>
      </c>
      <c r="G167" s="19"/>
      <c r="H167" s="17"/>
      <c r="I167" s="5" t="str">
        <f>IF(C167=0,"",IF(H167=0,"未记录生产日期",IFERROR(H167+IFERROR(VLOOKUP(C167,产品数据!$B:$F,5,FALSE),"未录入生产日期"),"未写入保质期")))</f>
        <v/>
      </c>
    </row>
    <row r="168" spans="1:9">
      <c r="A168" s="8">
        <f t="shared" si="16"/>
        <v>167</v>
      </c>
      <c r="B168" s="17"/>
      <c r="C168" s="16"/>
      <c r="D168" s="8" t="str">
        <f>IFERROR(VLOOKUP(C168,产品数据!$B:$D,2,FALSE),"")</f>
        <v/>
      </c>
      <c r="E168" s="8"/>
      <c r="F168" s="8" t="str">
        <f>IFERROR(VLOOKUP(C168,产品数据!$B:$D,3,FALSE),"")</f>
        <v/>
      </c>
      <c r="G168" s="8"/>
      <c r="H168" s="17"/>
      <c r="I168" s="5" t="str">
        <f>IF(C168=0,"",IF(H168=0,"未记录生产日期",IFERROR(H168+IFERROR(VLOOKUP(C168,产品数据!$B:$F,5,FALSE),"未录入生产日期"),"未写入保质期")))</f>
        <v/>
      </c>
    </row>
    <row r="169" spans="1:9">
      <c r="A169" s="8">
        <f t="shared" si="16"/>
        <v>168</v>
      </c>
      <c r="B169" s="17"/>
      <c r="C169" s="16"/>
      <c r="D169" s="8" t="str">
        <f>IFERROR(VLOOKUP(C169,产品数据!$B:$D,2,FALSE),"")</f>
        <v/>
      </c>
      <c r="E169" s="8"/>
      <c r="F169" s="8" t="str">
        <f>IFERROR(VLOOKUP(C169,产品数据!$B:$D,3,FALSE),"")</f>
        <v/>
      </c>
      <c r="G169" s="8"/>
      <c r="H169" s="17"/>
      <c r="I169" s="5" t="str">
        <f>IF(C169=0,"",IF(H169=0,"未记录生产日期",IFERROR(H169+IFERROR(VLOOKUP(C169,产品数据!$B:$F,5,FALSE),"未录入生产日期"),"未写入保质期")))</f>
        <v/>
      </c>
    </row>
    <row r="170" spans="1:9">
      <c r="A170" s="8">
        <f t="shared" si="16"/>
        <v>169</v>
      </c>
      <c r="B170" s="17"/>
      <c r="C170" s="16"/>
      <c r="D170" s="8" t="str">
        <f>IFERROR(VLOOKUP(C170,产品数据!$B:$D,2,FALSE),"")</f>
        <v/>
      </c>
      <c r="E170" s="8"/>
      <c r="F170" s="8" t="str">
        <f>IFERROR(VLOOKUP(C170,产品数据!$B:$D,3,FALSE),"")</f>
        <v/>
      </c>
      <c r="G170" s="8"/>
      <c r="H170" s="17"/>
      <c r="I170" s="5" t="str">
        <f>IF(C170=0,"",IF(H170=0,"未记录生产日期",IFERROR(H170+IFERROR(VLOOKUP(C170,产品数据!$B:$F,5,FALSE),"未录入生产日期"),"未写入保质期")))</f>
        <v/>
      </c>
    </row>
    <row r="171" spans="1:9">
      <c r="A171" s="8">
        <f t="shared" ref="A171:A180" si="17">ROW()-1</f>
        <v>170</v>
      </c>
      <c r="B171" s="17"/>
      <c r="C171" s="16"/>
      <c r="D171" s="8" t="str">
        <f>IFERROR(VLOOKUP(C171,产品数据!$B:$D,2,FALSE),"")</f>
        <v/>
      </c>
      <c r="E171" s="8"/>
      <c r="F171" s="8" t="str">
        <f>IFERROR(VLOOKUP(C171,产品数据!$B:$D,3,FALSE),"")</f>
        <v/>
      </c>
      <c r="G171" s="8"/>
      <c r="H171" s="17"/>
      <c r="I171" s="5" t="str">
        <f>IF(C171=0,"",IF(H171=0,"未记录生产日期",IFERROR(H171+IFERROR(VLOOKUP(C171,产品数据!$B:$F,5,FALSE),"未录入生产日期"),"未写入保质期")))</f>
        <v/>
      </c>
    </row>
    <row r="172" spans="1:9">
      <c r="A172" s="8">
        <f t="shared" si="17"/>
        <v>171</v>
      </c>
      <c r="B172" s="17"/>
      <c r="C172" s="16"/>
      <c r="D172" s="8" t="str">
        <f>IFERROR(VLOOKUP(C172,产品数据!$B:$D,2,FALSE),"")</f>
        <v/>
      </c>
      <c r="E172" s="8"/>
      <c r="F172" s="8" t="str">
        <f>IFERROR(VLOOKUP(C172,产品数据!$B:$D,3,FALSE),"")</f>
        <v/>
      </c>
      <c r="G172" s="8"/>
      <c r="H172" s="17"/>
      <c r="I172" s="5" t="str">
        <f>IF(C172=0,"",IF(H172=0,"未记录生产日期",IFERROR(H172+IFERROR(VLOOKUP(C172,产品数据!$B:$F,5,FALSE),"未录入生产日期"),"未写入保质期")))</f>
        <v/>
      </c>
    </row>
    <row r="173" spans="1:9">
      <c r="A173" s="8">
        <f t="shared" si="17"/>
        <v>172</v>
      </c>
      <c r="B173" s="17"/>
      <c r="C173" s="16"/>
      <c r="D173" s="8" t="str">
        <f>IFERROR(VLOOKUP(C173,产品数据!$B:$D,2,FALSE),"")</f>
        <v/>
      </c>
      <c r="E173" s="8"/>
      <c r="F173" s="8" t="str">
        <f>IFERROR(VLOOKUP(C173,产品数据!$B:$D,3,FALSE),"")</f>
        <v/>
      </c>
      <c r="G173" s="8"/>
      <c r="H173" s="17"/>
      <c r="I173" s="5" t="str">
        <f>IF(C173=0,"",IF(H173=0,"未记录生产日期",IFERROR(H173+IFERROR(VLOOKUP(C173,产品数据!$B:$F,5,FALSE),"未录入生产日期"),"未写入保质期")))</f>
        <v/>
      </c>
    </row>
    <row r="174" spans="1:9">
      <c r="A174" s="8">
        <f t="shared" si="17"/>
        <v>173</v>
      </c>
      <c r="B174" s="17"/>
      <c r="C174" s="16"/>
      <c r="D174" s="8" t="str">
        <f>IFERROR(VLOOKUP(C174,产品数据!$B:$D,2,FALSE),"")</f>
        <v/>
      </c>
      <c r="E174" s="8"/>
      <c r="F174" s="8" t="str">
        <f>IFERROR(VLOOKUP(C174,产品数据!$B:$D,3,FALSE),"")</f>
        <v/>
      </c>
      <c r="G174" s="8"/>
      <c r="H174" s="17"/>
      <c r="I174" s="5" t="str">
        <f>IF(C174=0,"",IF(H174=0,"未记录生产日期",IFERROR(H174+IFERROR(VLOOKUP(C174,产品数据!$B:$F,5,FALSE),"未录入生产日期"),"未写入保质期")))</f>
        <v/>
      </c>
    </row>
    <row r="175" spans="1:9">
      <c r="A175" s="8">
        <f t="shared" si="17"/>
        <v>174</v>
      </c>
      <c r="B175" s="17"/>
      <c r="C175" s="16"/>
      <c r="D175" s="8" t="str">
        <f>IFERROR(VLOOKUP(C175,产品数据!$B:$D,2,FALSE),"")</f>
        <v/>
      </c>
      <c r="E175" s="8"/>
      <c r="F175" s="8" t="str">
        <f>IFERROR(VLOOKUP(C175,产品数据!$B:$D,3,FALSE),"")</f>
        <v/>
      </c>
      <c r="G175" s="8"/>
      <c r="H175" s="17"/>
      <c r="I175" s="5" t="str">
        <f>IF(C175=0,"",IF(H175=0,"未记录生产日期",IFERROR(H175+IFERROR(VLOOKUP(C175,产品数据!$B:$F,5,FALSE),"未录入生产日期"),"未写入保质期")))</f>
        <v/>
      </c>
    </row>
    <row r="176" spans="1:9">
      <c r="A176" s="8">
        <f t="shared" si="17"/>
        <v>175</v>
      </c>
      <c r="B176" s="17"/>
      <c r="C176" s="16"/>
      <c r="D176" s="8" t="str">
        <f>IFERROR(VLOOKUP(C176,产品数据!$B:$D,2,FALSE),"")</f>
        <v/>
      </c>
      <c r="E176" s="8"/>
      <c r="F176" s="8" t="str">
        <f>IFERROR(VLOOKUP(C176,产品数据!$B:$D,3,FALSE),"")</f>
        <v/>
      </c>
      <c r="G176" s="8"/>
      <c r="H176" s="17"/>
      <c r="I176" s="5" t="str">
        <f>IF(C176=0,"",IF(H176=0,"未记录生产日期",IFERROR(H176+IFERROR(VLOOKUP(C176,产品数据!$B:$F,5,FALSE),"未录入生产日期"),"未写入保质期")))</f>
        <v/>
      </c>
    </row>
    <row r="177" spans="1:9">
      <c r="A177" s="8">
        <f t="shared" si="17"/>
        <v>176</v>
      </c>
      <c r="B177" s="17"/>
      <c r="C177" s="16"/>
      <c r="D177" s="8" t="str">
        <f>IFERROR(VLOOKUP(C177,产品数据!$B:$D,2,FALSE),"")</f>
        <v/>
      </c>
      <c r="E177" s="8"/>
      <c r="F177" s="8" t="str">
        <f>IFERROR(VLOOKUP(C177,产品数据!$B:$D,3,FALSE),"")</f>
        <v/>
      </c>
      <c r="G177" s="8"/>
      <c r="H177" s="17"/>
      <c r="I177" s="5" t="str">
        <f>IF(C177=0,"",IF(H177=0,"未记录生产日期",IFERROR(H177+IFERROR(VLOOKUP(C177,产品数据!$B:$F,5,FALSE),"未录入生产日期"),"未写入保质期")))</f>
        <v/>
      </c>
    </row>
    <row r="178" spans="1:9">
      <c r="A178" s="8">
        <f t="shared" si="17"/>
        <v>177</v>
      </c>
      <c r="B178" s="17"/>
      <c r="C178" s="16"/>
      <c r="D178" s="8" t="str">
        <f>IFERROR(VLOOKUP(C178,产品数据!$B:$D,2,FALSE),"")</f>
        <v/>
      </c>
      <c r="E178" s="8"/>
      <c r="F178" s="8" t="str">
        <f>IFERROR(VLOOKUP(C178,产品数据!$B:$D,3,FALSE),"")</f>
        <v/>
      </c>
      <c r="G178" s="8"/>
      <c r="H178" s="17"/>
      <c r="I178" s="5" t="str">
        <f>IF(C178=0,"",IF(H178=0,"未记录生产日期",IFERROR(H178+IFERROR(VLOOKUP(C178,产品数据!$B:$F,5,FALSE),"未录入生产日期"),"未写入保质期")))</f>
        <v/>
      </c>
    </row>
    <row r="179" spans="1:9">
      <c r="A179" s="8">
        <f t="shared" si="17"/>
        <v>178</v>
      </c>
      <c r="B179" s="17"/>
      <c r="C179" s="16"/>
      <c r="D179" s="8" t="str">
        <f>IFERROR(VLOOKUP(C179,产品数据!$B:$D,2,FALSE),"")</f>
        <v/>
      </c>
      <c r="E179" s="8"/>
      <c r="F179" s="8" t="str">
        <f>IFERROR(VLOOKUP(C179,产品数据!$B:$D,3,FALSE),"")</f>
        <v/>
      </c>
      <c r="G179" s="8"/>
      <c r="H179" s="17"/>
      <c r="I179" s="5" t="str">
        <f>IF(C179=0,"",IF(H179=0,"未记录生产日期",IFERROR(H179+IFERROR(VLOOKUP(C179,产品数据!$B:$F,5,FALSE),"未录入生产日期"),"未写入保质期")))</f>
        <v/>
      </c>
    </row>
    <row r="180" spans="1:9">
      <c r="A180" s="8">
        <f t="shared" si="17"/>
        <v>179</v>
      </c>
      <c r="B180" s="17"/>
      <c r="C180" s="16"/>
      <c r="D180" s="8" t="str">
        <f>IFERROR(VLOOKUP(C180,产品数据!$B:$D,2,FALSE),"")</f>
        <v/>
      </c>
      <c r="E180" s="8"/>
      <c r="F180" s="8" t="str">
        <f>IFERROR(VLOOKUP(C180,产品数据!$B:$D,3,FALSE),"")</f>
        <v/>
      </c>
      <c r="G180" s="8"/>
      <c r="H180" s="17"/>
      <c r="I180" s="5" t="str">
        <f>IF(C180=0,"",IF(H180=0,"未记录生产日期",IFERROR(H180+IFERROR(VLOOKUP(C180,产品数据!$B:$F,5,FALSE),"未录入生产日期"),"未写入保质期")))</f>
        <v/>
      </c>
    </row>
    <row r="181" spans="1:9">
      <c r="A181" s="8">
        <f t="shared" ref="A181:A190" si="18">ROW()-1</f>
        <v>180</v>
      </c>
      <c r="B181" s="17"/>
      <c r="C181" s="16"/>
      <c r="D181" s="8" t="str">
        <f>IFERROR(VLOOKUP(C181,产品数据!$B:$D,2,FALSE),"")</f>
        <v/>
      </c>
      <c r="E181" s="8"/>
      <c r="F181" s="8" t="str">
        <f>IFERROR(VLOOKUP(C181,产品数据!$B:$D,3,FALSE),"")</f>
        <v/>
      </c>
      <c r="G181" s="8"/>
      <c r="H181" s="17"/>
      <c r="I181" s="5" t="str">
        <f>IF(C181=0,"",IF(H181=0,"未记录生产日期",IFERROR(H181+IFERROR(VLOOKUP(C181,产品数据!$B:$F,5,FALSE),"未录入生产日期"),"未写入保质期")))</f>
        <v/>
      </c>
    </row>
    <row r="182" spans="1:9">
      <c r="A182" s="8">
        <f t="shared" si="18"/>
        <v>181</v>
      </c>
      <c r="B182" s="17"/>
      <c r="C182" s="16"/>
      <c r="D182" s="8" t="str">
        <f>IFERROR(VLOOKUP(C182,产品数据!$B:$D,2,FALSE),"")</f>
        <v/>
      </c>
      <c r="E182" s="8"/>
      <c r="F182" s="8" t="str">
        <f>IFERROR(VLOOKUP(C182,产品数据!$B:$D,3,FALSE),"")</f>
        <v/>
      </c>
      <c r="G182" s="8"/>
      <c r="H182" s="17"/>
      <c r="I182" s="5" t="str">
        <f>IF(C182=0,"",IF(H182=0,"未记录生产日期",IFERROR(H182+IFERROR(VLOOKUP(C182,产品数据!$B:$F,5,FALSE),"未录入生产日期"),"未写入保质期")))</f>
        <v/>
      </c>
    </row>
    <row r="183" spans="1:9">
      <c r="A183" s="8">
        <f t="shared" si="18"/>
        <v>182</v>
      </c>
      <c r="B183" s="17"/>
      <c r="C183" s="16"/>
      <c r="D183" s="8" t="str">
        <f>IFERROR(VLOOKUP(C183,产品数据!$B:$D,2,FALSE),"")</f>
        <v/>
      </c>
      <c r="E183" s="8"/>
      <c r="F183" s="8" t="str">
        <f>IFERROR(VLOOKUP(C183,产品数据!$B:$D,3,FALSE),"")</f>
        <v/>
      </c>
      <c r="G183" s="8"/>
      <c r="H183" s="17"/>
      <c r="I183" s="5" t="str">
        <f>IF(C183=0,"",IF(H183=0,"未记录生产日期",IFERROR(H183+IFERROR(VLOOKUP(C183,产品数据!$B:$F,5,FALSE),"未录入生产日期"),"未写入保质期")))</f>
        <v/>
      </c>
    </row>
    <row r="184" spans="1:9">
      <c r="A184" s="8">
        <f t="shared" si="18"/>
        <v>183</v>
      </c>
      <c r="B184" s="17"/>
      <c r="C184" s="16"/>
      <c r="D184" s="8" t="str">
        <f>IFERROR(VLOOKUP(C184,产品数据!$B:$D,2,FALSE),"")</f>
        <v/>
      </c>
      <c r="E184" s="8"/>
      <c r="F184" s="8" t="str">
        <f>IFERROR(VLOOKUP(C184,产品数据!$B:$D,3,FALSE),"")</f>
        <v/>
      </c>
      <c r="G184" s="8"/>
      <c r="H184" s="17"/>
      <c r="I184" s="5" t="str">
        <f>IF(C184=0,"",IF(H184=0,"未记录生产日期",IFERROR(H184+IFERROR(VLOOKUP(C184,产品数据!$B:$F,5,FALSE),"未录入生产日期"),"未写入保质期")))</f>
        <v/>
      </c>
    </row>
    <row r="185" spans="1:9">
      <c r="A185" s="8">
        <f t="shared" si="18"/>
        <v>184</v>
      </c>
      <c r="B185" s="17"/>
      <c r="C185" s="16"/>
      <c r="D185" s="8" t="str">
        <f>IFERROR(VLOOKUP(C185,产品数据!$B:$D,2,FALSE),"")</f>
        <v/>
      </c>
      <c r="E185" s="8"/>
      <c r="F185" s="8" t="str">
        <f>IFERROR(VLOOKUP(C185,产品数据!$B:$D,3,FALSE),"")</f>
        <v/>
      </c>
      <c r="G185" s="8"/>
      <c r="H185" s="17"/>
      <c r="I185" s="5" t="str">
        <f>IF(C185=0,"",IF(H185=0,"未记录生产日期",IFERROR(H185+IFERROR(VLOOKUP(C185,产品数据!$B:$F,5,FALSE),"未录入生产日期"),"未写入保质期")))</f>
        <v/>
      </c>
    </row>
    <row r="186" spans="1:9">
      <c r="A186" s="8">
        <f t="shared" si="18"/>
        <v>185</v>
      </c>
      <c r="B186" s="17"/>
      <c r="C186" s="16"/>
      <c r="D186" s="8" t="str">
        <f>IFERROR(VLOOKUP(C186,产品数据!$B:$D,2,FALSE),"")</f>
        <v/>
      </c>
      <c r="E186" s="8"/>
      <c r="F186" s="8" t="str">
        <f>IFERROR(VLOOKUP(C186,产品数据!$B:$D,3,FALSE),"")</f>
        <v/>
      </c>
      <c r="G186" s="8"/>
      <c r="H186" s="17"/>
      <c r="I186" s="5" t="str">
        <f>IF(C186=0,"",IF(H186=0,"未记录生产日期",IFERROR(H186+IFERROR(VLOOKUP(C186,产品数据!$B:$F,5,FALSE),"未录入生产日期"),"未写入保质期")))</f>
        <v/>
      </c>
    </row>
    <row r="187" spans="1:9">
      <c r="A187" s="8">
        <f t="shared" si="18"/>
        <v>186</v>
      </c>
      <c r="B187" s="17"/>
      <c r="C187" s="16"/>
      <c r="D187" s="8" t="str">
        <f>IFERROR(VLOOKUP(C187,产品数据!$B:$D,2,FALSE),"")</f>
        <v/>
      </c>
      <c r="E187" s="8"/>
      <c r="F187" s="8" t="str">
        <f>IFERROR(VLOOKUP(C187,产品数据!$B:$D,3,FALSE),"")</f>
        <v/>
      </c>
      <c r="G187" s="8"/>
      <c r="H187" s="17"/>
      <c r="I187" s="5" t="str">
        <f>IF(C187=0,"",IF(H187=0,"未记录生产日期",IFERROR(H187+IFERROR(VLOOKUP(C187,产品数据!$B:$F,5,FALSE),"未录入生产日期"),"未写入保质期")))</f>
        <v/>
      </c>
    </row>
    <row r="188" spans="1:9">
      <c r="A188" s="8">
        <f t="shared" si="18"/>
        <v>187</v>
      </c>
      <c r="B188" s="17"/>
      <c r="C188" s="16"/>
      <c r="D188" s="8" t="str">
        <f>IFERROR(VLOOKUP(C188,产品数据!$B:$D,2,FALSE),"")</f>
        <v/>
      </c>
      <c r="E188" s="8"/>
      <c r="F188" s="8" t="str">
        <f>IFERROR(VLOOKUP(C188,产品数据!$B:$D,3,FALSE),"")</f>
        <v/>
      </c>
      <c r="G188" s="8"/>
      <c r="H188" s="17"/>
      <c r="I188" s="5" t="str">
        <f>IF(C188=0,"",IF(H188=0,"未记录生产日期",IFERROR(H188+IFERROR(VLOOKUP(C188,产品数据!$B:$F,5,FALSE),"未录入生产日期"),"未写入保质期")))</f>
        <v/>
      </c>
    </row>
    <row r="189" spans="1:9">
      <c r="A189" s="8">
        <f t="shared" si="18"/>
        <v>188</v>
      </c>
      <c r="B189" s="17"/>
      <c r="C189" s="16"/>
      <c r="D189" s="8" t="str">
        <f>IFERROR(VLOOKUP(C189,产品数据!$B:$D,2,FALSE),"")</f>
        <v/>
      </c>
      <c r="E189" s="8"/>
      <c r="F189" s="8" t="str">
        <f>IFERROR(VLOOKUP(C189,产品数据!$B:$D,3,FALSE),"")</f>
        <v/>
      </c>
      <c r="G189" s="8"/>
      <c r="H189" s="17"/>
      <c r="I189" s="5" t="str">
        <f>IF(C189=0,"",IF(H189=0,"未记录生产日期",IFERROR(H189+IFERROR(VLOOKUP(C189,产品数据!$B:$F,5,FALSE),"未录入生产日期"),"未写入保质期")))</f>
        <v/>
      </c>
    </row>
    <row r="190" spans="1:9">
      <c r="A190" s="8">
        <f t="shared" si="18"/>
        <v>189</v>
      </c>
      <c r="B190" s="17"/>
      <c r="C190" s="16"/>
      <c r="D190" s="8" t="str">
        <f>IFERROR(VLOOKUP(C190,产品数据!$B:$D,2,FALSE),"")</f>
        <v/>
      </c>
      <c r="E190" s="8"/>
      <c r="F190" s="8" t="str">
        <f>IFERROR(VLOOKUP(C190,产品数据!$B:$D,3,FALSE),"")</f>
        <v/>
      </c>
      <c r="G190" s="8"/>
      <c r="H190" s="17"/>
      <c r="I190" s="5" t="str">
        <f>IF(C190=0,"",IF(H190=0,"未记录生产日期",IFERROR(H190+IFERROR(VLOOKUP(C190,产品数据!$B:$F,5,FALSE),"未录入生产日期"),"未写入保质期")))</f>
        <v/>
      </c>
    </row>
    <row r="191" spans="1:9">
      <c r="A191" s="8">
        <f t="shared" ref="A191:A200" si="19">ROW()-1</f>
        <v>190</v>
      </c>
      <c r="B191" s="17"/>
      <c r="C191" s="16"/>
      <c r="D191" s="8" t="str">
        <f>IFERROR(VLOOKUP(C191,产品数据!$B:$D,2,FALSE),"")</f>
        <v/>
      </c>
      <c r="E191" s="8"/>
      <c r="F191" s="8" t="str">
        <f>IFERROR(VLOOKUP(C191,产品数据!$B:$D,3,FALSE),"")</f>
        <v/>
      </c>
      <c r="G191" s="8"/>
      <c r="H191" s="17"/>
      <c r="I191" s="5" t="str">
        <f>IF(C191=0,"",IF(H191=0,"未记录生产日期",IFERROR(H191+IFERROR(VLOOKUP(C191,产品数据!$B:$F,5,FALSE),"未录入生产日期"),"未写入保质期")))</f>
        <v/>
      </c>
    </row>
    <row r="192" spans="1:9">
      <c r="A192" s="8">
        <f t="shared" si="19"/>
        <v>191</v>
      </c>
      <c r="B192" s="17"/>
      <c r="C192" s="16"/>
      <c r="D192" s="8" t="str">
        <f>IFERROR(VLOOKUP(C192,产品数据!$B:$D,2,FALSE),"")</f>
        <v/>
      </c>
      <c r="E192" s="8"/>
      <c r="F192" s="8" t="str">
        <f>IFERROR(VLOOKUP(C192,产品数据!$B:$D,3,FALSE),"")</f>
        <v/>
      </c>
      <c r="G192" s="8"/>
      <c r="H192" s="17"/>
      <c r="I192" s="5" t="str">
        <f>IF(C192=0,"",IF(H192=0,"未记录生产日期",IFERROR(H192+IFERROR(VLOOKUP(C192,产品数据!$B:$F,5,FALSE),"未录入生产日期"),"未写入保质期")))</f>
        <v/>
      </c>
    </row>
    <row r="193" spans="1:9">
      <c r="A193" s="8">
        <f t="shared" si="19"/>
        <v>192</v>
      </c>
      <c r="B193" s="17"/>
      <c r="C193" s="16"/>
      <c r="D193" s="8" t="str">
        <f>IFERROR(VLOOKUP(C193,产品数据!$B:$D,2,FALSE),"")</f>
        <v/>
      </c>
      <c r="E193" s="8"/>
      <c r="F193" s="8" t="str">
        <f>IFERROR(VLOOKUP(C193,产品数据!$B:$D,3,FALSE),"")</f>
        <v/>
      </c>
      <c r="G193" s="8"/>
      <c r="H193" s="17"/>
      <c r="I193" s="5" t="str">
        <f>IF(C193=0,"",IF(H193=0,"未记录生产日期",IFERROR(H193+IFERROR(VLOOKUP(C193,产品数据!$B:$F,5,FALSE),"未录入生产日期"),"未写入保质期")))</f>
        <v/>
      </c>
    </row>
    <row r="194" spans="1:9">
      <c r="A194" s="8">
        <f t="shared" si="19"/>
        <v>193</v>
      </c>
      <c r="B194" s="17"/>
      <c r="C194" s="16"/>
      <c r="D194" s="8" t="str">
        <f>IFERROR(VLOOKUP(C194,产品数据!$B:$D,2,FALSE),"")</f>
        <v/>
      </c>
      <c r="E194" s="8"/>
      <c r="F194" s="8" t="str">
        <f>IFERROR(VLOOKUP(C194,产品数据!$B:$D,3,FALSE),"")</f>
        <v/>
      </c>
      <c r="G194" s="8"/>
      <c r="H194" s="17"/>
      <c r="I194" s="5" t="str">
        <f>IF(C194=0,"",IF(H194=0,"未记录生产日期",IFERROR(H194+IFERROR(VLOOKUP(C194,产品数据!$B:$F,5,FALSE),"未录入生产日期"),"未写入保质期")))</f>
        <v/>
      </c>
    </row>
    <row r="195" spans="1:9">
      <c r="A195" s="8">
        <f t="shared" si="19"/>
        <v>194</v>
      </c>
      <c r="B195" s="17"/>
      <c r="C195" s="16"/>
      <c r="D195" s="8" t="str">
        <f>IFERROR(VLOOKUP(C195,产品数据!$B:$D,2,FALSE),"")</f>
        <v/>
      </c>
      <c r="E195" s="8"/>
      <c r="F195" s="8" t="str">
        <f>IFERROR(VLOOKUP(C195,产品数据!$B:$D,3,FALSE),"")</f>
        <v/>
      </c>
      <c r="G195" s="8"/>
      <c r="H195" s="17"/>
      <c r="I195" s="5" t="str">
        <f>IF(C195=0,"",IF(H195=0,"未记录生产日期",IFERROR(H195+IFERROR(VLOOKUP(C195,产品数据!$B:$F,5,FALSE),"未录入生产日期"),"未写入保质期")))</f>
        <v/>
      </c>
    </row>
    <row r="196" spans="1:9">
      <c r="A196" s="8">
        <f t="shared" si="19"/>
        <v>195</v>
      </c>
      <c r="B196" s="17"/>
      <c r="C196" s="16"/>
      <c r="D196" s="8" t="str">
        <f>IFERROR(VLOOKUP(C196,产品数据!$B:$D,2,FALSE),"")</f>
        <v/>
      </c>
      <c r="E196" s="8"/>
      <c r="F196" s="8" t="str">
        <f>IFERROR(VLOOKUP(C196,产品数据!$B:$D,3,FALSE),"")</f>
        <v/>
      </c>
      <c r="G196" s="8"/>
      <c r="H196" s="17"/>
      <c r="I196" s="5" t="str">
        <f>IF(C196=0,"",IF(H196=0,"未记录生产日期",IFERROR(H196+IFERROR(VLOOKUP(C196,产品数据!$B:$F,5,FALSE),"未录入生产日期"),"未写入保质期")))</f>
        <v/>
      </c>
    </row>
    <row r="197" spans="1:9">
      <c r="A197" s="8">
        <f t="shared" si="19"/>
        <v>196</v>
      </c>
      <c r="B197" s="17"/>
      <c r="C197" s="16"/>
      <c r="D197" s="8" t="str">
        <f>IFERROR(VLOOKUP(C197,产品数据!$B:$D,2,FALSE),"")</f>
        <v/>
      </c>
      <c r="E197" s="8"/>
      <c r="F197" s="8" t="str">
        <f>IFERROR(VLOOKUP(C197,产品数据!$B:$D,3,FALSE),"")</f>
        <v/>
      </c>
      <c r="G197" s="8"/>
      <c r="H197" s="17"/>
      <c r="I197" s="5" t="str">
        <f>IF(C197=0,"",IF(H197=0,"未记录生产日期",IFERROR(H197+IFERROR(VLOOKUP(C197,产品数据!$B:$F,5,FALSE),"未录入生产日期"),"未写入保质期")))</f>
        <v/>
      </c>
    </row>
    <row r="198" spans="1:9">
      <c r="A198" s="8">
        <f t="shared" si="19"/>
        <v>197</v>
      </c>
      <c r="B198" s="17"/>
      <c r="C198" s="16"/>
      <c r="D198" s="8" t="str">
        <f>IFERROR(VLOOKUP(C198,产品数据!$B:$D,2,FALSE),"")</f>
        <v/>
      </c>
      <c r="E198" s="8"/>
      <c r="F198" s="8" t="str">
        <f>IFERROR(VLOOKUP(C198,产品数据!$B:$D,3,FALSE),"")</f>
        <v/>
      </c>
      <c r="G198" s="8"/>
      <c r="H198" s="17"/>
      <c r="I198" s="5" t="str">
        <f>IF(C198=0,"",IF(H198=0,"未记录生产日期",IFERROR(H198+IFERROR(VLOOKUP(C198,产品数据!$B:$F,5,FALSE),"未录入生产日期"),"未写入保质期")))</f>
        <v/>
      </c>
    </row>
    <row r="199" spans="1:9">
      <c r="A199" s="8">
        <f t="shared" si="19"/>
        <v>198</v>
      </c>
      <c r="B199" s="17"/>
      <c r="C199" s="16"/>
      <c r="D199" s="8" t="str">
        <f>IFERROR(VLOOKUP(C199,产品数据!$B:$D,2,FALSE),"")</f>
        <v/>
      </c>
      <c r="E199" s="8"/>
      <c r="F199" s="8" t="str">
        <f>IFERROR(VLOOKUP(C199,产品数据!$B:$D,3,FALSE),"")</f>
        <v/>
      </c>
      <c r="G199" s="8"/>
      <c r="H199" s="17"/>
      <c r="I199" s="5" t="str">
        <f>IF(C199=0,"",IF(H199=0,"未记录生产日期",IFERROR(H199+IFERROR(VLOOKUP(C199,产品数据!$B:$F,5,FALSE),"未录入生产日期"),"未写入保质期")))</f>
        <v/>
      </c>
    </row>
    <row r="200" spans="1:9">
      <c r="A200" s="8">
        <f t="shared" si="19"/>
        <v>199</v>
      </c>
      <c r="B200" s="17"/>
      <c r="C200" s="16"/>
      <c r="D200" s="8" t="str">
        <f>IFERROR(VLOOKUP(C200,产品数据!$B:$D,2,FALSE),"")</f>
        <v/>
      </c>
      <c r="E200" s="8"/>
      <c r="F200" s="8" t="str">
        <f>IFERROR(VLOOKUP(C200,产品数据!$B:$D,3,FALSE),"")</f>
        <v/>
      </c>
      <c r="G200" s="8"/>
      <c r="H200" s="17"/>
      <c r="I200" s="5" t="str">
        <f>IF(C200=0,"",IF(H200=0,"未记录生产日期",IFERROR(H200+IFERROR(VLOOKUP(C200,产品数据!$B:$F,5,FALSE),"未录入生产日期"),"未写入保质期")))</f>
        <v/>
      </c>
    </row>
    <row r="201" spans="1:9">
      <c r="A201" s="8">
        <f t="shared" ref="A201:A210" si="20">ROW()-1</f>
        <v>200</v>
      </c>
      <c r="B201" s="17"/>
      <c r="C201" s="16"/>
      <c r="D201" s="8" t="str">
        <f>IFERROR(VLOOKUP(C201,产品数据!$B:$D,2,FALSE),"")</f>
        <v/>
      </c>
      <c r="E201" s="8"/>
      <c r="F201" s="8" t="str">
        <f>IFERROR(VLOOKUP(C201,产品数据!$B:$D,3,FALSE),"")</f>
        <v/>
      </c>
      <c r="G201" s="8"/>
      <c r="H201" s="17"/>
      <c r="I201" s="5" t="str">
        <f>IF(C201=0,"",IF(H201=0,"未记录生产日期",IFERROR(H201+IFERROR(VLOOKUP(C201,产品数据!$B:$F,5,FALSE),"未录入生产日期"),"未写入保质期")))</f>
        <v/>
      </c>
    </row>
    <row r="202" spans="1:9">
      <c r="A202" s="8">
        <f t="shared" si="20"/>
        <v>201</v>
      </c>
      <c r="B202" s="17"/>
      <c r="C202" s="16"/>
      <c r="D202" s="8" t="str">
        <f>IFERROR(VLOOKUP(C202,产品数据!$B:$D,2,FALSE),"")</f>
        <v/>
      </c>
      <c r="E202" s="8"/>
      <c r="F202" s="8" t="str">
        <f>IFERROR(VLOOKUP(C202,产品数据!$B:$D,3,FALSE),"")</f>
        <v/>
      </c>
      <c r="G202" s="8"/>
      <c r="H202" s="17"/>
      <c r="I202" s="5" t="str">
        <f>IF(C202=0,"",IF(H202=0,"未记录生产日期",IFERROR(H202+IFERROR(VLOOKUP(C202,产品数据!$B:$F,5,FALSE),"未录入生产日期"),"未写入保质期")))</f>
        <v/>
      </c>
    </row>
    <row r="203" spans="1:9">
      <c r="A203" s="8">
        <f t="shared" si="20"/>
        <v>202</v>
      </c>
      <c r="B203" s="17"/>
      <c r="C203" s="16"/>
      <c r="D203" s="8" t="str">
        <f>IFERROR(VLOOKUP(C203,产品数据!$B:$D,2,FALSE),"")</f>
        <v/>
      </c>
      <c r="E203" s="8"/>
      <c r="F203" s="8" t="str">
        <f>IFERROR(VLOOKUP(C203,产品数据!$B:$D,3,FALSE),"")</f>
        <v/>
      </c>
      <c r="G203" s="8"/>
      <c r="H203" s="17"/>
      <c r="I203" s="5" t="str">
        <f>IF(C203=0,"",IF(H203=0,"未记录生产日期",IFERROR(H203+IFERROR(VLOOKUP(C203,产品数据!$B:$F,5,FALSE),"未录入生产日期"),"未写入保质期")))</f>
        <v/>
      </c>
    </row>
    <row r="204" spans="1:9">
      <c r="A204" s="8">
        <f t="shared" si="20"/>
        <v>203</v>
      </c>
      <c r="B204" s="17"/>
      <c r="C204" s="16"/>
      <c r="D204" s="8" t="str">
        <f>IFERROR(VLOOKUP(C204,产品数据!$B:$D,2,FALSE),"")</f>
        <v/>
      </c>
      <c r="E204" s="8"/>
      <c r="F204" s="8" t="str">
        <f>IFERROR(VLOOKUP(C204,产品数据!$B:$D,3,FALSE),"")</f>
        <v/>
      </c>
      <c r="G204" s="8"/>
      <c r="H204" s="17"/>
      <c r="I204" s="5" t="str">
        <f>IF(C204=0,"",IF(H204=0,"未记录生产日期",IFERROR(H204+IFERROR(VLOOKUP(C204,产品数据!$B:$F,5,FALSE),"未录入生产日期"),"未写入保质期")))</f>
        <v/>
      </c>
    </row>
    <row r="205" spans="1:9">
      <c r="A205" s="8">
        <f t="shared" si="20"/>
        <v>204</v>
      </c>
      <c r="B205" s="17"/>
      <c r="C205" s="16"/>
      <c r="D205" s="8" t="str">
        <f>IFERROR(VLOOKUP(C205,产品数据!$B:$D,2,FALSE),"")</f>
        <v/>
      </c>
      <c r="E205" s="8"/>
      <c r="F205" s="8" t="str">
        <f>IFERROR(VLOOKUP(C205,产品数据!$B:$D,3,FALSE),"")</f>
        <v/>
      </c>
      <c r="G205" s="8"/>
      <c r="H205" s="17"/>
      <c r="I205" s="5" t="str">
        <f>IF(C205=0,"",IF(H205=0,"未记录生产日期",IFERROR(H205+IFERROR(VLOOKUP(C205,产品数据!$B:$F,5,FALSE),"未录入生产日期"),"未写入保质期")))</f>
        <v/>
      </c>
    </row>
    <row r="206" spans="1:9">
      <c r="A206" s="8">
        <f t="shared" si="20"/>
        <v>205</v>
      </c>
      <c r="B206" s="17"/>
      <c r="C206" s="16"/>
      <c r="D206" s="8" t="str">
        <f>IFERROR(VLOOKUP(C206,产品数据!$B:$D,2,FALSE),"")</f>
        <v/>
      </c>
      <c r="E206" s="8"/>
      <c r="F206" s="8" t="str">
        <f>IFERROR(VLOOKUP(C206,产品数据!$B:$D,3,FALSE),"")</f>
        <v/>
      </c>
      <c r="G206" s="8"/>
      <c r="H206" s="17"/>
      <c r="I206" s="5" t="str">
        <f>IF(C206=0,"",IF(H206=0,"未记录生产日期",IFERROR(H206+IFERROR(VLOOKUP(C206,产品数据!$B:$F,5,FALSE),"未录入生产日期"),"未写入保质期")))</f>
        <v/>
      </c>
    </row>
    <row r="207" spans="1:9">
      <c r="A207" s="8">
        <f t="shared" si="20"/>
        <v>206</v>
      </c>
      <c r="B207" s="17"/>
      <c r="C207" s="16"/>
      <c r="D207" s="8" t="str">
        <f>IFERROR(VLOOKUP(C207,产品数据!$B:$D,2,FALSE),"")</f>
        <v/>
      </c>
      <c r="E207" s="8"/>
      <c r="F207" s="8" t="str">
        <f>IFERROR(VLOOKUP(C207,产品数据!$B:$D,3,FALSE),"")</f>
        <v/>
      </c>
      <c r="G207" s="8"/>
      <c r="H207" s="17"/>
      <c r="I207" s="5" t="str">
        <f>IF(C207=0,"",IF(H207=0,"未记录生产日期",IFERROR(H207+IFERROR(VLOOKUP(C207,产品数据!$B:$F,5,FALSE),"未录入生产日期"),"未写入保质期")))</f>
        <v/>
      </c>
    </row>
    <row r="208" spans="1:9">
      <c r="A208" s="8">
        <f t="shared" si="20"/>
        <v>207</v>
      </c>
      <c r="B208" s="17"/>
      <c r="C208" s="16"/>
      <c r="D208" s="8" t="str">
        <f>IFERROR(VLOOKUP(C208,产品数据!$B:$D,2,FALSE),"")</f>
        <v/>
      </c>
      <c r="E208" s="8"/>
      <c r="F208" s="8" t="str">
        <f>IFERROR(VLOOKUP(C208,产品数据!$B:$D,3,FALSE),"")</f>
        <v/>
      </c>
      <c r="G208" s="8"/>
      <c r="H208" s="17"/>
      <c r="I208" s="5" t="str">
        <f>IF(C208=0,"",IF(H208=0,"未记录生产日期",IFERROR(H208+IFERROR(VLOOKUP(C208,产品数据!$B:$F,5,FALSE),"未录入生产日期"),"未写入保质期")))</f>
        <v/>
      </c>
    </row>
    <row r="209" spans="1:9">
      <c r="A209" s="8">
        <f t="shared" si="20"/>
        <v>208</v>
      </c>
      <c r="B209" s="17"/>
      <c r="C209" s="16"/>
      <c r="D209" s="8" t="str">
        <f>IFERROR(VLOOKUP(C209,产品数据!$B:$D,2,FALSE),"")</f>
        <v/>
      </c>
      <c r="E209" s="8"/>
      <c r="F209" s="8" t="str">
        <f>IFERROR(VLOOKUP(C209,产品数据!$B:$D,3,FALSE),"")</f>
        <v/>
      </c>
      <c r="G209" s="8"/>
      <c r="H209" s="17"/>
      <c r="I209" s="5" t="str">
        <f>IF(C209=0,"",IF(H209=0,"未记录生产日期",IFERROR(H209+IFERROR(VLOOKUP(C209,产品数据!$B:$F,5,FALSE),"未录入生产日期"),"未写入保质期")))</f>
        <v/>
      </c>
    </row>
    <row r="210" spans="1:9">
      <c r="A210" s="8">
        <f t="shared" si="20"/>
        <v>209</v>
      </c>
      <c r="B210" s="17"/>
      <c r="C210" s="16"/>
      <c r="D210" s="8" t="str">
        <f>IFERROR(VLOOKUP(C210,产品数据!$B:$D,2,FALSE),"")</f>
        <v/>
      </c>
      <c r="E210" s="8"/>
      <c r="F210" s="8" t="str">
        <f>IFERROR(VLOOKUP(C210,产品数据!$B:$D,3,FALSE),"")</f>
        <v/>
      </c>
      <c r="G210" s="8"/>
      <c r="H210" s="17"/>
      <c r="I210" s="5" t="str">
        <f>IF(C210=0,"",IF(H210=0,"未记录生产日期",IFERROR(H210+IFERROR(VLOOKUP(C210,产品数据!$B:$F,5,FALSE),"未录入生产日期"),"未写入保质期")))</f>
        <v/>
      </c>
    </row>
    <row r="211" spans="1:9">
      <c r="A211" s="8">
        <f t="shared" ref="A211:A220" si="21">ROW()-1</f>
        <v>210</v>
      </c>
      <c r="B211" s="17"/>
      <c r="C211" s="16"/>
      <c r="D211" s="8" t="str">
        <f>IFERROR(VLOOKUP(C211,产品数据!$B:$D,2,FALSE),"")</f>
        <v/>
      </c>
      <c r="E211" s="8"/>
      <c r="F211" s="8" t="str">
        <f>IFERROR(VLOOKUP(C211,产品数据!$B:$D,3,FALSE),"")</f>
        <v/>
      </c>
      <c r="G211" s="8"/>
      <c r="H211" s="17"/>
      <c r="I211" s="5" t="str">
        <f>IF(C211=0,"",IF(H211=0,"未记录生产日期",IFERROR(H211+IFERROR(VLOOKUP(C211,产品数据!$B:$F,5,FALSE),"未录入生产日期"),"未写入保质期")))</f>
        <v/>
      </c>
    </row>
    <row r="212" spans="1:9">
      <c r="A212" s="8">
        <f t="shared" si="21"/>
        <v>211</v>
      </c>
      <c r="B212" s="17"/>
      <c r="C212" s="16"/>
      <c r="D212" s="8" t="str">
        <f>IFERROR(VLOOKUP(C212,产品数据!$B:$D,2,FALSE),"")</f>
        <v/>
      </c>
      <c r="E212" s="8"/>
      <c r="F212" s="8" t="str">
        <f>IFERROR(VLOOKUP(C212,产品数据!$B:$D,3,FALSE),"")</f>
        <v/>
      </c>
      <c r="G212" s="8"/>
      <c r="H212" s="17"/>
      <c r="I212" s="5" t="str">
        <f>IF(C212=0,"",IF(H212=0,"未记录生产日期",IFERROR(H212+IFERROR(VLOOKUP(C212,产品数据!$B:$F,5,FALSE),"未录入生产日期"),"未写入保质期")))</f>
        <v/>
      </c>
    </row>
    <row r="213" spans="1:9">
      <c r="A213" s="8">
        <f t="shared" si="21"/>
        <v>212</v>
      </c>
      <c r="B213" s="17"/>
      <c r="C213" s="16"/>
      <c r="D213" s="8" t="str">
        <f>IFERROR(VLOOKUP(C213,产品数据!$B:$D,2,FALSE),"")</f>
        <v/>
      </c>
      <c r="E213" s="8"/>
      <c r="F213" s="8" t="str">
        <f>IFERROR(VLOOKUP(C213,产品数据!$B:$D,3,FALSE),"")</f>
        <v/>
      </c>
      <c r="G213" s="8"/>
      <c r="H213" s="17"/>
      <c r="I213" s="5" t="str">
        <f>IF(C213=0,"",IF(H213=0,"未记录生产日期",IFERROR(H213+IFERROR(VLOOKUP(C213,产品数据!$B:$F,5,FALSE),"未录入生产日期"),"未写入保质期")))</f>
        <v/>
      </c>
    </row>
    <row r="214" spans="1:9">
      <c r="A214" s="8">
        <f t="shared" si="21"/>
        <v>213</v>
      </c>
      <c r="B214" s="17"/>
      <c r="C214" s="16"/>
      <c r="D214" s="8" t="str">
        <f>IFERROR(VLOOKUP(C214,产品数据!$B:$D,2,FALSE),"")</f>
        <v/>
      </c>
      <c r="E214" s="8"/>
      <c r="F214" s="8" t="str">
        <f>IFERROR(VLOOKUP(C214,产品数据!$B:$D,3,FALSE),"")</f>
        <v/>
      </c>
      <c r="G214" s="8"/>
      <c r="H214" s="17"/>
      <c r="I214" s="5" t="str">
        <f>IF(C214=0,"",IF(H214=0,"未记录生产日期",IFERROR(H214+IFERROR(VLOOKUP(C214,产品数据!$B:$F,5,FALSE),"未录入生产日期"),"未写入保质期")))</f>
        <v/>
      </c>
    </row>
    <row r="215" spans="1:9">
      <c r="A215" s="8">
        <f t="shared" si="21"/>
        <v>214</v>
      </c>
      <c r="B215" s="17"/>
      <c r="C215" s="16"/>
      <c r="D215" s="8" t="str">
        <f>IFERROR(VLOOKUP(C215,产品数据!$B:$D,2,FALSE),"")</f>
        <v/>
      </c>
      <c r="E215" s="8"/>
      <c r="F215" s="8" t="str">
        <f>IFERROR(VLOOKUP(C215,产品数据!$B:$D,3,FALSE),"")</f>
        <v/>
      </c>
      <c r="G215" s="8"/>
      <c r="H215" s="17"/>
      <c r="I215" s="5" t="str">
        <f>IF(C215=0,"",IF(H215=0,"未记录生产日期",IFERROR(H215+IFERROR(VLOOKUP(C215,产品数据!$B:$F,5,FALSE),"未录入生产日期"),"未写入保质期")))</f>
        <v/>
      </c>
    </row>
    <row r="216" spans="1:9">
      <c r="A216" s="8">
        <f t="shared" si="21"/>
        <v>215</v>
      </c>
      <c r="B216" s="17"/>
      <c r="C216" s="16"/>
      <c r="D216" s="8" t="str">
        <f>IFERROR(VLOOKUP(C216,产品数据!$B:$D,2,FALSE),"")</f>
        <v/>
      </c>
      <c r="E216" s="8"/>
      <c r="F216" s="8" t="str">
        <f>IFERROR(VLOOKUP(C216,产品数据!$B:$D,3,FALSE),"")</f>
        <v/>
      </c>
      <c r="G216" s="8"/>
      <c r="H216" s="17"/>
      <c r="I216" s="5" t="str">
        <f>IF(C216=0,"",IF(H216=0,"未记录生产日期",IFERROR(H216+IFERROR(VLOOKUP(C216,产品数据!$B:$F,5,FALSE),"未录入生产日期"),"未写入保质期")))</f>
        <v/>
      </c>
    </row>
    <row r="217" spans="1:9">
      <c r="A217" s="8">
        <f t="shared" si="21"/>
        <v>216</v>
      </c>
      <c r="B217" s="17"/>
      <c r="C217" s="16"/>
      <c r="D217" s="8" t="str">
        <f>IFERROR(VLOOKUP(C217,产品数据!$B:$D,2,FALSE),"")</f>
        <v/>
      </c>
      <c r="E217" s="8"/>
      <c r="F217" s="8" t="str">
        <f>IFERROR(VLOOKUP(C217,产品数据!$B:$D,3,FALSE),"")</f>
        <v/>
      </c>
      <c r="G217" s="8"/>
      <c r="H217" s="17"/>
      <c r="I217" s="5" t="str">
        <f>IF(C217=0,"",IF(H217=0,"未记录生产日期",IFERROR(H217+IFERROR(VLOOKUP(C217,产品数据!$B:$F,5,FALSE),"未录入生产日期"),"未写入保质期")))</f>
        <v/>
      </c>
    </row>
    <row r="218" spans="1:9">
      <c r="A218" s="8">
        <f t="shared" si="21"/>
        <v>217</v>
      </c>
      <c r="B218" s="17"/>
      <c r="C218" s="16"/>
      <c r="D218" s="8" t="str">
        <f>IFERROR(VLOOKUP(C218,产品数据!$B:$D,2,FALSE),"")</f>
        <v/>
      </c>
      <c r="E218" s="8"/>
      <c r="F218" s="8" t="str">
        <f>IFERROR(VLOOKUP(C218,产品数据!$B:$D,3,FALSE),"")</f>
        <v/>
      </c>
      <c r="G218" s="8"/>
      <c r="H218" s="17"/>
      <c r="I218" s="5" t="str">
        <f>IF(C218=0,"",IF(H218=0,"未记录生产日期",IFERROR(H218+IFERROR(VLOOKUP(C218,产品数据!$B:$F,5,FALSE),"未录入生产日期"),"未写入保质期")))</f>
        <v/>
      </c>
    </row>
    <row r="219" spans="1:9">
      <c r="A219" s="8">
        <f t="shared" si="21"/>
        <v>218</v>
      </c>
      <c r="B219" s="17"/>
      <c r="C219" s="16"/>
      <c r="D219" s="8" t="str">
        <f>IFERROR(VLOOKUP(C219,产品数据!$B:$D,2,FALSE),"")</f>
        <v/>
      </c>
      <c r="E219" s="8"/>
      <c r="F219" s="8" t="str">
        <f>IFERROR(VLOOKUP(C219,产品数据!$B:$D,3,FALSE),"")</f>
        <v/>
      </c>
      <c r="G219" s="8"/>
      <c r="H219" s="17"/>
      <c r="I219" s="5" t="str">
        <f>IF(C219=0,"",IF(H219=0,"未记录生产日期",IFERROR(H219+IFERROR(VLOOKUP(C219,产品数据!$B:$F,5,FALSE),"未录入生产日期"),"未写入保质期")))</f>
        <v/>
      </c>
    </row>
    <row r="220" spans="1:9">
      <c r="A220" s="8">
        <f t="shared" si="21"/>
        <v>219</v>
      </c>
      <c r="B220" s="17"/>
      <c r="C220" s="16"/>
      <c r="D220" s="8" t="str">
        <f>IFERROR(VLOOKUP(C220,产品数据!$B:$D,2,FALSE),"")</f>
        <v/>
      </c>
      <c r="E220" s="8"/>
      <c r="F220" s="8" t="str">
        <f>IFERROR(VLOOKUP(C220,产品数据!$B:$D,3,FALSE),"")</f>
        <v/>
      </c>
      <c r="G220" s="8"/>
      <c r="H220" s="17"/>
      <c r="I220" s="5" t="str">
        <f>IF(C220=0,"",IF(H220=0,"未记录生产日期",IFERROR(H220+IFERROR(VLOOKUP(C220,产品数据!$B:$F,5,FALSE),"未录入生产日期"),"未写入保质期")))</f>
        <v/>
      </c>
    </row>
    <row r="221" spans="1:9">
      <c r="A221" s="8">
        <f t="shared" ref="A221:A230" si="22">ROW()-1</f>
        <v>220</v>
      </c>
      <c r="B221" s="17"/>
      <c r="C221" s="16"/>
      <c r="D221" s="8" t="str">
        <f>IFERROR(VLOOKUP(C221,产品数据!$B:$D,2,FALSE),"")</f>
        <v/>
      </c>
      <c r="E221" s="8"/>
      <c r="F221" s="8" t="str">
        <f>IFERROR(VLOOKUP(C221,产品数据!$B:$D,3,FALSE),"")</f>
        <v/>
      </c>
      <c r="G221" s="8"/>
      <c r="H221" s="17"/>
      <c r="I221" s="5" t="str">
        <f>IF(C221=0,"",IF(H221=0,"未记录生产日期",IFERROR(H221+IFERROR(VLOOKUP(C221,产品数据!$B:$F,5,FALSE),"未录入生产日期"),"未写入保质期")))</f>
        <v/>
      </c>
    </row>
    <row r="222" spans="1:9">
      <c r="A222" s="8">
        <f t="shared" si="22"/>
        <v>221</v>
      </c>
      <c r="B222" s="17"/>
      <c r="C222" s="16"/>
      <c r="D222" s="8" t="str">
        <f>IFERROR(VLOOKUP(C222,产品数据!$B:$D,2,FALSE),"")</f>
        <v/>
      </c>
      <c r="E222" s="8"/>
      <c r="F222" s="8" t="str">
        <f>IFERROR(VLOOKUP(C222,产品数据!$B:$D,3,FALSE),"")</f>
        <v/>
      </c>
      <c r="G222" s="8"/>
      <c r="H222" s="17"/>
      <c r="I222" s="5" t="str">
        <f>IF(C222=0,"",IF(H222=0,"未记录生产日期",IFERROR(H222+IFERROR(VLOOKUP(C222,产品数据!$B:$F,5,FALSE),"未录入生产日期"),"未写入保质期")))</f>
        <v/>
      </c>
    </row>
    <row r="223" spans="1:9">
      <c r="A223" s="8">
        <f t="shared" si="22"/>
        <v>222</v>
      </c>
      <c r="B223" s="17"/>
      <c r="C223" s="16"/>
      <c r="D223" s="8" t="str">
        <f>IFERROR(VLOOKUP(C223,产品数据!$B:$D,2,FALSE),"")</f>
        <v/>
      </c>
      <c r="E223" s="8"/>
      <c r="F223" s="8" t="str">
        <f>IFERROR(VLOOKUP(C223,产品数据!$B:$D,3,FALSE),"")</f>
        <v/>
      </c>
      <c r="G223" s="8"/>
      <c r="H223" s="17"/>
      <c r="I223" s="5" t="str">
        <f>IF(C223=0,"",IF(H223=0,"未记录生产日期",IFERROR(H223+IFERROR(VLOOKUP(C223,产品数据!$B:$F,5,FALSE),"未录入生产日期"),"未写入保质期")))</f>
        <v/>
      </c>
    </row>
    <row r="224" spans="1:9">
      <c r="A224" s="8">
        <f t="shared" si="22"/>
        <v>223</v>
      </c>
      <c r="B224" s="17"/>
      <c r="C224" s="16"/>
      <c r="D224" s="8" t="str">
        <f>IFERROR(VLOOKUP(C224,产品数据!$B:$D,2,FALSE),"")</f>
        <v/>
      </c>
      <c r="E224" s="8"/>
      <c r="F224" s="8" t="str">
        <f>IFERROR(VLOOKUP(C224,产品数据!$B:$D,3,FALSE),"")</f>
        <v/>
      </c>
      <c r="G224" s="8"/>
      <c r="H224" s="17"/>
      <c r="I224" s="5" t="str">
        <f>IF(C224=0,"",IF(H224=0,"未记录生产日期",IFERROR(H224+IFERROR(VLOOKUP(C224,产品数据!$B:$F,5,FALSE),"未录入生产日期"),"未写入保质期")))</f>
        <v/>
      </c>
    </row>
    <row r="225" spans="1:9">
      <c r="A225" s="8">
        <f t="shared" si="22"/>
        <v>224</v>
      </c>
      <c r="B225" s="17"/>
      <c r="C225" s="16"/>
      <c r="D225" s="8" t="str">
        <f>IFERROR(VLOOKUP(C225,产品数据!$B:$D,2,FALSE),"")</f>
        <v/>
      </c>
      <c r="E225" s="8"/>
      <c r="F225" s="8" t="str">
        <f>IFERROR(VLOOKUP(C225,产品数据!$B:$D,3,FALSE),"")</f>
        <v/>
      </c>
      <c r="G225" s="8"/>
      <c r="H225" s="17"/>
      <c r="I225" s="5" t="str">
        <f>IF(C225=0,"",IF(H225=0,"未记录生产日期",IFERROR(H225+IFERROR(VLOOKUP(C225,产品数据!$B:$F,5,FALSE),"未录入生产日期"),"未写入保质期")))</f>
        <v/>
      </c>
    </row>
    <row r="226" spans="1:9">
      <c r="A226" s="8">
        <f t="shared" si="22"/>
        <v>225</v>
      </c>
      <c r="B226" s="17"/>
      <c r="C226" s="16"/>
      <c r="D226" s="8" t="str">
        <f>IFERROR(VLOOKUP(C226,产品数据!$B:$D,2,FALSE),"")</f>
        <v/>
      </c>
      <c r="E226" s="8"/>
      <c r="F226" s="8" t="str">
        <f>IFERROR(VLOOKUP(C226,产品数据!$B:$D,3,FALSE),"")</f>
        <v/>
      </c>
      <c r="G226" s="8"/>
      <c r="H226" s="17"/>
      <c r="I226" s="5" t="str">
        <f>IF(C226=0,"",IF(H226=0,"未记录生产日期",IFERROR(H226+IFERROR(VLOOKUP(C226,产品数据!$B:$F,5,FALSE),"未录入生产日期"),"未写入保质期")))</f>
        <v/>
      </c>
    </row>
    <row r="227" spans="1:9">
      <c r="A227" s="8">
        <f t="shared" si="22"/>
        <v>226</v>
      </c>
      <c r="B227" s="17"/>
      <c r="C227" s="16"/>
      <c r="D227" s="8" t="str">
        <f>IFERROR(VLOOKUP(C227,产品数据!$B:$D,2,FALSE),"")</f>
        <v/>
      </c>
      <c r="E227" s="8"/>
      <c r="F227" s="8" t="str">
        <f>IFERROR(VLOOKUP(C227,产品数据!$B:$D,3,FALSE),"")</f>
        <v/>
      </c>
      <c r="G227" s="8"/>
      <c r="H227" s="17"/>
      <c r="I227" s="5" t="str">
        <f>IF(C227=0,"",IF(H227=0,"未记录生产日期",IFERROR(H227+IFERROR(VLOOKUP(C227,产品数据!$B:$F,5,FALSE),"未录入生产日期"),"未写入保质期")))</f>
        <v/>
      </c>
    </row>
    <row r="228" spans="1:9">
      <c r="A228" s="8">
        <f t="shared" si="22"/>
        <v>227</v>
      </c>
      <c r="B228" s="17"/>
      <c r="C228" s="16"/>
      <c r="D228" s="8" t="str">
        <f>IFERROR(VLOOKUP(C228,产品数据!$B:$D,2,FALSE),"")</f>
        <v/>
      </c>
      <c r="E228" s="8"/>
      <c r="F228" s="8" t="str">
        <f>IFERROR(VLOOKUP(C228,产品数据!$B:$D,3,FALSE),"")</f>
        <v/>
      </c>
      <c r="G228" s="8"/>
      <c r="H228" s="17"/>
      <c r="I228" s="5" t="str">
        <f>IF(C228=0,"",IF(H228=0,"未记录生产日期",IFERROR(H228+IFERROR(VLOOKUP(C228,产品数据!$B:$F,5,FALSE),"未录入生产日期"),"未写入保质期")))</f>
        <v/>
      </c>
    </row>
    <row r="229" spans="1:9">
      <c r="A229" s="8">
        <f t="shared" si="22"/>
        <v>228</v>
      </c>
      <c r="B229" s="17"/>
      <c r="C229" s="16"/>
      <c r="D229" s="8" t="str">
        <f>IFERROR(VLOOKUP(C229,产品数据!$B:$D,2,FALSE),"")</f>
        <v/>
      </c>
      <c r="E229" s="8"/>
      <c r="F229" s="8" t="str">
        <f>IFERROR(VLOOKUP(C229,产品数据!$B:$D,3,FALSE),"")</f>
        <v/>
      </c>
      <c r="G229" s="8"/>
      <c r="H229" s="17"/>
      <c r="I229" s="5" t="str">
        <f>IF(C229=0,"",IF(H229=0,"未记录生产日期",IFERROR(H229+IFERROR(VLOOKUP(C229,产品数据!$B:$F,5,FALSE),"未录入生产日期"),"未写入保质期")))</f>
        <v/>
      </c>
    </row>
    <row r="230" spans="1:9">
      <c r="A230" s="8">
        <f t="shared" si="22"/>
        <v>229</v>
      </c>
      <c r="B230" s="17"/>
      <c r="C230" s="16"/>
      <c r="D230" s="8" t="str">
        <f>IFERROR(VLOOKUP(C230,产品数据!$B:$D,2,FALSE),"")</f>
        <v/>
      </c>
      <c r="E230" s="8"/>
      <c r="F230" s="8" t="str">
        <f>IFERROR(VLOOKUP(C230,产品数据!$B:$D,3,FALSE),"")</f>
        <v/>
      </c>
      <c r="G230" s="8"/>
      <c r="H230" s="17"/>
      <c r="I230" s="5" t="str">
        <f>IF(C230=0,"",IF(H230=0,"未记录生产日期",IFERROR(H230+IFERROR(VLOOKUP(C230,产品数据!$B:$F,5,FALSE),"未录入生产日期"),"未写入保质期")))</f>
        <v/>
      </c>
    </row>
    <row r="231" spans="1:9">
      <c r="A231" s="8">
        <f t="shared" ref="A231:A240" si="23">ROW()-1</f>
        <v>230</v>
      </c>
      <c r="B231" s="17"/>
      <c r="C231" s="16"/>
      <c r="D231" s="8" t="str">
        <f>IFERROR(VLOOKUP(C231,产品数据!$B:$D,2,FALSE),"")</f>
        <v/>
      </c>
      <c r="E231" s="8"/>
      <c r="F231" s="8" t="str">
        <f>IFERROR(VLOOKUP(C231,产品数据!$B:$D,3,FALSE),"")</f>
        <v/>
      </c>
      <c r="G231" s="8"/>
      <c r="H231" s="17"/>
      <c r="I231" s="5" t="str">
        <f>IF(C231=0,"",IF(H231=0,"未记录生产日期",IFERROR(H231+IFERROR(VLOOKUP(C231,产品数据!$B:$F,5,FALSE),"未录入生产日期"),"未写入保质期")))</f>
        <v/>
      </c>
    </row>
    <row r="232" spans="1:9">
      <c r="A232" s="8">
        <f t="shared" si="23"/>
        <v>231</v>
      </c>
      <c r="B232" s="17"/>
      <c r="C232" s="16"/>
      <c r="D232" s="8" t="str">
        <f>IFERROR(VLOOKUP(C232,产品数据!$B:$D,2,FALSE),"")</f>
        <v/>
      </c>
      <c r="E232" s="8"/>
      <c r="F232" s="8" t="str">
        <f>IFERROR(VLOOKUP(C232,产品数据!$B:$D,3,FALSE),"")</f>
        <v/>
      </c>
      <c r="G232" s="8"/>
      <c r="H232" s="17"/>
      <c r="I232" s="5" t="str">
        <f>IF(C232=0,"",IF(H232=0,"未记录生产日期",IFERROR(H232+IFERROR(VLOOKUP(C232,产品数据!$B:$F,5,FALSE),"未录入生产日期"),"未写入保质期")))</f>
        <v/>
      </c>
    </row>
    <row r="233" spans="1:9">
      <c r="A233" s="8">
        <f t="shared" si="23"/>
        <v>232</v>
      </c>
      <c r="B233" s="17"/>
      <c r="C233" s="16"/>
      <c r="D233" s="8" t="str">
        <f>IFERROR(VLOOKUP(C233,产品数据!$B:$D,2,FALSE),"")</f>
        <v/>
      </c>
      <c r="E233" s="8"/>
      <c r="F233" s="8" t="str">
        <f>IFERROR(VLOOKUP(C233,产品数据!$B:$D,3,FALSE),"")</f>
        <v/>
      </c>
      <c r="G233" s="8"/>
      <c r="H233" s="17"/>
      <c r="I233" s="5" t="str">
        <f>IF(C233=0,"",IF(H233=0,"未记录生产日期",IFERROR(H233+IFERROR(VLOOKUP(C233,产品数据!$B:$F,5,FALSE),"未录入生产日期"),"未写入保质期")))</f>
        <v/>
      </c>
    </row>
    <row r="234" spans="1:9">
      <c r="A234" s="8">
        <f t="shared" si="23"/>
        <v>233</v>
      </c>
      <c r="B234" s="17"/>
      <c r="C234" s="16"/>
      <c r="D234" s="8" t="str">
        <f>IFERROR(VLOOKUP(C234,产品数据!$B:$D,2,FALSE),"")</f>
        <v/>
      </c>
      <c r="E234" s="8"/>
      <c r="F234" s="8" t="str">
        <f>IFERROR(VLOOKUP(C234,产品数据!$B:$D,3,FALSE),"")</f>
        <v/>
      </c>
      <c r="G234" s="8"/>
      <c r="H234" s="17"/>
      <c r="I234" s="5" t="str">
        <f>IF(C234=0,"",IF(H234=0,"未记录生产日期",IFERROR(H234+IFERROR(VLOOKUP(C234,产品数据!$B:$F,5,FALSE),"未录入生产日期"),"未写入保质期")))</f>
        <v/>
      </c>
    </row>
    <row r="235" spans="1:9">
      <c r="A235" s="8">
        <f t="shared" si="23"/>
        <v>234</v>
      </c>
      <c r="B235" s="17"/>
      <c r="C235" s="16"/>
      <c r="D235" s="8" t="str">
        <f>IFERROR(VLOOKUP(C235,产品数据!$B:$D,2,FALSE),"")</f>
        <v/>
      </c>
      <c r="E235" s="8"/>
      <c r="F235" s="8" t="str">
        <f>IFERROR(VLOOKUP(C235,产品数据!$B:$D,3,FALSE),"")</f>
        <v/>
      </c>
      <c r="G235" s="8"/>
      <c r="H235" s="17"/>
      <c r="I235" s="5" t="str">
        <f>IF(C235=0,"",IF(H235=0,"未记录生产日期",IFERROR(H235+IFERROR(VLOOKUP(C235,产品数据!$B:$F,5,FALSE),"未录入生产日期"),"未写入保质期")))</f>
        <v/>
      </c>
    </row>
    <row r="236" spans="1:9">
      <c r="A236" s="8">
        <f t="shared" si="23"/>
        <v>235</v>
      </c>
      <c r="B236" s="17"/>
      <c r="C236" s="16"/>
      <c r="D236" s="8" t="str">
        <f>IFERROR(VLOOKUP(C236,产品数据!$B:$D,2,FALSE),"")</f>
        <v/>
      </c>
      <c r="E236" s="8"/>
      <c r="F236" s="8" t="str">
        <f>IFERROR(VLOOKUP(C236,产品数据!$B:$D,3,FALSE),"")</f>
        <v/>
      </c>
      <c r="G236" s="8"/>
      <c r="H236" s="17"/>
      <c r="I236" s="5" t="str">
        <f>IF(C236=0,"",IF(H236=0,"未记录生产日期",IFERROR(H236+IFERROR(VLOOKUP(C236,产品数据!$B:$F,5,FALSE),"未录入生产日期"),"未写入保质期")))</f>
        <v/>
      </c>
    </row>
    <row r="237" spans="1:9">
      <c r="A237" s="8">
        <f t="shared" si="23"/>
        <v>236</v>
      </c>
      <c r="B237" s="17"/>
      <c r="C237" s="16"/>
      <c r="D237" s="8" t="str">
        <f>IFERROR(VLOOKUP(C237,产品数据!$B:$D,2,FALSE),"")</f>
        <v/>
      </c>
      <c r="E237" s="8"/>
      <c r="F237" s="8" t="str">
        <f>IFERROR(VLOOKUP(C237,产品数据!$B:$D,3,FALSE),"")</f>
        <v/>
      </c>
      <c r="G237" s="8"/>
      <c r="H237" s="17"/>
      <c r="I237" s="5" t="str">
        <f>IF(C237=0,"",IF(H237=0,"未记录生产日期",IFERROR(H237+IFERROR(VLOOKUP(C237,产品数据!$B:$F,5,FALSE),"未录入生产日期"),"未写入保质期")))</f>
        <v/>
      </c>
    </row>
    <row r="238" spans="1:9">
      <c r="A238" s="8">
        <f t="shared" si="23"/>
        <v>237</v>
      </c>
      <c r="B238" s="17"/>
      <c r="C238" s="16"/>
      <c r="D238" s="8" t="str">
        <f>IFERROR(VLOOKUP(C238,产品数据!$B:$D,2,FALSE),"")</f>
        <v/>
      </c>
      <c r="E238" s="8"/>
      <c r="F238" s="8" t="str">
        <f>IFERROR(VLOOKUP(C238,产品数据!$B:$D,3,FALSE),"")</f>
        <v/>
      </c>
      <c r="G238" s="8"/>
      <c r="H238" s="17"/>
      <c r="I238" s="5" t="str">
        <f>IF(C238=0,"",IF(H238=0,"未记录生产日期",IFERROR(H238+IFERROR(VLOOKUP(C238,产品数据!$B:$F,5,FALSE),"未录入生产日期"),"未写入保质期")))</f>
        <v/>
      </c>
    </row>
    <row r="239" spans="1:9">
      <c r="A239" s="8">
        <f t="shared" si="23"/>
        <v>238</v>
      </c>
      <c r="B239" s="17"/>
      <c r="C239" s="16"/>
      <c r="D239" s="8" t="str">
        <f>IFERROR(VLOOKUP(C239,产品数据!$B:$D,2,FALSE),"")</f>
        <v/>
      </c>
      <c r="E239" s="8"/>
      <c r="F239" s="8" t="str">
        <f>IFERROR(VLOOKUP(C239,产品数据!$B:$D,3,FALSE),"")</f>
        <v/>
      </c>
      <c r="G239" s="8"/>
      <c r="H239" s="17"/>
      <c r="I239" s="5" t="str">
        <f>IF(C239=0,"",IF(H239=0,"未记录生产日期",IFERROR(H239+IFERROR(VLOOKUP(C239,产品数据!$B:$F,5,FALSE),"未录入生产日期"),"未写入保质期")))</f>
        <v/>
      </c>
    </row>
    <row r="240" spans="1:9">
      <c r="A240" s="8">
        <f t="shared" si="23"/>
        <v>239</v>
      </c>
      <c r="B240" s="17"/>
      <c r="C240" s="16"/>
      <c r="D240" s="8" t="str">
        <f>IFERROR(VLOOKUP(C240,产品数据!$B:$D,2,FALSE),"")</f>
        <v/>
      </c>
      <c r="E240" s="8"/>
      <c r="F240" s="8" t="str">
        <f>IFERROR(VLOOKUP(C240,产品数据!$B:$D,3,FALSE),"")</f>
        <v/>
      </c>
      <c r="G240" s="8"/>
      <c r="H240" s="17"/>
      <c r="I240" s="5" t="str">
        <f>IF(C240=0,"",IF(H240=0,"未记录生产日期",IFERROR(H240+IFERROR(VLOOKUP(C240,产品数据!$B:$F,5,FALSE),"未录入生产日期"),"未写入保质期")))</f>
        <v/>
      </c>
    </row>
    <row r="241" spans="1:9">
      <c r="A241" s="8">
        <f t="shared" ref="A241:A250" si="24">ROW()-1</f>
        <v>240</v>
      </c>
      <c r="B241" s="17"/>
      <c r="C241" s="16"/>
      <c r="D241" s="8" t="str">
        <f>IFERROR(VLOOKUP(C241,产品数据!$B:$D,2,FALSE),"")</f>
        <v/>
      </c>
      <c r="E241" s="8"/>
      <c r="F241" s="8" t="str">
        <f>IFERROR(VLOOKUP(C241,产品数据!$B:$D,3,FALSE),"")</f>
        <v/>
      </c>
      <c r="G241" s="8"/>
      <c r="H241" s="17"/>
      <c r="I241" s="5" t="str">
        <f>IF(C241=0,"",IF(H241=0,"未记录生产日期",IFERROR(H241+IFERROR(VLOOKUP(C241,产品数据!$B:$F,5,FALSE),"未录入生产日期"),"未写入保质期")))</f>
        <v/>
      </c>
    </row>
    <row r="242" spans="1:9">
      <c r="A242" s="8">
        <f t="shared" si="24"/>
        <v>241</v>
      </c>
      <c r="B242" s="17"/>
      <c r="C242" s="16"/>
      <c r="D242" s="8" t="str">
        <f>IFERROR(VLOOKUP(C242,产品数据!$B:$D,2,FALSE),"")</f>
        <v/>
      </c>
      <c r="E242" s="8"/>
      <c r="F242" s="8" t="str">
        <f>IFERROR(VLOOKUP(C242,产品数据!$B:$D,3,FALSE),"")</f>
        <v/>
      </c>
      <c r="G242" s="8"/>
      <c r="H242" s="17"/>
      <c r="I242" s="5" t="str">
        <f>IF(C242=0,"",IF(H242=0,"未记录生产日期",IFERROR(H242+IFERROR(VLOOKUP(C242,产品数据!$B:$F,5,FALSE),"未录入生产日期"),"未写入保质期")))</f>
        <v/>
      </c>
    </row>
    <row r="243" spans="1:9">
      <c r="A243" s="8">
        <f t="shared" si="24"/>
        <v>242</v>
      </c>
      <c r="B243" s="17"/>
      <c r="C243" s="16"/>
      <c r="D243" s="8" t="str">
        <f>IFERROR(VLOOKUP(C243,产品数据!$B:$D,2,FALSE),"")</f>
        <v/>
      </c>
      <c r="E243" s="8"/>
      <c r="F243" s="8" t="str">
        <f>IFERROR(VLOOKUP(C243,产品数据!$B:$D,3,FALSE),"")</f>
        <v/>
      </c>
      <c r="G243" s="8"/>
      <c r="H243" s="17"/>
      <c r="I243" s="5" t="str">
        <f>IF(C243=0,"",IF(H243=0,"未记录生产日期",IFERROR(H243+IFERROR(VLOOKUP(C243,产品数据!$B:$F,5,FALSE),"未录入生产日期"),"未写入保质期")))</f>
        <v/>
      </c>
    </row>
    <row r="244" spans="1:9">
      <c r="A244" s="8">
        <f t="shared" si="24"/>
        <v>243</v>
      </c>
      <c r="B244" s="17"/>
      <c r="C244" s="16"/>
      <c r="D244" s="8" t="str">
        <f>IFERROR(VLOOKUP(C244,产品数据!$B:$D,2,FALSE),"")</f>
        <v/>
      </c>
      <c r="E244" s="8"/>
      <c r="F244" s="8" t="str">
        <f>IFERROR(VLOOKUP(C244,产品数据!$B:$D,3,FALSE),"")</f>
        <v/>
      </c>
      <c r="G244" s="8"/>
      <c r="H244" s="17"/>
      <c r="I244" s="5" t="str">
        <f>IF(C244=0,"",IF(H244=0,"未记录生产日期",IFERROR(H244+IFERROR(VLOOKUP(C244,产品数据!$B:$F,5,FALSE),"未录入生产日期"),"未写入保质期")))</f>
        <v/>
      </c>
    </row>
    <row r="245" spans="1:9">
      <c r="A245" s="8">
        <f t="shared" si="24"/>
        <v>244</v>
      </c>
      <c r="B245" s="17"/>
      <c r="C245" s="16"/>
      <c r="D245" s="8" t="str">
        <f>IFERROR(VLOOKUP(C245,产品数据!$B:$D,2,FALSE),"")</f>
        <v/>
      </c>
      <c r="E245" s="8"/>
      <c r="F245" s="8" t="str">
        <f>IFERROR(VLOOKUP(C245,产品数据!$B:$D,3,FALSE),"")</f>
        <v/>
      </c>
      <c r="G245" s="8"/>
      <c r="H245" s="17"/>
      <c r="I245" s="5" t="str">
        <f>IF(C245=0,"",IF(H245=0,"未记录生产日期",IFERROR(H245+IFERROR(VLOOKUP(C245,产品数据!$B:$F,5,FALSE),"未录入生产日期"),"未写入保质期")))</f>
        <v/>
      </c>
    </row>
    <row r="246" spans="1:9">
      <c r="A246" s="8">
        <f t="shared" si="24"/>
        <v>245</v>
      </c>
      <c r="B246" s="17"/>
      <c r="C246" s="16"/>
      <c r="D246" s="8" t="str">
        <f>IFERROR(VLOOKUP(C246,产品数据!$B:$D,2,FALSE),"")</f>
        <v/>
      </c>
      <c r="E246" s="8"/>
      <c r="F246" s="8" t="str">
        <f>IFERROR(VLOOKUP(C246,产品数据!$B:$D,3,FALSE),"")</f>
        <v/>
      </c>
      <c r="G246" s="8"/>
      <c r="H246" s="17"/>
      <c r="I246" s="5" t="str">
        <f>IF(C246=0,"",IF(H246=0,"未记录生产日期",IFERROR(H246+IFERROR(VLOOKUP(C246,产品数据!$B:$F,5,FALSE),"未录入生产日期"),"未写入保质期")))</f>
        <v/>
      </c>
    </row>
    <row r="247" spans="1:9">
      <c r="A247" s="8">
        <f t="shared" si="24"/>
        <v>246</v>
      </c>
      <c r="B247" s="17"/>
      <c r="C247" s="16"/>
      <c r="D247" s="8" t="str">
        <f>IFERROR(VLOOKUP(C247,产品数据!$B:$D,2,FALSE),"")</f>
        <v/>
      </c>
      <c r="E247" s="8"/>
      <c r="F247" s="8" t="str">
        <f>IFERROR(VLOOKUP(C247,产品数据!$B:$D,3,FALSE),"")</f>
        <v/>
      </c>
      <c r="G247" s="8"/>
      <c r="H247" s="17"/>
      <c r="I247" s="5" t="str">
        <f>IF(C247=0,"",IF(H247=0,"未记录生产日期",IFERROR(H247+IFERROR(VLOOKUP(C247,产品数据!$B:$F,5,FALSE),"未录入生产日期"),"未写入保质期")))</f>
        <v/>
      </c>
    </row>
    <row r="248" spans="1:9">
      <c r="A248" s="8">
        <f t="shared" si="24"/>
        <v>247</v>
      </c>
      <c r="B248" s="17"/>
      <c r="C248" s="16"/>
      <c r="D248" s="8" t="str">
        <f>IFERROR(VLOOKUP(C248,产品数据!$B:$D,2,FALSE),"")</f>
        <v/>
      </c>
      <c r="E248" s="8"/>
      <c r="F248" s="8" t="str">
        <f>IFERROR(VLOOKUP(C248,产品数据!$B:$D,3,FALSE),"")</f>
        <v/>
      </c>
      <c r="G248" s="8"/>
      <c r="H248" s="17"/>
      <c r="I248" s="5" t="str">
        <f>IF(C248=0,"",IF(H248=0,"未记录生产日期",IFERROR(H248+IFERROR(VLOOKUP(C248,产品数据!$B:$F,5,FALSE),"未录入生产日期"),"未写入保质期")))</f>
        <v/>
      </c>
    </row>
    <row r="249" spans="1:9">
      <c r="A249" s="8">
        <f t="shared" si="24"/>
        <v>248</v>
      </c>
      <c r="B249" s="17"/>
      <c r="C249" s="16"/>
      <c r="D249" s="8" t="str">
        <f>IFERROR(VLOOKUP(C249,产品数据!$B:$D,2,FALSE),"")</f>
        <v/>
      </c>
      <c r="E249" s="8"/>
      <c r="F249" s="8" t="str">
        <f>IFERROR(VLOOKUP(C249,产品数据!$B:$D,3,FALSE),"")</f>
        <v/>
      </c>
      <c r="G249" s="8"/>
      <c r="H249" s="17"/>
      <c r="I249" s="5" t="str">
        <f>IF(C249=0,"",IF(H249=0,"未记录生产日期",IFERROR(H249+IFERROR(VLOOKUP(C249,产品数据!$B:$F,5,FALSE),"未录入生产日期"),"未写入保质期")))</f>
        <v/>
      </c>
    </row>
    <row r="250" spans="1:9">
      <c r="A250" s="8">
        <f t="shared" si="24"/>
        <v>249</v>
      </c>
      <c r="B250" s="17"/>
      <c r="C250" s="16"/>
      <c r="D250" s="8" t="str">
        <f>IFERROR(VLOOKUP(C250,产品数据!$B:$D,2,FALSE),"")</f>
        <v/>
      </c>
      <c r="E250" s="8"/>
      <c r="F250" s="8" t="str">
        <f>IFERROR(VLOOKUP(C250,产品数据!$B:$D,3,FALSE),"")</f>
        <v/>
      </c>
      <c r="G250" s="8"/>
      <c r="H250" s="17"/>
      <c r="I250" s="5" t="str">
        <f>IF(C250=0,"",IF(H250=0,"未记录生产日期",IFERROR(H250+IFERROR(VLOOKUP(C250,产品数据!$B:$F,5,FALSE),"未录入生产日期"),"未写入保质期")))</f>
        <v/>
      </c>
    </row>
    <row r="251" spans="1:9">
      <c r="A251" s="8">
        <f t="shared" ref="A251:A260" si="25">ROW()-1</f>
        <v>250</v>
      </c>
      <c r="B251" s="17"/>
      <c r="C251" s="16"/>
      <c r="D251" s="8" t="str">
        <f>IFERROR(VLOOKUP(C251,产品数据!$B:$D,2,FALSE),"")</f>
        <v/>
      </c>
      <c r="E251" s="8"/>
      <c r="F251" s="8" t="str">
        <f>IFERROR(VLOOKUP(C251,产品数据!$B:$D,3,FALSE),"")</f>
        <v/>
      </c>
      <c r="G251" s="8"/>
      <c r="H251" s="17"/>
      <c r="I251" s="5" t="str">
        <f>IF(C251=0,"",IF(H251=0,"未记录生产日期",IFERROR(H251+IFERROR(VLOOKUP(C251,产品数据!$B:$F,5,FALSE),"未录入生产日期"),"未写入保质期")))</f>
        <v/>
      </c>
    </row>
    <row r="252" spans="1:9">
      <c r="A252" s="8">
        <f t="shared" si="25"/>
        <v>251</v>
      </c>
      <c r="B252" s="17"/>
      <c r="C252" s="16"/>
      <c r="D252" s="8" t="str">
        <f>IFERROR(VLOOKUP(C252,产品数据!$B:$D,2,FALSE),"")</f>
        <v/>
      </c>
      <c r="E252" s="8"/>
      <c r="F252" s="8" t="str">
        <f>IFERROR(VLOOKUP(C252,产品数据!$B:$D,3,FALSE),"")</f>
        <v/>
      </c>
      <c r="G252" s="16"/>
      <c r="H252" s="17"/>
      <c r="I252" s="5" t="str">
        <f>IF(C252=0,"",IF(H252=0,"未记录生产日期",IFERROR(H252+IFERROR(VLOOKUP(C252,产品数据!$B:$F,5,FALSE),"未录入生产日期"),"未写入保质期")))</f>
        <v/>
      </c>
    </row>
    <row r="253" spans="1:9">
      <c r="A253" s="8">
        <f t="shared" si="25"/>
        <v>252</v>
      </c>
      <c r="B253" s="17"/>
      <c r="C253" s="16"/>
      <c r="D253" s="8" t="str">
        <f>IFERROR(VLOOKUP(C253,产品数据!$B:$D,2,FALSE),"")</f>
        <v/>
      </c>
      <c r="E253" s="8"/>
      <c r="F253" s="8" t="str">
        <f>IFERROR(VLOOKUP(C253,产品数据!$B:$D,3,FALSE),"")</f>
        <v/>
      </c>
      <c r="G253" s="8"/>
      <c r="H253" s="17"/>
      <c r="I253" s="5" t="str">
        <f>IF(C253=0,"",IF(H253=0,"未记录生产日期",IFERROR(H253+IFERROR(VLOOKUP(C253,产品数据!$B:$F,5,FALSE),"未录入生产日期"),"未写入保质期")))</f>
        <v/>
      </c>
    </row>
    <row r="254" spans="1:9">
      <c r="A254" s="8">
        <f t="shared" si="25"/>
        <v>253</v>
      </c>
      <c r="B254" s="17"/>
      <c r="C254" s="16"/>
      <c r="D254" s="8" t="str">
        <f>IFERROR(VLOOKUP(C254,产品数据!$B:$D,2,FALSE),"")</f>
        <v/>
      </c>
      <c r="E254" s="8"/>
      <c r="F254" s="8" t="str">
        <f>IFERROR(VLOOKUP(C254,产品数据!$B:$D,3,FALSE),"")</f>
        <v/>
      </c>
      <c r="G254" s="8"/>
      <c r="H254" s="17"/>
      <c r="I254" s="5" t="str">
        <f>IF(C254=0,"",IF(H254=0,"未记录生产日期",IFERROR(H254+IFERROR(VLOOKUP(C254,产品数据!$B:$F,5,FALSE),"未录入生产日期"),"未写入保质期")))</f>
        <v/>
      </c>
    </row>
    <row r="255" spans="1:9">
      <c r="A255" s="8">
        <f t="shared" si="25"/>
        <v>254</v>
      </c>
      <c r="B255" s="17"/>
      <c r="C255" s="16"/>
      <c r="D255" s="8" t="str">
        <f>IFERROR(VLOOKUP(C255,产品数据!$B:$D,2,FALSE),"")</f>
        <v/>
      </c>
      <c r="E255" s="8"/>
      <c r="F255" s="8" t="str">
        <f>IFERROR(VLOOKUP(C255,产品数据!$B:$D,3,FALSE),"")</f>
        <v/>
      </c>
      <c r="G255" s="8"/>
      <c r="H255" s="17"/>
      <c r="I255" s="5" t="str">
        <f>IF(C255=0,"",IF(H255=0,"未记录生产日期",IFERROR(H255+IFERROR(VLOOKUP(C255,产品数据!$B:$F,5,FALSE),"未录入生产日期"),"未写入保质期")))</f>
        <v/>
      </c>
    </row>
    <row r="256" spans="1:9">
      <c r="A256" s="8">
        <f t="shared" si="25"/>
        <v>255</v>
      </c>
      <c r="B256" s="17"/>
      <c r="C256" s="16"/>
      <c r="D256" s="8" t="str">
        <f>IFERROR(VLOOKUP(C256,产品数据!$B:$D,2,FALSE),"")</f>
        <v/>
      </c>
      <c r="E256" s="8"/>
      <c r="F256" s="8" t="str">
        <f>IFERROR(VLOOKUP(C256,产品数据!$B:$D,3,FALSE),"")</f>
        <v/>
      </c>
      <c r="G256" s="8"/>
      <c r="H256" s="17"/>
      <c r="I256" s="5" t="str">
        <f>IF(C256=0,"",IF(H256=0,"未记录生产日期",IFERROR(H256+IFERROR(VLOOKUP(C256,产品数据!$B:$F,5,FALSE),"未录入生产日期"),"未写入保质期")))</f>
        <v/>
      </c>
    </row>
    <row r="257" spans="1:9">
      <c r="A257" s="8">
        <f t="shared" si="25"/>
        <v>256</v>
      </c>
      <c r="B257" s="17"/>
      <c r="C257" s="16"/>
      <c r="D257" s="8" t="str">
        <f>IFERROR(VLOOKUP(C257,产品数据!$B:$D,2,FALSE),"")</f>
        <v/>
      </c>
      <c r="E257" s="8"/>
      <c r="F257" s="8" t="str">
        <f>IFERROR(VLOOKUP(C257,产品数据!$B:$D,3,FALSE),"")</f>
        <v/>
      </c>
      <c r="G257" s="8"/>
      <c r="H257" s="17"/>
      <c r="I257" s="5" t="str">
        <f>IF(C257=0,"",IF(H257=0,"未记录生产日期",IFERROR(H257+IFERROR(VLOOKUP(C257,产品数据!$B:$F,5,FALSE),"未录入生产日期"),"未写入保质期")))</f>
        <v/>
      </c>
    </row>
    <row r="258" spans="1:9">
      <c r="A258" s="8">
        <f t="shared" si="25"/>
        <v>257</v>
      </c>
      <c r="B258" s="17"/>
      <c r="C258" s="16"/>
      <c r="D258" s="8" t="str">
        <f>IFERROR(VLOOKUP(C258,产品数据!$B:$D,2,FALSE),"")</f>
        <v/>
      </c>
      <c r="E258" s="8"/>
      <c r="F258" s="8" t="str">
        <f>IFERROR(VLOOKUP(C258,产品数据!$B:$D,3,FALSE),"")</f>
        <v/>
      </c>
      <c r="G258" s="8"/>
      <c r="H258" s="17"/>
      <c r="I258" s="5" t="str">
        <f>IF(C258=0,"",IF(H258=0,"未记录生产日期",IFERROR(H258+IFERROR(VLOOKUP(C258,产品数据!$B:$F,5,FALSE),"未录入生产日期"),"未写入保质期")))</f>
        <v/>
      </c>
    </row>
    <row r="259" spans="1:9">
      <c r="A259" s="8">
        <f t="shared" si="25"/>
        <v>258</v>
      </c>
      <c r="B259" s="17"/>
      <c r="C259" s="16"/>
      <c r="D259" s="8" t="str">
        <f>IFERROR(VLOOKUP(C259,产品数据!$B:$D,2,FALSE),"")</f>
        <v/>
      </c>
      <c r="E259" s="8"/>
      <c r="F259" s="8" t="str">
        <f>IFERROR(VLOOKUP(C259,产品数据!$B:$D,3,FALSE),"")</f>
        <v/>
      </c>
      <c r="G259" s="8"/>
      <c r="H259" s="17"/>
      <c r="I259" s="5" t="str">
        <f>IF(C259=0,"",IF(H259=0,"未记录生产日期",IFERROR(H259+IFERROR(VLOOKUP(C259,产品数据!$B:$F,5,FALSE),"未录入生产日期"),"未写入保质期")))</f>
        <v/>
      </c>
    </row>
    <row r="260" spans="1:9">
      <c r="A260" s="8">
        <f t="shared" si="25"/>
        <v>259</v>
      </c>
      <c r="B260" s="17"/>
      <c r="C260" s="16"/>
      <c r="D260" s="8" t="str">
        <f>IFERROR(VLOOKUP(C260,产品数据!$B:$D,2,FALSE),"")</f>
        <v/>
      </c>
      <c r="E260" s="8"/>
      <c r="F260" s="8" t="str">
        <f>IFERROR(VLOOKUP(C260,产品数据!$B:$D,3,FALSE),"")</f>
        <v/>
      </c>
      <c r="G260" s="8"/>
      <c r="H260" s="17"/>
      <c r="I260" s="5" t="str">
        <f>IF(C260=0,"",IF(H260=0,"未记录生产日期",IFERROR(H260+IFERROR(VLOOKUP(C260,产品数据!$B:$F,5,FALSE),"未录入生产日期"),"未写入保质期")))</f>
        <v/>
      </c>
    </row>
    <row r="261" spans="1:9">
      <c r="A261" s="8">
        <f t="shared" ref="A261:A270" si="26">ROW()-1</f>
        <v>260</v>
      </c>
      <c r="B261" s="17"/>
      <c r="C261" s="16"/>
      <c r="D261" s="8" t="str">
        <f>IFERROR(VLOOKUP(C261,产品数据!$B:$D,2,FALSE),"")</f>
        <v/>
      </c>
      <c r="E261" s="8"/>
      <c r="F261" s="8" t="str">
        <f>IFERROR(VLOOKUP(C261,产品数据!$B:$D,3,FALSE),"")</f>
        <v/>
      </c>
      <c r="G261" s="8"/>
      <c r="H261" s="17"/>
      <c r="I261" s="5" t="str">
        <f>IF(C261=0,"",IF(H261=0,"未记录生产日期",IFERROR(H261+IFERROR(VLOOKUP(C261,产品数据!$B:$F,5,FALSE),"未录入生产日期"),"未写入保质期")))</f>
        <v/>
      </c>
    </row>
    <row r="262" spans="1:9">
      <c r="A262" s="8">
        <f t="shared" si="26"/>
        <v>261</v>
      </c>
      <c r="B262" s="17"/>
      <c r="C262" s="16"/>
      <c r="D262" s="8" t="str">
        <f>IFERROR(VLOOKUP(C262,产品数据!$B:$D,2,FALSE),"")</f>
        <v/>
      </c>
      <c r="E262" s="8"/>
      <c r="F262" s="8" t="str">
        <f>IFERROR(VLOOKUP(C262,产品数据!$B:$D,3,FALSE),"")</f>
        <v/>
      </c>
      <c r="G262" s="8"/>
      <c r="H262" s="17"/>
      <c r="I262" s="5" t="str">
        <f>IF(C262=0,"",IF(H262=0,"未记录生产日期",IFERROR(H262+IFERROR(VLOOKUP(C262,产品数据!$B:$F,5,FALSE),"未录入生产日期"),"未写入保质期")))</f>
        <v/>
      </c>
    </row>
    <row r="263" spans="1:9">
      <c r="A263" s="8">
        <f t="shared" si="26"/>
        <v>262</v>
      </c>
      <c r="B263" s="17"/>
      <c r="C263" s="16"/>
      <c r="D263" s="8" t="str">
        <f>IFERROR(VLOOKUP(C263,产品数据!$B:$D,2,FALSE),"")</f>
        <v/>
      </c>
      <c r="E263" s="8"/>
      <c r="F263" s="8" t="str">
        <f>IFERROR(VLOOKUP(C263,产品数据!$B:$D,3,FALSE),"")</f>
        <v/>
      </c>
      <c r="G263" s="8"/>
      <c r="H263" s="17"/>
      <c r="I263" s="5" t="str">
        <f>IF(C263=0,"",IF(H263=0,"未记录生产日期",IFERROR(H263+IFERROR(VLOOKUP(C263,产品数据!$B:$F,5,FALSE),"未录入生产日期"),"未写入保质期")))</f>
        <v/>
      </c>
    </row>
    <row r="264" spans="1:9">
      <c r="A264" s="8">
        <f t="shared" si="26"/>
        <v>263</v>
      </c>
      <c r="B264" s="17"/>
      <c r="C264" s="16"/>
      <c r="D264" s="8" t="str">
        <f>IFERROR(VLOOKUP(C264,产品数据!$B:$D,2,FALSE),"")</f>
        <v/>
      </c>
      <c r="E264" s="8"/>
      <c r="F264" s="8" t="str">
        <f>IFERROR(VLOOKUP(C264,产品数据!$B:$D,3,FALSE),"")</f>
        <v/>
      </c>
      <c r="G264" s="8"/>
      <c r="H264" s="17"/>
      <c r="I264" s="5" t="str">
        <f>IF(C264=0,"",IF(H264=0,"未记录生产日期",IFERROR(H264+IFERROR(VLOOKUP(C264,产品数据!$B:$F,5,FALSE),"未录入生产日期"),"未写入保质期")))</f>
        <v/>
      </c>
    </row>
    <row r="265" spans="1:9">
      <c r="A265" s="8">
        <f t="shared" si="26"/>
        <v>264</v>
      </c>
      <c r="B265" s="17"/>
      <c r="C265" s="16"/>
      <c r="D265" s="8" t="str">
        <f>IFERROR(VLOOKUP(C265,产品数据!$B:$D,2,FALSE),"")</f>
        <v/>
      </c>
      <c r="E265" s="8"/>
      <c r="F265" s="8" t="str">
        <f>IFERROR(VLOOKUP(C265,产品数据!$B:$D,3,FALSE),"")</f>
        <v/>
      </c>
      <c r="G265" s="8"/>
      <c r="H265" s="17"/>
      <c r="I265" s="5" t="str">
        <f>IF(C265=0,"",IF(H265=0,"未记录生产日期",IFERROR(H265+IFERROR(VLOOKUP(C265,产品数据!$B:$F,5,FALSE),"未录入生产日期"),"未写入保质期")))</f>
        <v/>
      </c>
    </row>
    <row r="266" spans="1:9">
      <c r="A266" s="8">
        <f t="shared" si="26"/>
        <v>265</v>
      </c>
      <c r="B266" s="17"/>
      <c r="C266" s="16"/>
      <c r="D266" s="8" t="str">
        <f>IFERROR(VLOOKUP(C266,产品数据!$B:$D,2,FALSE),"")</f>
        <v/>
      </c>
      <c r="E266" s="8"/>
      <c r="F266" s="8" t="str">
        <f>IFERROR(VLOOKUP(C266,产品数据!$B:$D,3,FALSE),"")</f>
        <v/>
      </c>
      <c r="G266" s="8"/>
      <c r="H266" s="17"/>
      <c r="I266" s="5" t="str">
        <f>IF(C266=0,"",IF(H266=0,"未记录生产日期",IFERROR(H266+IFERROR(VLOOKUP(C266,产品数据!$B:$F,5,FALSE),"未录入生产日期"),"未写入保质期")))</f>
        <v/>
      </c>
    </row>
    <row r="267" spans="1:9">
      <c r="A267" s="8">
        <f t="shared" si="26"/>
        <v>266</v>
      </c>
      <c r="B267" s="17"/>
      <c r="C267" s="16"/>
      <c r="D267" s="8" t="str">
        <f>IFERROR(VLOOKUP(C267,产品数据!$B:$D,2,FALSE),"")</f>
        <v/>
      </c>
      <c r="E267" s="8"/>
      <c r="F267" s="8" t="str">
        <f>IFERROR(VLOOKUP(C267,产品数据!$B:$D,3,FALSE),"")</f>
        <v/>
      </c>
      <c r="G267" s="8"/>
      <c r="H267" s="17"/>
      <c r="I267" s="5" t="str">
        <f>IF(C267=0,"",IF(H267=0,"未记录生产日期",IFERROR(H267+IFERROR(VLOOKUP(C267,产品数据!$B:$F,5,FALSE),"未录入生产日期"),"未写入保质期")))</f>
        <v/>
      </c>
    </row>
    <row r="268" spans="1:9">
      <c r="A268" s="8">
        <f t="shared" si="26"/>
        <v>267</v>
      </c>
      <c r="B268" s="17"/>
      <c r="C268" s="16"/>
      <c r="D268" s="8" t="str">
        <f>IFERROR(VLOOKUP(C268,产品数据!$B:$D,2,FALSE),"")</f>
        <v/>
      </c>
      <c r="E268" s="8"/>
      <c r="F268" s="8" t="str">
        <f>IFERROR(VLOOKUP(C268,产品数据!$B:$D,3,FALSE),"")</f>
        <v/>
      </c>
      <c r="G268" s="8"/>
      <c r="H268" s="17"/>
      <c r="I268" s="5" t="str">
        <f>IF(C268=0,"",IF(H268=0,"未记录生产日期",IFERROR(H268+IFERROR(VLOOKUP(C268,产品数据!$B:$F,5,FALSE),"未录入生产日期"),"未写入保质期")))</f>
        <v/>
      </c>
    </row>
    <row r="269" spans="1:9">
      <c r="A269" s="8">
        <f t="shared" si="26"/>
        <v>268</v>
      </c>
      <c r="B269" s="17"/>
      <c r="C269" s="16"/>
      <c r="D269" s="8" t="str">
        <f>IFERROR(VLOOKUP(C269,产品数据!$B:$D,2,FALSE),"")</f>
        <v/>
      </c>
      <c r="E269" s="8"/>
      <c r="F269" s="8" t="str">
        <f>IFERROR(VLOOKUP(C269,产品数据!$B:$D,3,FALSE),"")</f>
        <v/>
      </c>
      <c r="G269" s="8"/>
      <c r="H269" s="17"/>
      <c r="I269" s="5" t="str">
        <f>IF(C269=0,"",IF(H269=0,"未记录生产日期",IFERROR(H269+IFERROR(VLOOKUP(C269,产品数据!$B:$F,5,FALSE),"未录入生产日期"),"未写入保质期")))</f>
        <v/>
      </c>
    </row>
    <row r="270" spans="1:9">
      <c r="A270" s="8">
        <f t="shared" si="26"/>
        <v>269</v>
      </c>
      <c r="B270" s="17"/>
      <c r="C270" s="16"/>
      <c r="D270" s="8" t="str">
        <f>IFERROR(VLOOKUP(C270,产品数据!$B:$D,2,FALSE),"")</f>
        <v/>
      </c>
      <c r="E270" s="8"/>
      <c r="F270" s="8" t="str">
        <f>IFERROR(VLOOKUP(C270,产品数据!$B:$D,3,FALSE),"")</f>
        <v/>
      </c>
      <c r="G270" s="8"/>
      <c r="H270" s="17"/>
      <c r="I270" s="5" t="str">
        <f>IF(C270=0,"",IF(H270=0,"未记录生产日期",IFERROR(H270+IFERROR(VLOOKUP(C270,产品数据!$B:$F,5,FALSE),"未录入生产日期"),"未写入保质期")))</f>
        <v/>
      </c>
    </row>
    <row r="271" spans="1:9">
      <c r="A271" s="8">
        <f t="shared" ref="A271:A280" si="27">ROW()-1</f>
        <v>270</v>
      </c>
      <c r="B271" s="17"/>
      <c r="C271" s="16"/>
      <c r="D271" s="8" t="str">
        <f>IFERROR(VLOOKUP(C271,产品数据!$B:$D,2,FALSE),"")</f>
        <v/>
      </c>
      <c r="E271" s="8"/>
      <c r="F271" s="8" t="str">
        <f>IFERROR(VLOOKUP(C271,产品数据!$B:$D,3,FALSE),"")</f>
        <v/>
      </c>
      <c r="G271" s="8"/>
      <c r="H271" s="17"/>
      <c r="I271" s="5" t="str">
        <f>IF(C271=0,"",IF(H271=0,"未记录生产日期",IFERROR(H271+IFERROR(VLOOKUP(C271,产品数据!$B:$F,5,FALSE),"未录入生产日期"),"未写入保质期")))</f>
        <v/>
      </c>
    </row>
    <row r="272" spans="1:9">
      <c r="A272" s="8">
        <f t="shared" si="27"/>
        <v>271</v>
      </c>
      <c r="B272" s="17"/>
      <c r="C272" s="16"/>
      <c r="D272" s="8" t="str">
        <f>IFERROR(VLOOKUP(C272,产品数据!$B:$D,2,FALSE),"")</f>
        <v/>
      </c>
      <c r="E272" s="8"/>
      <c r="F272" s="8" t="str">
        <f>IFERROR(VLOOKUP(C272,产品数据!$B:$D,3,FALSE),"")</f>
        <v/>
      </c>
      <c r="G272" s="8"/>
      <c r="H272" s="17"/>
      <c r="I272" s="5" t="str">
        <f>IF(C272=0,"",IF(H272=0,"未记录生产日期",IFERROR(H272+IFERROR(VLOOKUP(C272,产品数据!$B:$F,5,FALSE),"未录入生产日期"),"未写入保质期")))</f>
        <v/>
      </c>
    </row>
    <row r="273" spans="1:9">
      <c r="A273" s="8">
        <f t="shared" si="27"/>
        <v>272</v>
      </c>
      <c r="B273" s="17"/>
      <c r="C273" s="16"/>
      <c r="D273" s="8" t="str">
        <f>IFERROR(VLOOKUP(C273,产品数据!$B:$D,2,FALSE),"")</f>
        <v/>
      </c>
      <c r="E273" s="8"/>
      <c r="F273" s="8" t="str">
        <f>IFERROR(VLOOKUP(C273,产品数据!$B:$D,3,FALSE),"")</f>
        <v/>
      </c>
      <c r="G273" s="8"/>
      <c r="H273" s="17"/>
      <c r="I273" s="5" t="str">
        <f>IF(C273=0,"",IF(H273=0,"未记录生产日期",IFERROR(H273+IFERROR(VLOOKUP(C273,产品数据!$B:$F,5,FALSE),"未录入生产日期"),"未写入保质期")))</f>
        <v/>
      </c>
    </row>
    <row r="274" spans="1:9">
      <c r="A274" s="8">
        <f t="shared" si="27"/>
        <v>273</v>
      </c>
      <c r="B274" s="17"/>
      <c r="C274" s="16"/>
      <c r="D274" s="8" t="str">
        <f>IFERROR(VLOOKUP(C274,产品数据!$B:$D,2,FALSE),"")</f>
        <v/>
      </c>
      <c r="E274" s="8"/>
      <c r="F274" s="8" t="str">
        <f>IFERROR(VLOOKUP(C274,产品数据!$B:$D,3,FALSE),"")</f>
        <v/>
      </c>
      <c r="G274" s="8"/>
      <c r="H274" s="17"/>
      <c r="I274" s="5" t="str">
        <f>IF(C274=0,"",IF(H274=0,"未记录生产日期",IFERROR(H274+IFERROR(VLOOKUP(C274,产品数据!$B:$F,5,FALSE),"未录入生产日期"),"未写入保质期")))</f>
        <v/>
      </c>
    </row>
    <row r="275" spans="1:9">
      <c r="A275" s="8">
        <f t="shared" si="27"/>
        <v>274</v>
      </c>
      <c r="B275" s="17"/>
      <c r="C275" s="16"/>
      <c r="D275" s="8" t="str">
        <f>IFERROR(VLOOKUP(C275,产品数据!$B:$D,2,FALSE),"")</f>
        <v/>
      </c>
      <c r="E275" s="8"/>
      <c r="F275" s="8" t="str">
        <f>IFERROR(VLOOKUP(C275,产品数据!$B:$D,3,FALSE),"")</f>
        <v/>
      </c>
      <c r="G275" s="8"/>
      <c r="H275" s="17"/>
      <c r="I275" s="5" t="str">
        <f>IF(C275=0,"",IF(H275=0,"未记录生产日期",IFERROR(H275+IFERROR(VLOOKUP(C275,产品数据!$B:$F,5,FALSE),"未录入生产日期"),"未写入保质期")))</f>
        <v/>
      </c>
    </row>
    <row r="276" spans="1:9">
      <c r="A276" s="8">
        <f t="shared" si="27"/>
        <v>275</v>
      </c>
      <c r="B276" s="17"/>
      <c r="C276" s="16"/>
      <c r="D276" s="8" t="str">
        <f>IFERROR(VLOOKUP(C276,产品数据!$B:$D,2,FALSE),"")</f>
        <v/>
      </c>
      <c r="E276" s="8"/>
      <c r="F276" s="8" t="str">
        <f>IFERROR(VLOOKUP(C276,产品数据!$B:$D,3,FALSE),"")</f>
        <v/>
      </c>
      <c r="G276" s="8"/>
      <c r="H276" s="17"/>
      <c r="I276" s="5" t="str">
        <f>IF(C276=0,"",IF(H276=0,"未记录生产日期",IFERROR(H276+IFERROR(VLOOKUP(C276,产品数据!$B:$F,5,FALSE),"未录入生产日期"),"未写入保质期")))</f>
        <v/>
      </c>
    </row>
    <row r="277" spans="1:9">
      <c r="A277" s="8">
        <f t="shared" si="27"/>
        <v>276</v>
      </c>
      <c r="B277" s="17"/>
      <c r="C277" s="16"/>
      <c r="D277" s="8" t="str">
        <f>IFERROR(VLOOKUP(C277,产品数据!$B:$D,2,FALSE),"")</f>
        <v/>
      </c>
      <c r="E277" s="8"/>
      <c r="F277" s="8" t="str">
        <f>IFERROR(VLOOKUP(C277,产品数据!$B:$D,3,FALSE),"")</f>
        <v/>
      </c>
      <c r="G277" s="8"/>
      <c r="H277" s="17"/>
      <c r="I277" s="5" t="str">
        <f>IF(C277=0,"",IF(H277=0,"未记录生产日期",IFERROR(H277+IFERROR(VLOOKUP(C277,产品数据!$B:$F,5,FALSE),"未录入生产日期"),"未写入保质期")))</f>
        <v/>
      </c>
    </row>
    <row r="278" spans="1:9">
      <c r="A278" s="8">
        <f t="shared" si="27"/>
        <v>277</v>
      </c>
      <c r="B278" s="17"/>
      <c r="C278" s="16"/>
      <c r="D278" s="8" t="str">
        <f>IFERROR(VLOOKUP(C278,产品数据!$B:$D,2,FALSE),"")</f>
        <v/>
      </c>
      <c r="E278" s="8"/>
      <c r="F278" s="8" t="str">
        <f>IFERROR(VLOOKUP(C278,产品数据!$B:$D,3,FALSE),"")</f>
        <v/>
      </c>
      <c r="G278" s="8"/>
      <c r="H278" s="17"/>
      <c r="I278" s="5" t="str">
        <f>IF(C278=0,"",IF(H278=0,"未记录生产日期",IFERROR(H278+IFERROR(VLOOKUP(C278,产品数据!$B:$F,5,FALSE),"未录入生产日期"),"未写入保质期")))</f>
        <v/>
      </c>
    </row>
    <row r="279" spans="1:9">
      <c r="A279" s="8">
        <f t="shared" si="27"/>
        <v>278</v>
      </c>
      <c r="B279" s="17"/>
      <c r="C279" s="16"/>
      <c r="D279" s="8" t="str">
        <f>IFERROR(VLOOKUP(C279,产品数据!$B:$D,2,FALSE),"")</f>
        <v/>
      </c>
      <c r="E279" s="8"/>
      <c r="F279" s="8" t="str">
        <f>IFERROR(VLOOKUP(C279,产品数据!$B:$D,3,FALSE),"")</f>
        <v/>
      </c>
      <c r="G279" s="8"/>
      <c r="H279" s="17"/>
      <c r="I279" s="5" t="str">
        <f>IF(C279=0,"",IF(H279=0,"未记录生产日期",IFERROR(H279+IFERROR(VLOOKUP(C279,产品数据!$B:$F,5,FALSE),"未录入生产日期"),"未写入保质期")))</f>
        <v/>
      </c>
    </row>
    <row r="280" spans="1:9">
      <c r="A280" s="8">
        <f t="shared" si="27"/>
        <v>279</v>
      </c>
      <c r="B280" s="17"/>
      <c r="C280" s="16"/>
      <c r="D280" s="8" t="str">
        <f>IFERROR(VLOOKUP(C280,产品数据!$B:$D,2,FALSE),"")</f>
        <v/>
      </c>
      <c r="E280" s="8"/>
      <c r="F280" s="8" t="str">
        <f>IFERROR(VLOOKUP(C280,产品数据!$B:$D,3,FALSE),"")</f>
        <v/>
      </c>
      <c r="G280" s="8"/>
      <c r="H280" s="17"/>
      <c r="I280" s="5" t="str">
        <f>IF(C280=0,"",IF(H280=0,"未记录生产日期",IFERROR(H280+IFERROR(VLOOKUP(C280,产品数据!$B:$F,5,FALSE),"未录入生产日期"),"未写入保质期")))</f>
        <v/>
      </c>
    </row>
    <row r="281" spans="1:9">
      <c r="A281" s="8">
        <f t="shared" ref="A281:A290" si="28">ROW()-1</f>
        <v>280</v>
      </c>
      <c r="B281" s="17"/>
      <c r="C281" s="16"/>
      <c r="D281" s="8" t="str">
        <f>IFERROR(VLOOKUP(C281,产品数据!$B:$D,2,FALSE),"")</f>
        <v/>
      </c>
      <c r="E281" s="8"/>
      <c r="F281" s="8" t="str">
        <f>IFERROR(VLOOKUP(C281,产品数据!$B:$D,3,FALSE),"")</f>
        <v/>
      </c>
      <c r="G281" s="8"/>
      <c r="H281" s="17"/>
      <c r="I281" s="5" t="str">
        <f>IF(C281=0,"",IF(H281=0,"未记录生产日期",IFERROR(H281+IFERROR(VLOOKUP(C281,产品数据!$B:$F,5,FALSE),"未录入生产日期"),"未写入保质期")))</f>
        <v/>
      </c>
    </row>
    <row r="282" spans="1:9">
      <c r="A282" s="8">
        <f t="shared" si="28"/>
        <v>281</v>
      </c>
      <c r="B282" s="17"/>
      <c r="C282" s="16"/>
      <c r="D282" s="8" t="str">
        <f>IFERROR(VLOOKUP(C282,产品数据!$B:$D,2,FALSE),"")</f>
        <v/>
      </c>
      <c r="E282" s="8"/>
      <c r="F282" s="8" t="str">
        <f>IFERROR(VLOOKUP(C282,产品数据!$B:$D,3,FALSE),"")</f>
        <v/>
      </c>
      <c r="G282" s="8"/>
      <c r="H282" s="17"/>
      <c r="I282" s="5" t="str">
        <f>IF(C282=0,"",IF(H282=0,"未记录生产日期",IFERROR(H282+IFERROR(VLOOKUP(C282,产品数据!$B:$F,5,FALSE),"未录入生产日期"),"未写入保质期")))</f>
        <v/>
      </c>
    </row>
    <row r="283" spans="1:9">
      <c r="A283" s="8">
        <f t="shared" si="28"/>
        <v>282</v>
      </c>
      <c r="B283" s="17"/>
      <c r="C283" s="16"/>
      <c r="D283" s="8" t="str">
        <f>IFERROR(VLOOKUP(C283,产品数据!$B:$D,2,FALSE),"")</f>
        <v/>
      </c>
      <c r="E283" s="8"/>
      <c r="F283" s="8" t="str">
        <f>IFERROR(VLOOKUP(C283,产品数据!$B:$D,3,FALSE),"")</f>
        <v/>
      </c>
      <c r="G283" s="8"/>
      <c r="H283" s="17"/>
      <c r="I283" s="5" t="str">
        <f>IF(C283=0,"",IF(H283=0,"未记录生产日期",IFERROR(H283+IFERROR(VLOOKUP(C283,产品数据!$B:$F,5,FALSE),"未录入生产日期"),"未写入保质期")))</f>
        <v/>
      </c>
    </row>
    <row r="284" spans="1:9">
      <c r="A284" s="8">
        <f t="shared" si="28"/>
        <v>283</v>
      </c>
      <c r="B284" s="17"/>
      <c r="C284" s="16"/>
      <c r="D284" s="8" t="str">
        <f>IFERROR(VLOOKUP(C284,产品数据!$B:$D,2,FALSE),"")</f>
        <v/>
      </c>
      <c r="E284" s="8"/>
      <c r="F284" s="8" t="str">
        <f>IFERROR(VLOOKUP(C284,产品数据!$B:$D,3,FALSE),"")</f>
        <v/>
      </c>
      <c r="G284" s="8"/>
      <c r="H284" s="17"/>
      <c r="I284" s="5" t="str">
        <f>IF(C284=0,"",IF(H284=0,"未记录生产日期",IFERROR(H284+IFERROR(VLOOKUP(C284,产品数据!$B:$F,5,FALSE),"未录入生产日期"),"未写入保质期")))</f>
        <v/>
      </c>
    </row>
    <row r="285" spans="1:9">
      <c r="A285" s="8">
        <f t="shared" si="28"/>
        <v>284</v>
      </c>
      <c r="B285" s="17"/>
      <c r="C285" s="16"/>
      <c r="D285" s="8" t="str">
        <f>IFERROR(VLOOKUP(C285,产品数据!$B:$D,2,FALSE),"")</f>
        <v/>
      </c>
      <c r="E285" s="8"/>
      <c r="F285" s="8" t="str">
        <f>IFERROR(VLOOKUP(C285,产品数据!$B:$D,3,FALSE),"")</f>
        <v/>
      </c>
      <c r="G285" s="8"/>
      <c r="H285" s="17"/>
      <c r="I285" s="5" t="str">
        <f>IF(C285=0,"",IF(H285=0,"未记录生产日期",IFERROR(H285+IFERROR(VLOOKUP(C285,产品数据!$B:$F,5,FALSE),"未录入生产日期"),"未写入保质期")))</f>
        <v/>
      </c>
    </row>
    <row r="286" spans="1:9">
      <c r="A286" s="8">
        <f t="shared" si="28"/>
        <v>285</v>
      </c>
      <c r="B286" s="17"/>
      <c r="C286" s="16"/>
      <c r="D286" s="8" t="str">
        <f>IFERROR(VLOOKUP(C286,产品数据!$B:$D,2,FALSE),"")</f>
        <v/>
      </c>
      <c r="E286" s="8"/>
      <c r="F286" s="8" t="str">
        <f>IFERROR(VLOOKUP(C286,产品数据!$B:$D,3,FALSE),"")</f>
        <v/>
      </c>
      <c r="G286" s="8"/>
      <c r="H286" s="17"/>
      <c r="I286" s="5" t="str">
        <f>IF(C286=0,"",IF(H286=0,"未记录生产日期",IFERROR(H286+IFERROR(VLOOKUP(C286,产品数据!$B:$F,5,FALSE),"未录入生产日期"),"未写入保质期")))</f>
        <v/>
      </c>
    </row>
    <row r="287" spans="1:9">
      <c r="A287" s="8">
        <f t="shared" si="28"/>
        <v>286</v>
      </c>
      <c r="B287" s="17"/>
      <c r="C287" s="16"/>
      <c r="D287" s="8" t="str">
        <f>IFERROR(VLOOKUP(C287,产品数据!$B:$D,2,FALSE),"")</f>
        <v/>
      </c>
      <c r="E287" s="8"/>
      <c r="F287" s="8" t="str">
        <f>IFERROR(VLOOKUP(C287,产品数据!$B:$D,3,FALSE),"")</f>
        <v/>
      </c>
      <c r="G287" s="8"/>
      <c r="H287" s="17"/>
      <c r="I287" s="5" t="str">
        <f>IF(C287=0,"",IF(H287=0,"未记录生产日期",IFERROR(H287+IFERROR(VLOOKUP(C287,产品数据!$B:$F,5,FALSE),"未录入生产日期"),"未写入保质期")))</f>
        <v/>
      </c>
    </row>
    <row r="288" spans="1:9">
      <c r="A288" s="8">
        <f t="shared" si="28"/>
        <v>287</v>
      </c>
      <c r="B288" s="17"/>
      <c r="C288" s="16"/>
      <c r="D288" s="8" t="str">
        <f>IFERROR(VLOOKUP(C288,产品数据!$B:$D,2,FALSE),"")</f>
        <v/>
      </c>
      <c r="E288" s="8"/>
      <c r="F288" s="8" t="str">
        <f>IFERROR(VLOOKUP(C288,产品数据!$B:$D,3,FALSE),"")</f>
        <v/>
      </c>
      <c r="G288" s="8"/>
      <c r="H288" s="17"/>
      <c r="I288" s="5" t="str">
        <f>IF(C288=0,"",IF(H288=0,"未记录生产日期",IFERROR(H288+IFERROR(VLOOKUP(C288,产品数据!$B:$F,5,FALSE),"未录入生产日期"),"未写入保质期")))</f>
        <v/>
      </c>
    </row>
    <row r="289" spans="1:9">
      <c r="A289" s="8">
        <f t="shared" si="28"/>
        <v>288</v>
      </c>
      <c r="B289" s="17"/>
      <c r="C289" s="16"/>
      <c r="D289" s="8" t="str">
        <f>IFERROR(VLOOKUP(C289,产品数据!$B:$D,2,FALSE),"")</f>
        <v/>
      </c>
      <c r="E289" s="8"/>
      <c r="F289" s="8" t="str">
        <f>IFERROR(VLOOKUP(C289,产品数据!$B:$D,3,FALSE),"")</f>
        <v/>
      </c>
      <c r="G289" s="8"/>
      <c r="H289" s="17"/>
      <c r="I289" s="5" t="str">
        <f>IF(C289=0,"",IF(H289=0,"未记录生产日期",IFERROR(H289+IFERROR(VLOOKUP(C289,产品数据!$B:$F,5,FALSE),"未录入生产日期"),"未写入保质期")))</f>
        <v/>
      </c>
    </row>
    <row r="290" spans="1:9">
      <c r="A290" s="8">
        <f t="shared" si="28"/>
        <v>289</v>
      </c>
      <c r="B290" s="17"/>
      <c r="C290" s="16"/>
      <c r="D290" s="8" t="str">
        <f>IFERROR(VLOOKUP(C290,产品数据!$B:$D,2,FALSE),"")</f>
        <v/>
      </c>
      <c r="E290" s="8"/>
      <c r="F290" s="8" t="str">
        <f>IFERROR(VLOOKUP(C290,产品数据!$B:$D,3,FALSE),"")</f>
        <v/>
      </c>
      <c r="G290" s="8"/>
      <c r="H290" s="17"/>
      <c r="I290" s="5" t="str">
        <f>IF(C290=0,"",IF(H290=0,"未记录生产日期",IFERROR(H290+IFERROR(VLOOKUP(C290,产品数据!$B:$F,5,FALSE),"未录入生产日期"),"未写入保质期")))</f>
        <v/>
      </c>
    </row>
    <row r="291" spans="1:9">
      <c r="A291" s="8">
        <f t="shared" ref="A291:A300" si="29">ROW()-1</f>
        <v>290</v>
      </c>
      <c r="B291" s="17"/>
      <c r="C291" s="16"/>
      <c r="D291" s="8" t="str">
        <f>IFERROR(VLOOKUP(C291,产品数据!$B:$D,2,FALSE),"")</f>
        <v/>
      </c>
      <c r="E291" s="8"/>
      <c r="F291" s="8" t="str">
        <f>IFERROR(VLOOKUP(C291,产品数据!$B:$D,3,FALSE),"")</f>
        <v/>
      </c>
      <c r="G291" s="8"/>
      <c r="H291" s="17"/>
      <c r="I291" s="5" t="str">
        <f>IF(C291=0,"",IF(H291=0,"未记录生产日期",IFERROR(H291+IFERROR(VLOOKUP(C291,产品数据!$B:$F,5,FALSE),"未录入生产日期"),"未写入保质期")))</f>
        <v/>
      </c>
    </row>
    <row r="292" spans="1:9">
      <c r="A292" s="8">
        <f t="shared" si="29"/>
        <v>291</v>
      </c>
      <c r="B292" s="17"/>
      <c r="C292" s="16"/>
      <c r="D292" s="8" t="str">
        <f>IFERROR(VLOOKUP(C292,产品数据!$B:$D,2,FALSE),"")</f>
        <v/>
      </c>
      <c r="E292" s="8"/>
      <c r="F292" s="8" t="str">
        <f>IFERROR(VLOOKUP(C292,产品数据!$B:$D,3,FALSE),"")</f>
        <v/>
      </c>
      <c r="G292" s="8"/>
      <c r="H292" s="17"/>
      <c r="I292" s="5" t="str">
        <f>IF(C292=0,"",IF(H292=0,"未记录生产日期",IFERROR(H292+IFERROR(VLOOKUP(C292,产品数据!$B:$F,5,FALSE),"未录入生产日期"),"未写入保质期")))</f>
        <v/>
      </c>
    </row>
    <row r="293" spans="1:9">
      <c r="A293" s="8">
        <f t="shared" si="29"/>
        <v>292</v>
      </c>
      <c r="B293" s="17"/>
      <c r="C293" s="16"/>
      <c r="D293" s="8" t="str">
        <f>IFERROR(VLOOKUP(C293,产品数据!$B:$D,2,FALSE),"")</f>
        <v/>
      </c>
      <c r="E293" s="8"/>
      <c r="F293" s="8" t="str">
        <f>IFERROR(VLOOKUP(C293,产品数据!$B:$D,3,FALSE),"")</f>
        <v/>
      </c>
      <c r="G293" s="8"/>
      <c r="H293" s="17"/>
      <c r="I293" s="5" t="str">
        <f>IF(C293=0,"",IF(H293=0,"未记录生产日期",IFERROR(H293+IFERROR(VLOOKUP(C293,产品数据!$B:$F,5,FALSE),"未录入生产日期"),"未写入保质期")))</f>
        <v/>
      </c>
    </row>
    <row r="294" spans="1:9">
      <c r="A294" s="8">
        <f t="shared" si="29"/>
        <v>293</v>
      </c>
      <c r="B294" s="17"/>
      <c r="C294" s="16"/>
      <c r="D294" s="8" t="str">
        <f>IFERROR(VLOOKUP(C294,产品数据!$B:$D,2,FALSE),"")</f>
        <v/>
      </c>
      <c r="E294" s="8"/>
      <c r="F294" s="8" t="str">
        <f>IFERROR(VLOOKUP(C294,产品数据!$B:$D,3,FALSE),"")</f>
        <v/>
      </c>
      <c r="G294" s="8"/>
      <c r="H294" s="17"/>
      <c r="I294" s="5" t="str">
        <f>IF(C294=0,"",IF(H294=0,"未记录生产日期",IFERROR(H294+IFERROR(VLOOKUP(C294,产品数据!$B:$F,5,FALSE),"未录入生产日期"),"未写入保质期")))</f>
        <v/>
      </c>
    </row>
    <row r="295" spans="1:9">
      <c r="A295" s="8">
        <f t="shared" si="29"/>
        <v>294</v>
      </c>
      <c r="B295" s="17"/>
      <c r="C295" s="16"/>
      <c r="D295" s="8" t="str">
        <f>IFERROR(VLOOKUP(C295,产品数据!$B:$D,2,FALSE),"")</f>
        <v/>
      </c>
      <c r="E295" s="8"/>
      <c r="F295" s="8" t="str">
        <f>IFERROR(VLOOKUP(C295,产品数据!$B:$D,3,FALSE),"")</f>
        <v/>
      </c>
      <c r="G295" s="8"/>
      <c r="H295" s="17"/>
      <c r="I295" s="5" t="str">
        <f>IF(C295=0,"",IF(H295=0,"未记录生产日期",IFERROR(H295+IFERROR(VLOOKUP(C295,产品数据!$B:$F,5,FALSE),"未录入生产日期"),"未写入保质期")))</f>
        <v/>
      </c>
    </row>
    <row r="296" spans="1:9">
      <c r="A296" s="8">
        <f t="shared" si="29"/>
        <v>295</v>
      </c>
      <c r="B296" s="17"/>
      <c r="C296" s="16"/>
      <c r="D296" s="8" t="str">
        <f>IFERROR(VLOOKUP(C296,产品数据!$B:$D,2,FALSE),"")</f>
        <v/>
      </c>
      <c r="E296" s="8"/>
      <c r="F296" s="8" t="str">
        <f>IFERROR(VLOOKUP(C296,产品数据!$B:$D,3,FALSE),"")</f>
        <v/>
      </c>
      <c r="G296" s="8"/>
      <c r="H296" s="17"/>
      <c r="I296" s="5" t="str">
        <f>IF(C296=0,"",IF(H296=0,"未记录生产日期",IFERROR(H296+IFERROR(VLOOKUP(C296,产品数据!$B:$F,5,FALSE),"未录入生产日期"),"未写入保质期")))</f>
        <v/>
      </c>
    </row>
    <row r="297" spans="1:9">
      <c r="A297" s="8">
        <f t="shared" si="29"/>
        <v>296</v>
      </c>
      <c r="B297" s="17"/>
      <c r="C297" s="16"/>
      <c r="D297" s="8" t="str">
        <f>IFERROR(VLOOKUP(C297,产品数据!$B:$D,2,FALSE),"")</f>
        <v/>
      </c>
      <c r="E297" s="8"/>
      <c r="F297" s="8" t="str">
        <f>IFERROR(VLOOKUP(C297,产品数据!$B:$D,3,FALSE),"")</f>
        <v/>
      </c>
      <c r="G297" s="8"/>
      <c r="H297" s="17"/>
      <c r="I297" s="5" t="str">
        <f>IF(C297=0,"",IF(H297=0,"未记录生产日期",IFERROR(H297+IFERROR(VLOOKUP(C297,产品数据!$B:$F,5,FALSE),"未录入生产日期"),"未写入保质期")))</f>
        <v/>
      </c>
    </row>
    <row r="298" spans="1:9">
      <c r="A298" s="8">
        <f t="shared" si="29"/>
        <v>297</v>
      </c>
      <c r="B298" s="17"/>
      <c r="C298" s="16"/>
      <c r="D298" s="8" t="str">
        <f>IFERROR(VLOOKUP(C298,产品数据!$B:$D,2,FALSE),"")</f>
        <v/>
      </c>
      <c r="E298" s="8"/>
      <c r="F298" s="8" t="str">
        <f>IFERROR(VLOOKUP(C298,产品数据!$B:$D,3,FALSE),"")</f>
        <v/>
      </c>
      <c r="G298" s="8"/>
      <c r="H298" s="17"/>
      <c r="I298" s="5" t="str">
        <f>IF(C298=0,"",IF(H298=0,"未记录生产日期",IFERROR(H298+IFERROR(VLOOKUP(C298,产品数据!$B:$F,5,FALSE),"未录入生产日期"),"未写入保质期")))</f>
        <v/>
      </c>
    </row>
    <row r="299" spans="1:9">
      <c r="A299" s="8">
        <f t="shared" si="29"/>
        <v>298</v>
      </c>
      <c r="B299" s="17"/>
      <c r="C299" s="16"/>
      <c r="D299" s="8" t="str">
        <f>IFERROR(VLOOKUP(C299,产品数据!$B:$D,2,FALSE),"")</f>
        <v/>
      </c>
      <c r="E299" s="8"/>
      <c r="F299" s="8" t="str">
        <f>IFERROR(VLOOKUP(C299,产品数据!$B:$D,3,FALSE),"")</f>
        <v/>
      </c>
      <c r="G299" s="8"/>
      <c r="H299" s="17"/>
      <c r="I299" s="5" t="str">
        <f>IF(C299=0,"",IF(H299=0,"未记录生产日期",IFERROR(H299+IFERROR(VLOOKUP(C299,产品数据!$B:$F,5,FALSE),"未录入生产日期"),"未写入保质期")))</f>
        <v/>
      </c>
    </row>
    <row r="300" spans="1:9">
      <c r="A300" s="8">
        <f t="shared" si="29"/>
        <v>299</v>
      </c>
      <c r="B300" s="17"/>
      <c r="C300" s="16"/>
      <c r="D300" s="8" t="str">
        <f>IFERROR(VLOOKUP(C300,产品数据!$B:$D,2,FALSE),"")</f>
        <v/>
      </c>
      <c r="E300" s="8"/>
      <c r="F300" s="8" t="str">
        <f>IFERROR(VLOOKUP(C300,产品数据!$B:$D,3,FALSE),"")</f>
        <v/>
      </c>
      <c r="G300" s="8"/>
      <c r="H300" s="17"/>
      <c r="I300" s="5" t="str">
        <f>IF(C300=0,"",IF(H300=0,"未记录生产日期",IFERROR(H300+IFERROR(VLOOKUP(C300,产品数据!$B:$F,5,FALSE),"未录入生产日期"),"未写入保质期")))</f>
        <v/>
      </c>
    </row>
    <row r="301" spans="1:9">
      <c r="A301" s="8">
        <f t="shared" ref="A301:A310" si="30">ROW()-1</f>
        <v>300</v>
      </c>
      <c r="B301" s="17"/>
      <c r="C301" s="16"/>
      <c r="D301" s="8" t="str">
        <f>IFERROR(VLOOKUP(C301,产品数据!$B:$D,2,FALSE),"")</f>
        <v/>
      </c>
      <c r="E301" s="8"/>
      <c r="F301" s="8" t="str">
        <f>IFERROR(VLOOKUP(C301,产品数据!$B:$D,3,FALSE),"")</f>
        <v/>
      </c>
      <c r="G301" s="8"/>
      <c r="H301" s="17"/>
      <c r="I301" s="5" t="str">
        <f>IF(C301=0,"",IF(H301=0,"未记录生产日期",IFERROR(H301+IFERROR(VLOOKUP(C301,产品数据!$B:$F,5,FALSE),"未录入生产日期"),"未写入保质期")))</f>
        <v/>
      </c>
    </row>
    <row r="302" spans="1:9">
      <c r="A302" s="8">
        <f t="shared" si="30"/>
        <v>301</v>
      </c>
      <c r="B302" s="17"/>
      <c r="C302" s="16"/>
      <c r="D302" s="8" t="str">
        <f>IFERROR(VLOOKUP(C302,产品数据!$B:$D,2,FALSE),"")</f>
        <v/>
      </c>
      <c r="E302" s="8"/>
      <c r="F302" s="8" t="str">
        <f>IFERROR(VLOOKUP(C302,产品数据!$B:$D,3,FALSE),"")</f>
        <v/>
      </c>
      <c r="G302" s="8"/>
      <c r="H302" s="17"/>
      <c r="I302" s="5" t="str">
        <f>IF(C302=0,"",IF(H302=0,"未记录生产日期",IFERROR(H302+IFERROR(VLOOKUP(C302,产品数据!$B:$F,5,FALSE),"未录入生产日期"),"未写入保质期")))</f>
        <v/>
      </c>
    </row>
    <row r="303" spans="1:9">
      <c r="A303" s="8">
        <f t="shared" si="30"/>
        <v>302</v>
      </c>
      <c r="B303" s="17"/>
      <c r="C303" s="16"/>
      <c r="D303" s="8" t="str">
        <f>IFERROR(VLOOKUP(C303,产品数据!$B:$D,2,FALSE),"")</f>
        <v/>
      </c>
      <c r="E303" s="8"/>
      <c r="F303" s="8" t="str">
        <f>IFERROR(VLOOKUP(C303,产品数据!$B:$D,3,FALSE),"")</f>
        <v/>
      </c>
      <c r="G303" s="8"/>
      <c r="H303" s="17"/>
      <c r="I303" s="5" t="str">
        <f>IF(C303=0,"",IF(H303=0,"未记录生产日期",IFERROR(H303+IFERROR(VLOOKUP(C303,产品数据!$B:$F,5,FALSE),"未录入生产日期"),"未写入保质期")))</f>
        <v/>
      </c>
    </row>
    <row r="304" spans="1:9">
      <c r="A304" s="8">
        <f t="shared" si="30"/>
        <v>303</v>
      </c>
      <c r="B304" s="17"/>
      <c r="C304" s="16"/>
      <c r="D304" s="8" t="str">
        <f>IFERROR(VLOOKUP(C304,产品数据!$B:$D,2,FALSE),"")</f>
        <v/>
      </c>
      <c r="E304" s="8"/>
      <c r="F304" s="8" t="str">
        <f>IFERROR(VLOOKUP(C304,产品数据!$B:$D,3,FALSE),"")</f>
        <v/>
      </c>
      <c r="G304" s="8"/>
      <c r="H304" s="17"/>
      <c r="I304" s="5" t="str">
        <f>IF(C304=0,"",IF(H304=0,"未记录生产日期",IFERROR(H304+IFERROR(VLOOKUP(C304,产品数据!$B:$F,5,FALSE),"未录入生产日期"),"未写入保质期")))</f>
        <v/>
      </c>
    </row>
    <row r="305" spans="1:9">
      <c r="A305" s="8">
        <f t="shared" si="30"/>
        <v>304</v>
      </c>
      <c r="B305" s="17"/>
      <c r="C305" s="16"/>
      <c r="D305" s="8" t="str">
        <f>IFERROR(VLOOKUP(C305,产品数据!$B:$D,2,FALSE),"")</f>
        <v/>
      </c>
      <c r="E305" s="8"/>
      <c r="F305" s="8" t="str">
        <f>IFERROR(VLOOKUP(C305,产品数据!$B:$D,3,FALSE),"")</f>
        <v/>
      </c>
      <c r="G305" s="8"/>
      <c r="H305" s="17"/>
      <c r="I305" s="5" t="str">
        <f>IF(C305=0,"",IF(H305=0,"未记录生产日期",IFERROR(H305+IFERROR(VLOOKUP(C305,产品数据!$B:$F,5,FALSE),"未录入生产日期"),"未写入保质期")))</f>
        <v/>
      </c>
    </row>
    <row r="306" spans="1:9">
      <c r="A306" s="8">
        <f t="shared" si="30"/>
        <v>305</v>
      </c>
      <c r="B306" s="17"/>
      <c r="C306" s="16"/>
      <c r="D306" s="8" t="str">
        <f>IFERROR(VLOOKUP(C306,产品数据!$B:$D,2,FALSE),"")</f>
        <v/>
      </c>
      <c r="E306" s="8"/>
      <c r="F306" s="8" t="str">
        <f>IFERROR(VLOOKUP(C306,产品数据!$B:$D,3,FALSE),"")</f>
        <v/>
      </c>
      <c r="G306" s="8"/>
      <c r="H306" s="17"/>
      <c r="I306" s="5" t="str">
        <f>IF(C306=0,"",IF(H306=0,"未记录生产日期",IFERROR(H306+IFERROR(VLOOKUP(C306,产品数据!$B:$F,5,FALSE),"未录入生产日期"),"未写入保质期")))</f>
        <v/>
      </c>
    </row>
    <row r="307" spans="1:9">
      <c r="A307" s="8">
        <f t="shared" si="30"/>
        <v>306</v>
      </c>
      <c r="B307" s="17"/>
      <c r="C307" s="16"/>
      <c r="D307" s="8" t="str">
        <f>IFERROR(VLOOKUP(C307,产品数据!$B:$D,2,FALSE),"")</f>
        <v/>
      </c>
      <c r="E307" s="8"/>
      <c r="F307" s="8" t="str">
        <f>IFERROR(VLOOKUP(C307,产品数据!$B:$D,3,FALSE),"")</f>
        <v/>
      </c>
      <c r="G307" s="8"/>
      <c r="H307" s="17"/>
      <c r="I307" s="5" t="str">
        <f>IF(C307=0,"",IF(H307=0,"未记录生产日期",IFERROR(H307+IFERROR(VLOOKUP(C307,产品数据!$B:$F,5,FALSE),"未录入生产日期"),"未写入保质期")))</f>
        <v/>
      </c>
    </row>
    <row r="308" spans="1:9">
      <c r="A308" s="8">
        <f t="shared" si="30"/>
        <v>307</v>
      </c>
      <c r="B308" s="17"/>
      <c r="C308" s="16"/>
      <c r="D308" s="8" t="str">
        <f>IFERROR(VLOOKUP(C308,产品数据!$B:$D,2,FALSE),"")</f>
        <v/>
      </c>
      <c r="E308" s="8"/>
      <c r="F308" s="8" t="str">
        <f>IFERROR(VLOOKUP(C308,产品数据!$B:$D,3,FALSE),"")</f>
        <v/>
      </c>
      <c r="G308" s="8"/>
      <c r="H308" s="17"/>
      <c r="I308" s="5" t="str">
        <f>IF(C308=0,"",IF(H308=0,"未记录生产日期",IFERROR(H308+IFERROR(VLOOKUP(C308,产品数据!$B:$F,5,FALSE),"未录入生产日期"),"未写入保质期")))</f>
        <v/>
      </c>
    </row>
    <row r="309" spans="1:9">
      <c r="A309" s="8">
        <f t="shared" si="30"/>
        <v>308</v>
      </c>
      <c r="B309" s="17"/>
      <c r="C309" s="16"/>
      <c r="D309" s="8" t="str">
        <f>IFERROR(VLOOKUP(C309,产品数据!$B:$D,2,FALSE),"")</f>
        <v/>
      </c>
      <c r="E309" s="8"/>
      <c r="F309" s="8" t="str">
        <f>IFERROR(VLOOKUP(C309,产品数据!$B:$D,3,FALSE),"")</f>
        <v/>
      </c>
      <c r="G309" s="8"/>
      <c r="H309" s="17"/>
      <c r="I309" s="5" t="str">
        <f>IF(C309=0,"",IF(H309=0,"未记录生产日期",IFERROR(H309+IFERROR(VLOOKUP(C309,产品数据!$B:$F,5,FALSE),"未录入生产日期"),"未写入保质期")))</f>
        <v/>
      </c>
    </row>
    <row r="310" spans="1:9">
      <c r="A310" s="8">
        <f t="shared" si="30"/>
        <v>309</v>
      </c>
      <c r="B310" s="17"/>
      <c r="C310" s="16"/>
      <c r="D310" s="8" t="str">
        <f>IFERROR(VLOOKUP(C310,产品数据!$B:$D,2,FALSE),"")</f>
        <v/>
      </c>
      <c r="E310" s="8"/>
      <c r="F310" s="8" t="str">
        <f>IFERROR(VLOOKUP(C310,产品数据!$B:$D,3,FALSE),"")</f>
        <v/>
      </c>
      <c r="G310" s="8"/>
      <c r="H310" s="17"/>
      <c r="I310" s="5" t="str">
        <f>IF(C310=0,"",IF(H310=0,"未记录生产日期",IFERROR(H310+IFERROR(VLOOKUP(C310,产品数据!$B:$F,5,FALSE),"未录入生产日期"),"未写入保质期")))</f>
        <v/>
      </c>
    </row>
    <row r="311" spans="1:9">
      <c r="A311" s="8">
        <f t="shared" ref="A311:A320" si="31">ROW()-1</f>
        <v>310</v>
      </c>
      <c r="B311" s="17"/>
      <c r="C311" s="16"/>
      <c r="D311" s="8" t="str">
        <f>IFERROR(VLOOKUP(C311,产品数据!$B:$D,2,FALSE),"")</f>
        <v/>
      </c>
      <c r="E311" s="8"/>
      <c r="F311" s="8" t="str">
        <f>IFERROR(VLOOKUP(C311,产品数据!$B:$D,3,FALSE),"")</f>
        <v/>
      </c>
      <c r="G311" s="8"/>
      <c r="H311" s="17"/>
      <c r="I311" s="5" t="str">
        <f>IF(C311=0,"",IF(H311=0,"未记录生产日期",IFERROR(H311+IFERROR(VLOOKUP(C311,产品数据!$B:$F,5,FALSE),"未录入生产日期"),"未写入保质期")))</f>
        <v/>
      </c>
    </row>
    <row r="312" spans="1:9">
      <c r="A312" s="8">
        <f t="shared" si="31"/>
        <v>311</v>
      </c>
      <c r="B312" s="17"/>
      <c r="C312" s="16"/>
      <c r="D312" s="8" t="str">
        <f>IFERROR(VLOOKUP(C312,产品数据!$B:$D,2,FALSE),"")</f>
        <v/>
      </c>
      <c r="E312" s="8"/>
      <c r="F312" s="8" t="str">
        <f>IFERROR(VLOOKUP(C312,产品数据!$B:$D,3,FALSE),"")</f>
        <v/>
      </c>
      <c r="G312" s="8"/>
      <c r="H312" s="17"/>
      <c r="I312" s="5" t="str">
        <f>IF(C312=0,"",IF(H312=0,"未记录生产日期",IFERROR(H312+IFERROR(VLOOKUP(C312,产品数据!$B:$F,5,FALSE),"未录入生产日期"),"未写入保质期")))</f>
        <v/>
      </c>
    </row>
    <row r="313" spans="1:9">
      <c r="A313" s="8">
        <f t="shared" si="31"/>
        <v>312</v>
      </c>
      <c r="B313" s="17"/>
      <c r="C313" s="16"/>
      <c r="D313" s="8" t="str">
        <f>IFERROR(VLOOKUP(C313,产品数据!$B:$D,2,FALSE),"")</f>
        <v/>
      </c>
      <c r="E313" s="8"/>
      <c r="F313" s="8" t="str">
        <f>IFERROR(VLOOKUP(C313,产品数据!$B:$D,3,FALSE),"")</f>
        <v/>
      </c>
      <c r="G313" s="8"/>
      <c r="H313" s="17"/>
      <c r="I313" s="5" t="str">
        <f>IF(C313=0,"",IF(H313=0,"未记录生产日期",IFERROR(H313+IFERROR(VLOOKUP(C313,产品数据!$B:$F,5,FALSE),"未录入生产日期"),"未写入保质期")))</f>
        <v/>
      </c>
    </row>
    <row r="314" spans="1:9">
      <c r="A314" s="8">
        <f t="shared" si="31"/>
        <v>313</v>
      </c>
      <c r="B314" s="17"/>
      <c r="C314" s="16"/>
      <c r="D314" s="8" t="str">
        <f>IFERROR(VLOOKUP(C314,产品数据!$B:$D,2,FALSE),"")</f>
        <v/>
      </c>
      <c r="E314" s="8"/>
      <c r="F314" s="8" t="str">
        <f>IFERROR(VLOOKUP(C314,产品数据!$B:$D,3,FALSE),"")</f>
        <v/>
      </c>
      <c r="G314" s="8"/>
      <c r="H314" s="17"/>
      <c r="I314" s="5" t="str">
        <f>IF(C314=0,"",IF(H314=0,"未记录生产日期",IFERROR(H314+IFERROR(VLOOKUP(C314,产品数据!$B:$F,5,FALSE),"未录入生产日期"),"未写入保质期")))</f>
        <v/>
      </c>
    </row>
    <row r="315" spans="1:9">
      <c r="A315" s="8">
        <f t="shared" si="31"/>
        <v>314</v>
      </c>
      <c r="B315" s="17"/>
      <c r="C315" s="16"/>
      <c r="D315" s="8" t="str">
        <f>IFERROR(VLOOKUP(C315,产品数据!$B:$D,2,FALSE),"")</f>
        <v/>
      </c>
      <c r="E315" s="8"/>
      <c r="F315" s="8" t="str">
        <f>IFERROR(VLOOKUP(C315,产品数据!$B:$D,3,FALSE),"")</f>
        <v/>
      </c>
      <c r="G315" s="8"/>
      <c r="H315" s="17"/>
      <c r="I315" s="5" t="str">
        <f>IF(C315=0,"",IF(H315=0,"未记录生产日期",IFERROR(H315+IFERROR(VLOOKUP(C315,产品数据!$B:$F,5,FALSE),"未录入生产日期"),"未写入保质期")))</f>
        <v/>
      </c>
    </row>
    <row r="316" spans="1:9">
      <c r="A316" s="8">
        <f t="shared" si="31"/>
        <v>315</v>
      </c>
      <c r="B316" s="17"/>
      <c r="C316" s="16"/>
      <c r="D316" s="8" t="str">
        <f>IFERROR(VLOOKUP(C316,产品数据!$B:$D,2,FALSE),"")</f>
        <v/>
      </c>
      <c r="E316" s="8"/>
      <c r="F316" s="8" t="str">
        <f>IFERROR(VLOOKUP(C316,产品数据!$B:$D,3,FALSE),"")</f>
        <v/>
      </c>
      <c r="G316" s="8"/>
      <c r="H316" s="17"/>
      <c r="I316" s="5" t="str">
        <f>IF(C316=0,"",IF(H316=0,"未记录生产日期",IFERROR(H316+IFERROR(VLOOKUP(C316,产品数据!$B:$F,5,FALSE),"未录入生产日期"),"未写入保质期")))</f>
        <v/>
      </c>
    </row>
    <row r="317" spans="1:9">
      <c r="A317" s="8">
        <f t="shared" si="31"/>
        <v>316</v>
      </c>
      <c r="B317" s="17"/>
      <c r="C317" s="16"/>
      <c r="D317" s="8" t="str">
        <f>IFERROR(VLOOKUP(C317,产品数据!$B:$D,2,FALSE),"")</f>
        <v/>
      </c>
      <c r="E317" s="8"/>
      <c r="F317" s="8" t="str">
        <f>IFERROR(VLOOKUP(C317,产品数据!$B:$D,3,FALSE),"")</f>
        <v/>
      </c>
      <c r="G317" s="8"/>
      <c r="H317" s="17"/>
      <c r="I317" s="5" t="str">
        <f>IF(C317=0,"",IF(H317=0,"未记录生产日期",IFERROR(H317+IFERROR(VLOOKUP(C317,产品数据!$B:$F,5,FALSE),"未录入生产日期"),"未写入保质期")))</f>
        <v/>
      </c>
    </row>
    <row r="318" spans="1:9">
      <c r="A318" s="8">
        <f t="shared" si="31"/>
        <v>317</v>
      </c>
      <c r="B318" s="17"/>
      <c r="C318" s="16"/>
      <c r="D318" s="8" t="str">
        <f>IFERROR(VLOOKUP(C318,产品数据!$B:$D,2,FALSE),"")</f>
        <v/>
      </c>
      <c r="E318" s="8"/>
      <c r="F318" s="8" t="str">
        <f>IFERROR(VLOOKUP(C318,产品数据!$B:$D,3,FALSE),"")</f>
        <v/>
      </c>
      <c r="G318" s="8"/>
      <c r="H318" s="17"/>
      <c r="I318" s="5" t="str">
        <f>IF(C318=0,"",IF(H318=0,"未记录生产日期",IFERROR(H318+IFERROR(VLOOKUP(C318,产品数据!$B:$F,5,FALSE),"未录入生产日期"),"未写入保质期")))</f>
        <v/>
      </c>
    </row>
    <row r="319" spans="1:9">
      <c r="A319" s="8">
        <f t="shared" si="31"/>
        <v>318</v>
      </c>
      <c r="B319" s="17"/>
      <c r="C319" s="16"/>
      <c r="D319" s="8" t="str">
        <f>IFERROR(VLOOKUP(C319,产品数据!$B:$D,2,FALSE),"")</f>
        <v/>
      </c>
      <c r="E319" s="8"/>
      <c r="F319" s="8" t="str">
        <f>IFERROR(VLOOKUP(C319,产品数据!$B:$D,3,FALSE),"")</f>
        <v/>
      </c>
      <c r="G319" s="8"/>
      <c r="H319" s="17"/>
      <c r="I319" s="5" t="str">
        <f>IF(C319=0,"",IF(H319=0,"未记录生产日期",IFERROR(H319+IFERROR(VLOOKUP(C319,产品数据!$B:$F,5,FALSE),"未录入生产日期"),"未写入保质期")))</f>
        <v/>
      </c>
    </row>
    <row r="320" spans="1:9">
      <c r="A320" s="8">
        <f t="shared" si="31"/>
        <v>319</v>
      </c>
      <c r="B320" s="17"/>
      <c r="C320" s="16"/>
      <c r="D320" s="8" t="str">
        <f>IFERROR(VLOOKUP(C320,产品数据!$B:$D,2,FALSE),"")</f>
        <v/>
      </c>
      <c r="E320" s="8"/>
      <c r="F320" s="8" t="str">
        <f>IFERROR(VLOOKUP(C320,产品数据!$B:$D,3,FALSE),"")</f>
        <v/>
      </c>
      <c r="G320" s="8"/>
      <c r="H320" s="17"/>
      <c r="I320" s="5" t="str">
        <f>IF(C320=0,"",IF(H320=0,"未记录生产日期",IFERROR(H320+IFERROR(VLOOKUP(C320,产品数据!$B:$F,5,FALSE),"未录入生产日期"),"未写入保质期")))</f>
        <v/>
      </c>
    </row>
    <row r="321" spans="1:9">
      <c r="A321" s="8">
        <f t="shared" ref="A321:A330" si="32">ROW()-1</f>
        <v>320</v>
      </c>
      <c r="B321" s="17"/>
      <c r="C321" s="16"/>
      <c r="D321" s="8" t="str">
        <f>IFERROR(VLOOKUP(C321,产品数据!$B:$D,2,FALSE),"")</f>
        <v/>
      </c>
      <c r="E321" s="8"/>
      <c r="F321" s="8" t="str">
        <f>IFERROR(VLOOKUP(C321,产品数据!$B:$D,3,FALSE),"")</f>
        <v/>
      </c>
      <c r="G321" s="8"/>
      <c r="H321" s="17"/>
      <c r="I321" s="5" t="str">
        <f>IF(C321=0,"",IF(H321=0,"未记录生产日期",IFERROR(H321+IFERROR(VLOOKUP(C321,产品数据!$B:$F,5,FALSE),"未录入生产日期"),"未写入保质期")))</f>
        <v/>
      </c>
    </row>
    <row r="322" spans="1:9">
      <c r="A322" s="8">
        <f t="shared" si="32"/>
        <v>321</v>
      </c>
      <c r="B322" s="17"/>
      <c r="C322" s="16"/>
      <c r="D322" s="8" t="str">
        <f>IFERROR(VLOOKUP(C322,产品数据!$B:$D,2,FALSE),"")</f>
        <v/>
      </c>
      <c r="E322" s="8"/>
      <c r="F322" s="8" t="str">
        <f>IFERROR(VLOOKUP(C322,产品数据!$B:$D,3,FALSE),"")</f>
        <v/>
      </c>
      <c r="G322" s="8"/>
      <c r="H322" s="17"/>
      <c r="I322" s="5" t="str">
        <f>IF(C322=0,"",IF(H322=0,"未记录生产日期",IFERROR(H322+IFERROR(VLOOKUP(C322,产品数据!$B:$F,5,FALSE),"未录入生产日期"),"未写入保质期")))</f>
        <v/>
      </c>
    </row>
    <row r="323" spans="1:9">
      <c r="A323" s="8">
        <f t="shared" si="32"/>
        <v>322</v>
      </c>
      <c r="B323" s="17"/>
      <c r="C323" s="16"/>
      <c r="D323" s="8" t="str">
        <f>IFERROR(VLOOKUP(C323,产品数据!$B:$D,2,FALSE),"")</f>
        <v/>
      </c>
      <c r="E323" s="8"/>
      <c r="F323" s="8" t="str">
        <f>IFERROR(VLOOKUP(C323,产品数据!$B:$D,3,FALSE),"")</f>
        <v/>
      </c>
      <c r="G323" s="8"/>
      <c r="H323" s="17"/>
      <c r="I323" s="5" t="str">
        <f>IF(C323=0,"",IF(H323=0,"未记录生产日期",IFERROR(H323+IFERROR(VLOOKUP(C323,产品数据!$B:$F,5,FALSE),"未录入生产日期"),"未写入保质期")))</f>
        <v/>
      </c>
    </row>
    <row r="324" spans="1:9">
      <c r="A324" s="8">
        <f t="shared" si="32"/>
        <v>323</v>
      </c>
      <c r="B324" s="17"/>
      <c r="C324" s="16"/>
      <c r="D324" s="8" t="str">
        <f>IFERROR(VLOOKUP(C324,产品数据!$B:$D,2,FALSE),"")</f>
        <v/>
      </c>
      <c r="E324" s="8"/>
      <c r="F324" s="8" t="str">
        <f>IFERROR(VLOOKUP(C324,产品数据!$B:$D,3,FALSE),"")</f>
        <v/>
      </c>
      <c r="G324" s="8"/>
      <c r="H324" s="17"/>
      <c r="I324" s="5" t="str">
        <f>IF(C324=0,"",IF(H324=0,"未记录生产日期",IFERROR(H324+IFERROR(VLOOKUP(C324,产品数据!$B:$F,5,FALSE),"未录入生产日期"),"未写入保质期")))</f>
        <v/>
      </c>
    </row>
    <row r="325" spans="1:9">
      <c r="A325" s="8">
        <f t="shared" si="32"/>
        <v>324</v>
      </c>
      <c r="B325" s="17"/>
      <c r="C325" s="16"/>
      <c r="D325" s="8" t="str">
        <f>IFERROR(VLOOKUP(C325,产品数据!$B:$D,2,FALSE),"")</f>
        <v/>
      </c>
      <c r="E325" s="8"/>
      <c r="F325" s="8" t="str">
        <f>IFERROR(VLOOKUP(C325,产品数据!$B:$D,3,FALSE),"")</f>
        <v/>
      </c>
      <c r="G325" s="8"/>
      <c r="H325" s="17"/>
      <c r="I325" s="5" t="str">
        <f>IF(C325=0,"",IF(H325=0,"未记录生产日期",IFERROR(H325+IFERROR(VLOOKUP(C325,产品数据!$B:$F,5,FALSE),"未录入生产日期"),"未写入保质期")))</f>
        <v/>
      </c>
    </row>
    <row r="326" spans="1:9">
      <c r="A326" s="8">
        <f t="shared" si="32"/>
        <v>325</v>
      </c>
      <c r="B326" s="17"/>
      <c r="C326" s="16"/>
      <c r="D326" s="8" t="str">
        <f>IFERROR(VLOOKUP(C326,产品数据!$B:$D,2,FALSE),"")</f>
        <v/>
      </c>
      <c r="E326" s="8"/>
      <c r="F326" s="8" t="str">
        <f>IFERROR(VLOOKUP(C326,产品数据!$B:$D,3,FALSE),"")</f>
        <v/>
      </c>
      <c r="G326" s="8"/>
      <c r="H326" s="17"/>
      <c r="I326" s="5" t="str">
        <f>IF(C326=0,"",IF(H326=0,"未记录生产日期",IFERROR(H326+IFERROR(VLOOKUP(C326,产品数据!$B:$F,5,FALSE),"未录入生产日期"),"未写入保质期")))</f>
        <v/>
      </c>
    </row>
    <row r="327" spans="1:9">
      <c r="A327" s="8">
        <f t="shared" si="32"/>
        <v>326</v>
      </c>
      <c r="B327" s="17"/>
      <c r="C327" s="16"/>
      <c r="D327" s="8" t="str">
        <f>IFERROR(VLOOKUP(C327,产品数据!$B:$D,2,FALSE),"")</f>
        <v/>
      </c>
      <c r="E327" s="8"/>
      <c r="F327" s="8" t="str">
        <f>IFERROR(VLOOKUP(C327,产品数据!$B:$D,3,FALSE),"")</f>
        <v/>
      </c>
      <c r="G327" s="8"/>
      <c r="H327" s="17"/>
      <c r="I327" s="5" t="str">
        <f>IF(C327=0,"",IF(H327=0,"未记录生产日期",IFERROR(H327+IFERROR(VLOOKUP(C327,产品数据!$B:$F,5,FALSE),"未录入生产日期"),"未写入保质期")))</f>
        <v/>
      </c>
    </row>
    <row r="328" spans="1:9">
      <c r="A328" s="8">
        <f t="shared" si="32"/>
        <v>327</v>
      </c>
      <c r="B328" s="17"/>
      <c r="C328" s="16"/>
      <c r="D328" s="8" t="str">
        <f>IFERROR(VLOOKUP(C328,产品数据!$B:$D,2,FALSE),"")</f>
        <v/>
      </c>
      <c r="E328" s="8"/>
      <c r="F328" s="8" t="str">
        <f>IFERROR(VLOOKUP(C328,产品数据!$B:$D,3,FALSE),"")</f>
        <v/>
      </c>
      <c r="G328" s="8"/>
      <c r="H328" s="17"/>
      <c r="I328" s="5" t="str">
        <f>IF(C328=0,"",IF(H328=0,"未记录生产日期",IFERROR(H328+IFERROR(VLOOKUP(C328,产品数据!$B:$F,5,FALSE),"未录入生产日期"),"未写入保质期")))</f>
        <v/>
      </c>
    </row>
    <row r="329" spans="1:9">
      <c r="A329" s="8">
        <f t="shared" si="32"/>
        <v>328</v>
      </c>
      <c r="B329" s="17"/>
      <c r="C329" s="16"/>
      <c r="D329" s="8" t="str">
        <f>IFERROR(VLOOKUP(C329,产品数据!$B:$D,2,FALSE),"")</f>
        <v/>
      </c>
      <c r="E329" s="8"/>
      <c r="F329" s="8" t="str">
        <f>IFERROR(VLOOKUP(C329,产品数据!$B:$D,3,FALSE),"")</f>
        <v/>
      </c>
      <c r="G329" s="8"/>
      <c r="H329" s="17"/>
      <c r="I329" s="5" t="str">
        <f>IF(C329=0,"",IF(H329=0,"未记录生产日期",IFERROR(H329+IFERROR(VLOOKUP(C329,产品数据!$B:$F,5,FALSE),"未录入生产日期"),"未写入保质期")))</f>
        <v/>
      </c>
    </row>
    <row r="330" spans="1:9">
      <c r="A330" s="8">
        <f t="shared" si="32"/>
        <v>329</v>
      </c>
      <c r="B330" s="17"/>
      <c r="C330" s="16"/>
      <c r="D330" s="8" t="str">
        <f>IFERROR(VLOOKUP(C330,产品数据!$B:$D,2,FALSE),"")</f>
        <v/>
      </c>
      <c r="E330" s="8"/>
      <c r="F330" s="8" t="str">
        <f>IFERROR(VLOOKUP(C330,产品数据!$B:$D,3,FALSE),"")</f>
        <v/>
      </c>
      <c r="G330" s="8"/>
      <c r="H330" s="17"/>
      <c r="I330" s="5" t="str">
        <f>IF(C330=0,"",IF(H330=0,"未记录生产日期",IFERROR(H330+IFERROR(VLOOKUP(C330,产品数据!$B:$F,5,FALSE),"未录入生产日期"),"未写入保质期")))</f>
        <v/>
      </c>
    </row>
    <row r="331" spans="1:9">
      <c r="A331" s="8">
        <f t="shared" ref="A331:A340" si="33">ROW()-1</f>
        <v>330</v>
      </c>
      <c r="B331" s="17"/>
      <c r="C331" s="16"/>
      <c r="D331" s="8" t="str">
        <f>IFERROR(VLOOKUP(C331,产品数据!$B:$D,2,FALSE),"")</f>
        <v/>
      </c>
      <c r="E331" s="8"/>
      <c r="F331" s="8" t="str">
        <f>IFERROR(VLOOKUP(C331,产品数据!$B:$D,3,FALSE),"")</f>
        <v/>
      </c>
      <c r="G331" s="8"/>
      <c r="H331" s="17"/>
      <c r="I331" s="5" t="str">
        <f>IF(C331=0,"",IF(H331=0,"未记录生产日期",IFERROR(H331+IFERROR(VLOOKUP(C331,产品数据!$B:$F,5,FALSE),"未录入生产日期"),"未写入保质期")))</f>
        <v/>
      </c>
    </row>
    <row r="332" spans="1:9">
      <c r="A332" s="8">
        <f t="shared" si="33"/>
        <v>331</v>
      </c>
      <c r="B332" s="17"/>
      <c r="C332" s="16"/>
      <c r="D332" s="8" t="str">
        <f>IFERROR(VLOOKUP(C332,产品数据!$B:$D,2,FALSE),"")</f>
        <v/>
      </c>
      <c r="E332" s="8"/>
      <c r="F332" s="8" t="str">
        <f>IFERROR(VLOOKUP(C332,产品数据!$B:$D,3,FALSE),"")</f>
        <v/>
      </c>
      <c r="G332" s="8"/>
      <c r="H332" s="17"/>
      <c r="I332" s="5" t="str">
        <f>IF(C332=0,"",IF(H332=0,"未记录生产日期",IFERROR(H332+IFERROR(VLOOKUP(C332,产品数据!$B:$F,5,FALSE),"未录入生产日期"),"未写入保质期")))</f>
        <v/>
      </c>
    </row>
    <row r="333" spans="1:9">
      <c r="A333" s="8">
        <f t="shared" si="33"/>
        <v>332</v>
      </c>
      <c r="B333" s="17"/>
      <c r="C333" s="16"/>
      <c r="D333" s="8" t="str">
        <f>IFERROR(VLOOKUP(C333,产品数据!$B:$D,2,FALSE),"")</f>
        <v/>
      </c>
      <c r="E333" s="8"/>
      <c r="F333" s="8" t="str">
        <f>IFERROR(VLOOKUP(C333,产品数据!$B:$D,3,FALSE),"")</f>
        <v/>
      </c>
      <c r="G333" s="8"/>
      <c r="H333" s="17"/>
      <c r="I333" s="5" t="str">
        <f>IF(C333=0,"",IF(H333=0,"未记录生产日期",IFERROR(H333+IFERROR(VLOOKUP(C333,产品数据!$B:$F,5,FALSE),"未录入生产日期"),"未写入保质期")))</f>
        <v/>
      </c>
    </row>
    <row r="334" spans="1:9">
      <c r="A334" s="8">
        <f t="shared" si="33"/>
        <v>333</v>
      </c>
      <c r="B334" s="17"/>
      <c r="C334" s="16"/>
      <c r="D334" s="8" t="str">
        <f>IFERROR(VLOOKUP(C334,产品数据!$B:$D,2,FALSE),"")</f>
        <v/>
      </c>
      <c r="E334" s="8"/>
      <c r="F334" s="8" t="str">
        <f>IFERROR(VLOOKUP(C334,产品数据!$B:$D,3,FALSE),"")</f>
        <v/>
      </c>
      <c r="G334" s="8"/>
      <c r="H334" s="17"/>
      <c r="I334" s="5" t="str">
        <f>IF(C334=0,"",IF(H334=0,"未记录生产日期",IFERROR(H334+IFERROR(VLOOKUP(C334,产品数据!$B:$F,5,FALSE),"未录入生产日期"),"未写入保质期")))</f>
        <v/>
      </c>
    </row>
    <row r="335" spans="1:9">
      <c r="A335" s="8">
        <f t="shared" si="33"/>
        <v>334</v>
      </c>
      <c r="B335" s="17"/>
      <c r="C335" s="16"/>
      <c r="D335" s="8" t="str">
        <f>IFERROR(VLOOKUP(C335,产品数据!$B:$D,2,FALSE),"")</f>
        <v/>
      </c>
      <c r="E335" s="8"/>
      <c r="F335" s="8" t="str">
        <f>IFERROR(VLOOKUP(C335,产品数据!$B:$D,3,FALSE),"")</f>
        <v/>
      </c>
      <c r="G335" s="8"/>
      <c r="H335" s="17"/>
      <c r="I335" s="5" t="str">
        <f>IF(C335=0,"",IF(H335=0,"未记录生产日期",IFERROR(H335+IFERROR(VLOOKUP(C335,产品数据!$B:$F,5,FALSE),"未录入生产日期"),"未写入保质期")))</f>
        <v/>
      </c>
    </row>
    <row r="336" spans="1:9">
      <c r="A336" s="8">
        <f t="shared" si="33"/>
        <v>335</v>
      </c>
      <c r="B336" s="17"/>
      <c r="C336" s="16"/>
      <c r="D336" s="8" t="str">
        <f>IFERROR(VLOOKUP(C336,产品数据!$B:$D,2,FALSE),"")</f>
        <v/>
      </c>
      <c r="E336" s="8"/>
      <c r="F336" s="8" t="str">
        <f>IFERROR(VLOOKUP(C336,产品数据!$B:$D,3,FALSE),"")</f>
        <v/>
      </c>
      <c r="G336" s="8"/>
      <c r="H336" s="17"/>
      <c r="I336" s="5" t="str">
        <f>IF(C336=0,"",IF(H336=0,"未记录生产日期",IFERROR(H336+IFERROR(VLOOKUP(C336,产品数据!$B:$F,5,FALSE),"未录入生产日期"),"未写入保质期")))</f>
        <v/>
      </c>
    </row>
    <row r="337" spans="1:9">
      <c r="A337" s="8">
        <f t="shared" si="33"/>
        <v>336</v>
      </c>
      <c r="B337" s="17"/>
      <c r="C337" s="16"/>
      <c r="D337" s="8" t="str">
        <f>IFERROR(VLOOKUP(C337,产品数据!$B:$D,2,FALSE),"")</f>
        <v/>
      </c>
      <c r="E337" s="8"/>
      <c r="F337" s="8" t="str">
        <f>IFERROR(VLOOKUP(C337,产品数据!$B:$D,3,FALSE),"")</f>
        <v/>
      </c>
      <c r="G337" s="8"/>
      <c r="H337" s="17"/>
      <c r="I337" s="5" t="str">
        <f>IF(C337=0,"",IF(H337=0,"未记录生产日期",IFERROR(H337+IFERROR(VLOOKUP(C337,产品数据!$B:$F,5,FALSE),"未录入生产日期"),"未写入保质期")))</f>
        <v/>
      </c>
    </row>
    <row r="338" spans="1:9">
      <c r="A338" s="8">
        <f t="shared" si="33"/>
        <v>337</v>
      </c>
      <c r="B338" s="17"/>
      <c r="C338" s="16"/>
      <c r="D338" s="8" t="str">
        <f>IFERROR(VLOOKUP(C338,产品数据!$B:$D,2,FALSE),"")</f>
        <v/>
      </c>
      <c r="E338" s="8"/>
      <c r="F338" s="8" t="str">
        <f>IFERROR(VLOOKUP(C338,产品数据!$B:$D,3,FALSE),"")</f>
        <v/>
      </c>
      <c r="G338" s="8"/>
      <c r="H338" s="17"/>
      <c r="I338" s="5" t="str">
        <f>IF(C338=0,"",IF(H338=0,"未记录生产日期",IFERROR(H338+IFERROR(VLOOKUP(C338,产品数据!$B:$F,5,FALSE),"未录入生产日期"),"未写入保质期")))</f>
        <v/>
      </c>
    </row>
    <row r="339" spans="1:9">
      <c r="A339" s="8">
        <f t="shared" si="33"/>
        <v>338</v>
      </c>
      <c r="B339" s="17"/>
      <c r="C339" s="16"/>
      <c r="D339" s="8" t="str">
        <f>IFERROR(VLOOKUP(C339,产品数据!$B:$D,2,FALSE),"")</f>
        <v/>
      </c>
      <c r="E339" s="8"/>
      <c r="F339" s="8" t="str">
        <f>IFERROR(VLOOKUP(C339,产品数据!$B:$D,3,FALSE),"")</f>
        <v/>
      </c>
      <c r="G339" s="8"/>
      <c r="H339" s="17"/>
      <c r="I339" s="5" t="str">
        <f>IF(C339=0,"",IF(H339=0,"未记录生产日期",IFERROR(H339+IFERROR(VLOOKUP(C339,产品数据!$B:$F,5,FALSE),"未录入生产日期"),"未写入保质期")))</f>
        <v/>
      </c>
    </row>
    <row r="340" spans="1:9">
      <c r="A340" s="8">
        <f t="shared" si="33"/>
        <v>339</v>
      </c>
      <c r="B340" s="17"/>
      <c r="C340" s="16"/>
      <c r="D340" s="8" t="str">
        <f>IFERROR(VLOOKUP(C340,产品数据!$B:$D,2,FALSE),"")</f>
        <v/>
      </c>
      <c r="E340" s="8"/>
      <c r="F340" s="8" t="str">
        <f>IFERROR(VLOOKUP(C340,产品数据!$B:$D,3,FALSE),"")</f>
        <v/>
      </c>
      <c r="G340" s="8"/>
      <c r="H340" s="17"/>
      <c r="I340" s="5" t="str">
        <f>IF(C340=0,"",IF(H340=0,"未记录生产日期",IFERROR(H340+IFERROR(VLOOKUP(C340,产品数据!$B:$F,5,FALSE),"未录入生产日期"),"未写入保质期")))</f>
        <v/>
      </c>
    </row>
    <row r="341" spans="1:9">
      <c r="A341" s="8">
        <f t="shared" ref="A341:A350" si="34">ROW()-1</f>
        <v>340</v>
      </c>
      <c r="B341" s="17"/>
      <c r="C341" s="16"/>
      <c r="D341" s="8" t="str">
        <f>IFERROR(VLOOKUP(C341,产品数据!$B:$D,2,FALSE),"")</f>
        <v/>
      </c>
      <c r="E341" s="8"/>
      <c r="F341" s="8" t="str">
        <f>IFERROR(VLOOKUP(C341,产品数据!$B:$D,3,FALSE),"")</f>
        <v/>
      </c>
      <c r="G341" s="8"/>
      <c r="H341" s="17"/>
      <c r="I341" s="5" t="str">
        <f>IF(C341=0,"",IF(H341=0,"未记录生产日期",IFERROR(H341+IFERROR(VLOOKUP(C341,产品数据!$B:$F,5,FALSE),"未录入生产日期"),"未写入保质期")))</f>
        <v/>
      </c>
    </row>
    <row r="342" spans="1:9">
      <c r="A342" s="8">
        <f t="shared" si="34"/>
        <v>341</v>
      </c>
      <c r="B342" s="17"/>
      <c r="C342" s="16"/>
      <c r="D342" s="8" t="str">
        <f>IFERROR(VLOOKUP(C342,产品数据!$B:$D,2,FALSE),"")</f>
        <v/>
      </c>
      <c r="E342" s="8"/>
      <c r="F342" s="8" t="str">
        <f>IFERROR(VLOOKUP(C342,产品数据!$B:$D,3,FALSE),"")</f>
        <v/>
      </c>
      <c r="G342" s="8"/>
      <c r="H342" s="17"/>
      <c r="I342" s="5" t="str">
        <f>IF(C342=0,"",IF(H342=0,"未记录生产日期",IFERROR(H342+IFERROR(VLOOKUP(C342,产品数据!$B:$F,5,FALSE),"未录入生产日期"),"未写入保质期")))</f>
        <v/>
      </c>
    </row>
    <row r="343" spans="1:9">
      <c r="A343" s="8">
        <f t="shared" si="34"/>
        <v>342</v>
      </c>
      <c r="B343" s="17"/>
      <c r="C343" s="16"/>
      <c r="D343" s="8" t="str">
        <f>IFERROR(VLOOKUP(C343,产品数据!$B:$D,2,FALSE),"")</f>
        <v/>
      </c>
      <c r="E343" s="8"/>
      <c r="F343" s="8" t="str">
        <f>IFERROR(VLOOKUP(C343,产品数据!$B:$D,3,FALSE),"")</f>
        <v/>
      </c>
      <c r="G343" s="8"/>
      <c r="H343" s="17"/>
      <c r="I343" s="5" t="str">
        <f>IF(C343=0,"",IF(H343=0,"未记录生产日期",IFERROR(H343+IFERROR(VLOOKUP(C343,产品数据!$B:$F,5,FALSE),"未录入生产日期"),"未写入保质期")))</f>
        <v/>
      </c>
    </row>
    <row r="344" spans="1:9">
      <c r="A344" s="8">
        <f t="shared" si="34"/>
        <v>343</v>
      </c>
      <c r="B344" s="17"/>
      <c r="C344" s="16"/>
      <c r="D344" s="8" t="str">
        <f>IFERROR(VLOOKUP(C344,产品数据!$B:$D,2,FALSE),"")</f>
        <v/>
      </c>
      <c r="E344" s="8"/>
      <c r="F344" s="8" t="str">
        <f>IFERROR(VLOOKUP(C344,产品数据!$B:$D,3,FALSE),"")</f>
        <v/>
      </c>
      <c r="G344" s="8"/>
      <c r="H344" s="17"/>
      <c r="I344" s="5" t="str">
        <f>IF(C344=0,"",IF(H344=0,"未记录生产日期",IFERROR(H344+IFERROR(VLOOKUP(C344,产品数据!$B:$F,5,FALSE),"未录入生产日期"),"未写入保质期")))</f>
        <v/>
      </c>
    </row>
    <row r="345" spans="1:9">
      <c r="A345" s="8">
        <f t="shared" si="34"/>
        <v>344</v>
      </c>
      <c r="B345" s="17"/>
      <c r="C345" s="16"/>
      <c r="D345" s="8" t="str">
        <f>IFERROR(VLOOKUP(C345,产品数据!$B:$D,2,FALSE),"")</f>
        <v/>
      </c>
      <c r="E345" s="8"/>
      <c r="F345" s="8" t="str">
        <f>IFERROR(VLOOKUP(C345,产品数据!$B:$D,3,FALSE),"")</f>
        <v/>
      </c>
      <c r="G345" s="8"/>
      <c r="H345" s="17"/>
      <c r="I345" s="5" t="str">
        <f>IF(C345=0,"",IF(H345=0,"未记录生产日期",IFERROR(H345+IFERROR(VLOOKUP(C345,产品数据!$B:$F,5,FALSE),"未录入生产日期"),"未写入保质期")))</f>
        <v/>
      </c>
    </row>
    <row r="346" spans="1:9">
      <c r="A346" s="8">
        <f t="shared" si="34"/>
        <v>345</v>
      </c>
      <c r="B346" s="17"/>
      <c r="C346" s="16"/>
      <c r="D346" s="8" t="str">
        <f>IFERROR(VLOOKUP(C346,产品数据!$B:$D,2,FALSE),"")</f>
        <v/>
      </c>
      <c r="E346" s="8"/>
      <c r="F346" s="8" t="str">
        <f>IFERROR(VLOOKUP(C346,产品数据!$B:$D,3,FALSE),"")</f>
        <v/>
      </c>
      <c r="G346" s="8"/>
      <c r="H346" s="17"/>
      <c r="I346" s="5" t="str">
        <f>IF(C346=0,"",IF(H346=0,"未记录生产日期",IFERROR(H346+IFERROR(VLOOKUP(C346,产品数据!$B:$F,5,FALSE),"未录入生产日期"),"未写入保质期")))</f>
        <v/>
      </c>
    </row>
    <row r="347" spans="1:9">
      <c r="A347" s="8">
        <f t="shared" si="34"/>
        <v>346</v>
      </c>
      <c r="B347" s="17"/>
      <c r="C347" s="16"/>
      <c r="D347" s="8" t="str">
        <f>IFERROR(VLOOKUP(C347,产品数据!$B:$D,2,FALSE),"")</f>
        <v/>
      </c>
      <c r="E347" s="8"/>
      <c r="F347" s="8" t="str">
        <f>IFERROR(VLOOKUP(C347,产品数据!$B:$D,3,FALSE),"")</f>
        <v/>
      </c>
      <c r="G347" s="8"/>
      <c r="H347" s="17"/>
      <c r="I347" s="5" t="str">
        <f>IF(C347=0,"",IF(H347=0,"未记录生产日期",IFERROR(H347+IFERROR(VLOOKUP(C347,产品数据!$B:$F,5,FALSE),"未录入生产日期"),"未写入保质期")))</f>
        <v/>
      </c>
    </row>
    <row r="348" spans="1:9">
      <c r="A348" s="8">
        <f t="shared" si="34"/>
        <v>347</v>
      </c>
      <c r="B348" s="17"/>
      <c r="C348" s="16"/>
      <c r="D348" s="8" t="str">
        <f>IFERROR(VLOOKUP(C348,产品数据!$B:$D,2,FALSE),"")</f>
        <v/>
      </c>
      <c r="E348" s="8"/>
      <c r="F348" s="8" t="str">
        <f>IFERROR(VLOOKUP(C348,产品数据!$B:$D,3,FALSE),"")</f>
        <v/>
      </c>
      <c r="G348" s="8"/>
      <c r="H348" s="17"/>
      <c r="I348" s="5" t="str">
        <f>IF(C348=0,"",IF(H348=0,"未记录生产日期",IFERROR(H348+IFERROR(VLOOKUP(C348,产品数据!$B:$F,5,FALSE),"未录入生产日期"),"未写入保质期")))</f>
        <v/>
      </c>
    </row>
    <row r="349" spans="1:9">
      <c r="A349" s="8">
        <f t="shared" si="34"/>
        <v>348</v>
      </c>
      <c r="B349" s="17"/>
      <c r="C349" s="16"/>
      <c r="D349" s="8" t="str">
        <f>IFERROR(VLOOKUP(C349,产品数据!$B:$D,2,FALSE),"")</f>
        <v/>
      </c>
      <c r="E349" s="8"/>
      <c r="F349" s="8" t="str">
        <f>IFERROR(VLOOKUP(C349,产品数据!$B:$D,3,FALSE),"")</f>
        <v/>
      </c>
      <c r="G349" s="8"/>
      <c r="H349" s="17"/>
      <c r="I349" s="5" t="str">
        <f>IF(C349=0,"",IF(H349=0,"未记录生产日期",IFERROR(H349+IFERROR(VLOOKUP(C349,产品数据!$B:$F,5,FALSE),"未录入生产日期"),"未写入保质期")))</f>
        <v/>
      </c>
    </row>
    <row r="350" spans="1:9">
      <c r="A350" s="8">
        <f t="shared" si="34"/>
        <v>349</v>
      </c>
      <c r="B350" s="17"/>
      <c r="C350" s="16"/>
      <c r="D350" s="8" t="str">
        <f>IFERROR(VLOOKUP(C350,产品数据!$B:$D,2,FALSE),"")</f>
        <v/>
      </c>
      <c r="E350" s="8"/>
      <c r="F350" s="8" t="str">
        <f>IFERROR(VLOOKUP(C350,产品数据!$B:$D,3,FALSE),"")</f>
        <v/>
      </c>
      <c r="G350" s="8"/>
      <c r="H350" s="17"/>
      <c r="I350" s="5" t="str">
        <f>IF(C350=0,"",IF(H350=0,"未记录生产日期",IFERROR(H350+IFERROR(VLOOKUP(C350,产品数据!$B:$F,5,FALSE),"未录入生产日期"),"未写入保质期")))</f>
        <v/>
      </c>
    </row>
    <row r="351" spans="1:9">
      <c r="A351" s="8">
        <f t="shared" ref="A351:A360" si="35">ROW()-1</f>
        <v>350</v>
      </c>
      <c r="B351" s="17"/>
      <c r="C351" s="16"/>
      <c r="D351" s="8" t="str">
        <f>IFERROR(VLOOKUP(C351,产品数据!$B:$D,2,FALSE),"")</f>
        <v/>
      </c>
      <c r="E351" s="8"/>
      <c r="F351" s="8" t="str">
        <f>IFERROR(VLOOKUP(C351,产品数据!$B:$D,3,FALSE),"")</f>
        <v/>
      </c>
      <c r="G351" s="8"/>
      <c r="H351" s="17"/>
      <c r="I351" s="5" t="str">
        <f>IF(C351=0,"",IF(H351=0,"未记录生产日期",IFERROR(H351+IFERROR(VLOOKUP(C351,产品数据!$B:$F,5,FALSE),"未录入生产日期"),"未写入保质期")))</f>
        <v/>
      </c>
    </row>
    <row r="352" spans="1:9">
      <c r="A352" s="8">
        <f t="shared" si="35"/>
        <v>351</v>
      </c>
      <c r="B352" s="17"/>
      <c r="C352" s="16"/>
      <c r="D352" s="8" t="str">
        <f>IFERROR(VLOOKUP(C352,产品数据!$B:$D,2,FALSE),"")</f>
        <v/>
      </c>
      <c r="E352" s="8"/>
      <c r="F352" s="8" t="str">
        <f>IFERROR(VLOOKUP(C352,产品数据!$B:$D,3,FALSE),"")</f>
        <v/>
      </c>
      <c r="G352" s="8"/>
      <c r="H352" s="17"/>
      <c r="I352" s="5" t="str">
        <f>IF(C352=0,"",IF(H352=0,"未记录生产日期",IFERROR(H352+IFERROR(VLOOKUP(C352,产品数据!$B:$F,5,FALSE),"未录入生产日期"),"未写入保质期")))</f>
        <v/>
      </c>
    </row>
    <row r="353" spans="1:9">
      <c r="A353" s="8">
        <f t="shared" si="35"/>
        <v>352</v>
      </c>
      <c r="B353" s="17"/>
      <c r="C353" s="16"/>
      <c r="D353" s="8" t="str">
        <f>IFERROR(VLOOKUP(C353,产品数据!$B:$D,2,FALSE),"")</f>
        <v/>
      </c>
      <c r="E353" s="8"/>
      <c r="F353" s="8" t="str">
        <f>IFERROR(VLOOKUP(C353,产品数据!$B:$D,3,FALSE),"")</f>
        <v/>
      </c>
      <c r="G353" s="8"/>
      <c r="H353" s="17"/>
      <c r="I353" s="5" t="str">
        <f>IF(C353=0,"",IF(H353=0,"未记录生产日期",IFERROR(H353+IFERROR(VLOOKUP(C353,产品数据!$B:$F,5,FALSE),"未录入生产日期"),"未写入保质期")))</f>
        <v/>
      </c>
    </row>
    <row r="354" spans="1:9">
      <c r="A354" s="8">
        <f t="shared" si="35"/>
        <v>353</v>
      </c>
      <c r="B354" s="17"/>
      <c r="C354" s="16"/>
      <c r="D354" s="8" t="str">
        <f>IFERROR(VLOOKUP(C354,产品数据!$B:$D,2,FALSE),"")</f>
        <v/>
      </c>
      <c r="E354" s="8"/>
      <c r="F354" s="8" t="str">
        <f>IFERROR(VLOOKUP(C354,产品数据!$B:$D,3,FALSE),"")</f>
        <v/>
      </c>
      <c r="G354" s="8"/>
      <c r="H354" s="17"/>
      <c r="I354" s="5" t="str">
        <f>IF(C354=0,"",IF(H354=0,"未记录生产日期",IFERROR(H354+IFERROR(VLOOKUP(C354,产品数据!$B:$F,5,FALSE),"未录入生产日期"),"未写入保质期")))</f>
        <v/>
      </c>
    </row>
    <row r="355" spans="1:9">
      <c r="A355" s="8">
        <f t="shared" si="35"/>
        <v>354</v>
      </c>
      <c r="B355" s="17"/>
      <c r="C355" s="16"/>
      <c r="D355" s="8" t="str">
        <f>IFERROR(VLOOKUP(C355,产品数据!$B:$D,2,FALSE),"")</f>
        <v/>
      </c>
      <c r="E355" s="8"/>
      <c r="F355" s="8" t="str">
        <f>IFERROR(VLOOKUP(C355,产品数据!$B:$D,3,FALSE),"")</f>
        <v/>
      </c>
      <c r="G355" s="8"/>
      <c r="H355" s="17"/>
      <c r="I355" s="5" t="str">
        <f>IF(C355=0,"",IF(H355=0,"未记录生产日期",IFERROR(H355+IFERROR(VLOOKUP(C355,产品数据!$B:$F,5,FALSE),"未录入生产日期"),"未写入保质期")))</f>
        <v/>
      </c>
    </row>
    <row r="356" spans="1:9">
      <c r="A356" s="8">
        <f t="shared" si="35"/>
        <v>355</v>
      </c>
      <c r="B356" s="17"/>
      <c r="C356" s="16"/>
      <c r="D356" s="8" t="str">
        <f>IFERROR(VLOOKUP(C356,产品数据!$B:$D,2,FALSE),"")</f>
        <v/>
      </c>
      <c r="E356" s="8"/>
      <c r="F356" s="8" t="str">
        <f>IFERROR(VLOOKUP(C356,产品数据!$B:$D,3,FALSE),"")</f>
        <v/>
      </c>
      <c r="G356" s="8"/>
      <c r="H356" s="17"/>
      <c r="I356" s="5" t="str">
        <f>IF(C356=0,"",IF(H356=0,"未记录生产日期",IFERROR(H356+IFERROR(VLOOKUP(C356,产品数据!$B:$F,5,FALSE),"未录入生产日期"),"未写入保质期")))</f>
        <v/>
      </c>
    </row>
    <row r="357" spans="1:9">
      <c r="A357" s="8">
        <f t="shared" si="35"/>
        <v>356</v>
      </c>
      <c r="B357" s="17"/>
      <c r="C357" s="16"/>
      <c r="D357" s="8" t="str">
        <f>IFERROR(VLOOKUP(C357,产品数据!$B:$D,2,FALSE),"")</f>
        <v/>
      </c>
      <c r="E357" s="8"/>
      <c r="F357" s="8" t="str">
        <f>IFERROR(VLOOKUP(C357,产品数据!$B:$D,3,FALSE),"")</f>
        <v/>
      </c>
      <c r="G357" s="8"/>
      <c r="H357" s="17"/>
      <c r="I357" s="5" t="str">
        <f>IF(C357=0,"",IF(H357=0,"未记录生产日期",IFERROR(H357+IFERROR(VLOOKUP(C357,产品数据!$B:$F,5,FALSE),"未录入生产日期"),"未写入保质期")))</f>
        <v/>
      </c>
    </row>
    <row r="358" spans="1:9">
      <c r="A358" s="8">
        <f t="shared" si="35"/>
        <v>357</v>
      </c>
      <c r="B358" s="17"/>
      <c r="C358" s="16"/>
      <c r="D358" s="8" t="str">
        <f>IFERROR(VLOOKUP(C358,产品数据!$B:$D,2,FALSE),"")</f>
        <v/>
      </c>
      <c r="E358" s="8"/>
      <c r="F358" s="8" t="str">
        <f>IFERROR(VLOOKUP(C358,产品数据!$B:$D,3,FALSE),"")</f>
        <v/>
      </c>
      <c r="G358" s="8"/>
      <c r="H358" s="17"/>
      <c r="I358" s="5" t="str">
        <f>IF(C358=0,"",IF(H358=0,"未记录生产日期",IFERROR(H358+IFERROR(VLOOKUP(C358,产品数据!$B:$F,5,FALSE),"未录入生产日期"),"未写入保质期")))</f>
        <v/>
      </c>
    </row>
    <row r="359" spans="1:9">
      <c r="A359" s="8">
        <f t="shared" si="35"/>
        <v>358</v>
      </c>
      <c r="B359" s="17"/>
      <c r="C359" s="16"/>
      <c r="D359" s="8" t="str">
        <f>IFERROR(VLOOKUP(C359,产品数据!$B:$D,2,FALSE),"")</f>
        <v/>
      </c>
      <c r="E359" s="8"/>
      <c r="F359" s="8" t="str">
        <f>IFERROR(VLOOKUP(C359,产品数据!$B:$D,3,FALSE),"")</f>
        <v/>
      </c>
      <c r="G359" s="8"/>
      <c r="H359" s="17"/>
      <c r="I359" s="5" t="str">
        <f>IF(C359=0,"",IF(H359=0,"未记录生产日期",IFERROR(H359+IFERROR(VLOOKUP(C359,产品数据!$B:$F,5,FALSE),"未录入生产日期"),"未写入保质期")))</f>
        <v/>
      </c>
    </row>
    <row r="360" spans="1:9">
      <c r="A360" s="8">
        <f t="shared" si="35"/>
        <v>359</v>
      </c>
      <c r="B360" s="17"/>
      <c r="C360" s="16"/>
      <c r="D360" s="8" t="str">
        <f>IFERROR(VLOOKUP(C360,产品数据!$B:$D,2,FALSE),"")</f>
        <v/>
      </c>
      <c r="E360" s="8"/>
      <c r="F360" s="8" t="str">
        <f>IFERROR(VLOOKUP(C360,产品数据!$B:$D,3,FALSE),"")</f>
        <v/>
      </c>
      <c r="G360" s="8"/>
      <c r="H360" s="17"/>
      <c r="I360" s="5" t="str">
        <f>IF(C360=0,"",IF(H360=0,"未记录生产日期",IFERROR(H360+IFERROR(VLOOKUP(C360,产品数据!$B:$F,5,FALSE),"未录入生产日期"),"未写入保质期")))</f>
        <v/>
      </c>
    </row>
    <row r="361" spans="1:9">
      <c r="A361" s="8">
        <f t="shared" ref="A361:A370" si="36">ROW()-1</f>
        <v>360</v>
      </c>
      <c r="B361" s="17"/>
      <c r="C361" s="16"/>
      <c r="D361" s="8" t="str">
        <f>IFERROR(VLOOKUP(C361,产品数据!$B:$D,2,FALSE),"")</f>
        <v/>
      </c>
      <c r="E361" s="8"/>
      <c r="F361" s="8" t="str">
        <f>IFERROR(VLOOKUP(C361,产品数据!$B:$D,3,FALSE),"")</f>
        <v/>
      </c>
      <c r="G361" s="8"/>
      <c r="H361" s="17"/>
      <c r="I361" s="5" t="str">
        <f>IF(C361=0,"",IF(H361=0,"未记录生产日期",IFERROR(H361+IFERROR(VLOOKUP(C361,产品数据!$B:$F,5,FALSE),"未录入生产日期"),"未写入保质期")))</f>
        <v/>
      </c>
    </row>
    <row r="362" spans="1:9">
      <c r="A362" s="8">
        <f t="shared" si="36"/>
        <v>361</v>
      </c>
      <c r="B362" s="17"/>
      <c r="C362" s="16"/>
      <c r="D362" s="8" t="str">
        <f>IFERROR(VLOOKUP(C362,产品数据!$B:$D,2,FALSE),"")</f>
        <v/>
      </c>
      <c r="E362" s="8"/>
      <c r="F362" s="8" t="str">
        <f>IFERROR(VLOOKUP(C362,产品数据!$B:$D,3,FALSE),"")</f>
        <v/>
      </c>
      <c r="G362" s="8"/>
      <c r="H362" s="17"/>
      <c r="I362" s="5" t="str">
        <f>IF(C362=0,"",IF(H362=0,"未记录生产日期",IFERROR(H362+IFERROR(VLOOKUP(C362,产品数据!$B:$F,5,FALSE),"未录入生产日期"),"未写入保质期")))</f>
        <v/>
      </c>
    </row>
    <row r="363" spans="1:9">
      <c r="A363" s="8">
        <f t="shared" si="36"/>
        <v>362</v>
      </c>
      <c r="B363" s="17"/>
      <c r="C363" s="16"/>
      <c r="D363" s="8" t="str">
        <f>IFERROR(VLOOKUP(C363,产品数据!$B:$D,2,FALSE),"")</f>
        <v/>
      </c>
      <c r="E363" s="8"/>
      <c r="F363" s="8" t="str">
        <f>IFERROR(VLOOKUP(C363,产品数据!$B:$D,3,FALSE),"")</f>
        <v/>
      </c>
      <c r="G363" s="8"/>
      <c r="H363" s="17"/>
      <c r="I363" s="5" t="str">
        <f>IF(C363=0,"",IF(H363=0,"未记录生产日期",IFERROR(H363+IFERROR(VLOOKUP(C363,产品数据!$B:$F,5,FALSE),"未录入生产日期"),"未写入保质期")))</f>
        <v/>
      </c>
    </row>
    <row r="364" spans="1:9">
      <c r="A364" s="8">
        <f t="shared" si="36"/>
        <v>363</v>
      </c>
      <c r="B364" s="17"/>
      <c r="C364" s="16"/>
      <c r="D364" s="8" t="str">
        <f>IFERROR(VLOOKUP(C364,产品数据!$B:$D,2,FALSE),"")</f>
        <v/>
      </c>
      <c r="E364" s="8"/>
      <c r="F364" s="8" t="str">
        <f>IFERROR(VLOOKUP(C364,产品数据!$B:$D,3,FALSE),"")</f>
        <v/>
      </c>
      <c r="G364" s="8"/>
      <c r="H364" s="17"/>
      <c r="I364" s="5" t="str">
        <f>IF(C364=0,"",IF(H364=0,"未记录生产日期",IFERROR(H364+IFERROR(VLOOKUP(C364,产品数据!$B:$F,5,FALSE),"未录入生产日期"),"未写入保质期")))</f>
        <v/>
      </c>
    </row>
    <row r="365" spans="1:9">
      <c r="A365" s="8">
        <f t="shared" si="36"/>
        <v>364</v>
      </c>
      <c r="B365" s="17"/>
      <c r="C365" s="16"/>
      <c r="D365" s="8" t="str">
        <f>IFERROR(VLOOKUP(C365,产品数据!$B:$D,2,FALSE),"")</f>
        <v/>
      </c>
      <c r="E365" s="8"/>
      <c r="F365" s="8" t="str">
        <f>IFERROR(VLOOKUP(C365,产品数据!$B:$D,3,FALSE),"")</f>
        <v/>
      </c>
      <c r="G365" s="8"/>
      <c r="H365" s="17"/>
      <c r="I365" s="5" t="str">
        <f>IF(C365=0,"",IF(H365=0,"未记录生产日期",IFERROR(H365+IFERROR(VLOOKUP(C365,产品数据!$B:$F,5,FALSE),"未录入生产日期"),"未写入保质期")))</f>
        <v/>
      </c>
    </row>
    <row r="366" spans="1:9">
      <c r="A366" s="8">
        <f t="shared" si="36"/>
        <v>365</v>
      </c>
      <c r="B366" s="17"/>
      <c r="C366" s="16"/>
      <c r="D366" s="8" t="str">
        <f>IFERROR(VLOOKUP(C366,产品数据!$B:$D,2,FALSE),"")</f>
        <v/>
      </c>
      <c r="E366" s="8"/>
      <c r="F366" s="8" t="str">
        <f>IFERROR(VLOOKUP(C366,产品数据!$B:$D,3,FALSE),"")</f>
        <v/>
      </c>
      <c r="G366" s="8"/>
      <c r="H366" s="17"/>
      <c r="I366" s="5" t="str">
        <f>IF(C366=0,"",IF(H366=0,"未记录生产日期",IFERROR(H366+IFERROR(VLOOKUP(C366,产品数据!$B:$F,5,FALSE),"未录入生产日期"),"未写入保质期")))</f>
        <v/>
      </c>
    </row>
    <row r="367" spans="1:9">
      <c r="A367" s="8">
        <f t="shared" si="36"/>
        <v>366</v>
      </c>
      <c r="B367" s="17"/>
      <c r="C367" s="16"/>
      <c r="D367" s="8" t="str">
        <f>IFERROR(VLOOKUP(C367,产品数据!$B:$D,2,FALSE),"")</f>
        <v/>
      </c>
      <c r="E367" s="8"/>
      <c r="F367" s="8" t="str">
        <f>IFERROR(VLOOKUP(C367,产品数据!$B:$D,3,FALSE),"")</f>
        <v/>
      </c>
      <c r="G367" s="8"/>
      <c r="H367" s="17"/>
      <c r="I367" s="5" t="str">
        <f>IF(C367=0,"",IF(H367=0,"未记录生产日期",IFERROR(H367+IFERROR(VLOOKUP(C367,产品数据!$B:$F,5,FALSE),"未录入生产日期"),"未写入保质期")))</f>
        <v/>
      </c>
    </row>
    <row r="368" spans="1:9">
      <c r="A368" s="8">
        <f t="shared" si="36"/>
        <v>367</v>
      </c>
      <c r="B368" s="17"/>
      <c r="C368" s="16"/>
      <c r="D368" s="8" t="str">
        <f>IFERROR(VLOOKUP(C368,产品数据!$B:$D,2,FALSE),"")</f>
        <v/>
      </c>
      <c r="E368" s="8"/>
      <c r="F368" s="8" t="str">
        <f>IFERROR(VLOOKUP(C368,产品数据!$B:$D,3,FALSE),"")</f>
        <v/>
      </c>
      <c r="G368" s="8"/>
      <c r="H368" s="17"/>
      <c r="I368" s="5" t="str">
        <f>IF(C368=0,"",IF(H368=0,"未记录生产日期",IFERROR(H368+IFERROR(VLOOKUP(C368,产品数据!$B:$F,5,FALSE),"未录入生产日期"),"未写入保质期")))</f>
        <v/>
      </c>
    </row>
    <row r="369" spans="1:9">
      <c r="A369" s="8">
        <f t="shared" si="36"/>
        <v>368</v>
      </c>
      <c r="B369" s="17"/>
      <c r="C369" s="16"/>
      <c r="D369" s="8" t="str">
        <f>IFERROR(VLOOKUP(C369,产品数据!$B:$D,2,FALSE),"")</f>
        <v/>
      </c>
      <c r="E369" s="8"/>
      <c r="F369" s="8" t="str">
        <f>IFERROR(VLOOKUP(C369,产品数据!$B:$D,3,FALSE),"")</f>
        <v/>
      </c>
      <c r="G369" s="8"/>
      <c r="H369" s="17"/>
      <c r="I369" s="5" t="str">
        <f>IF(C369=0,"",IF(H369=0,"未记录生产日期",IFERROR(H369+IFERROR(VLOOKUP(C369,产品数据!$B:$F,5,FALSE),"未录入生产日期"),"未写入保质期")))</f>
        <v/>
      </c>
    </row>
    <row r="370" spans="1:9">
      <c r="A370" s="8">
        <f t="shared" si="36"/>
        <v>369</v>
      </c>
      <c r="B370" s="17"/>
      <c r="C370" s="16"/>
      <c r="D370" s="8" t="str">
        <f>IFERROR(VLOOKUP(C370,产品数据!$B:$D,2,FALSE),"")</f>
        <v/>
      </c>
      <c r="E370" s="8"/>
      <c r="F370" s="8" t="str">
        <f>IFERROR(VLOOKUP(C370,产品数据!$B:$D,3,FALSE),"")</f>
        <v/>
      </c>
      <c r="G370" s="8"/>
      <c r="H370" s="17"/>
      <c r="I370" s="5" t="str">
        <f>IF(C370=0,"",IF(H370=0,"未记录生产日期",IFERROR(H370+IFERROR(VLOOKUP(C370,产品数据!$B:$F,5,FALSE),"未录入生产日期"),"未写入保质期")))</f>
        <v/>
      </c>
    </row>
    <row r="371" spans="1:9">
      <c r="A371" s="8">
        <f t="shared" ref="A371:A380" si="37">ROW()-1</f>
        <v>370</v>
      </c>
      <c r="B371" s="17"/>
      <c r="C371" s="16"/>
      <c r="D371" s="8" t="str">
        <f>IFERROR(VLOOKUP(C371,产品数据!$B:$D,2,FALSE),"")</f>
        <v/>
      </c>
      <c r="E371" s="8"/>
      <c r="F371" s="8" t="str">
        <f>IFERROR(VLOOKUP(C371,产品数据!$B:$D,3,FALSE),"")</f>
        <v/>
      </c>
      <c r="G371" s="8"/>
      <c r="H371" s="17"/>
      <c r="I371" s="5" t="str">
        <f>IF(C371=0,"",IF(H371=0,"未记录生产日期",IFERROR(H371+IFERROR(VLOOKUP(C371,产品数据!$B:$F,5,FALSE),"未录入生产日期"),"未写入保质期")))</f>
        <v/>
      </c>
    </row>
    <row r="372" spans="1:9">
      <c r="A372" s="8">
        <f t="shared" si="37"/>
        <v>371</v>
      </c>
      <c r="B372" s="17"/>
      <c r="C372" s="16"/>
      <c r="D372" s="8" t="str">
        <f>IFERROR(VLOOKUP(C372,产品数据!$B:$D,2,FALSE),"")</f>
        <v/>
      </c>
      <c r="E372" s="8"/>
      <c r="F372" s="8" t="str">
        <f>IFERROR(VLOOKUP(C372,产品数据!$B:$D,3,FALSE),"")</f>
        <v/>
      </c>
      <c r="G372" s="8"/>
      <c r="H372" s="17"/>
      <c r="I372" s="5" t="str">
        <f>IF(C372=0,"",IF(H372=0,"未记录生产日期",IFERROR(H372+IFERROR(VLOOKUP(C372,产品数据!$B:$F,5,FALSE),"未录入生产日期"),"未写入保质期")))</f>
        <v/>
      </c>
    </row>
    <row r="373" spans="1:9">
      <c r="A373" s="8">
        <f t="shared" si="37"/>
        <v>372</v>
      </c>
      <c r="B373" s="17"/>
      <c r="C373" s="16"/>
      <c r="D373" s="8" t="str">
        <f>IFERROR(VLOOKUP(C373,产品数据!$B:$D,2,FALSE),"")</f>
        <v/>
      </c>
      <c r="E373" s="8"/>
      <c r="F373" s="8" t="str">
        <f>IFERROR(VLOOKUP(C373,产品数据!$B:$D,3,FALSE),"")</f>
        <v/>
      </c>
      <c r="G373" s="8"/>
      <c r="H373" s="17"/>
      <c r="I373" s="5" t="str">
        <f>IF(C373=0,"",IF(H373=0,"未记录生产日期",IFERROR(H373+IFERROR(VLOOKUP(C373,产品数据!$B:$F,5,FALSE),"未录入生产日期"),"未写入保质期")))</f>
        <v/>
      </c>
    </row>
    <row r="374" spans="1:9">
      <c r="A374" s="8">
        <f t="shared" si="37"/>
        <v>373</v>
      </c>
      <c r="B374" s="17"/>
      <c r="C374" s="16"/>
      <c r="D374" s="8" t="str">
        <f>IFERROR(VLOOKUP(C374,产品数据!$B:$D,2,FALSE),"")</f>
        <v/>
      </c>
      <c r="E374" s="8"/>
      <c r="F374" s="8" t="str">
        <f>IFERROR(VLOOKUP(C374,产品数据!$B:$D,3,FALSE),"")</f>
        <v/>
      </c>
      <c r="G374" s="8"/>
      <c r="H374" s="17"/>
      <c r="I374" s="5" t="str">
        <f>IF(C374=0,"",IF(H374=0,"未记录生产日期",IFERROR(H374+IFERROR(VLOOKUP(C374,产品数据!$B:$F,5,FALSE),"未录入生产日期"),"未写入保质期")))</f>
        <v/>
      </c>
    </row>
    <row r="375" spans="1:9">
      <c r="A375" s="8">
        <f t="shared" si="37"/>
        <v>374</v>
      </c>
      <c r="B375" s="17"/>
      <c r="C375" s="16"/>
      <c r="D375" s="8" t="str">
        <f>IFERROR(VLOOKUP(C375,产品数据!$B:$D,2,FALSE),"")</f>
        <v/>
      </c>
      <c r="E375" s="8"/>
      <c r="F375" s="8" t="str">
        <f>IFERROR(VLOOKUP(C375,产品数据!$B:$D,3,FALSE),"")</f>
        <v/>
      </c>
      <c r="G375" s="8"/>
      <c r="H375" s="17"/>
      <c r="I375" s="5" t="str">
        <f>IF(C375=0,"",IF(H375=0,"未记录生产日期",IFERROR(H375+IFERROR(VLOOKUP(C375,产品数据!$B:$F,5,FALSE),"未录入生产日期"),"未写入保质期")))</f>
        <v/>
      </c>
    </row>
    <row r="376" spans="1:9">
      <c r="A376" s="8">
        <f t="shared" si="37"/>
        <v>375</v>
      </c>
      <c r="B376" s="17"/>
      <c r="C376" s="16"/>
      <c r="D376" s="8" t="str">
        <f>IFERROR(VLOOKUP(C376,产品数据!$B:$D,2,FALSE),"")</f>
        <v/>
      </c>
      <c r="E376" s="8"/>
      <c r="F376" s="8" t="str">
        <f>IFERROR(VLOOKUP(C376,产品数据!$B:$D,3,FALSE),"")</f>
        <v/>
      </c>
      <c r="G376" s="8"/>
      <c r="H376" s="17"/>
      <c r="I376" s="5" t="str">
        <f>IF(C376=0,"",IF(H376=0,"未记录生产日期",IFERROR(H376+IFERROR(VLOOKUP(C376,产品数据!$B:$F,5,FALSE),"未录入生产日期"),"未写入保质期")))</f>
        <v/>
      </c>
    </row>
    <row r="377" spans="1:9">
      <c r="A377" s="8">
        <f t="shared" si="37"/>
        <v>376</v>
      </c>
      <c r="B377" s="17"/>
      <c r="C377" s="16"/>
      <c r="D377" s="8" t="str">
        <f>IFERROR(VLOOKUP(C377,产品数据!$B:$D,2,FALSE),"")</f>
        <v/>
      </c>
      <c r="E377" s="8"/>
      <c r="F377" s="8" t="str">
        <f>IFERROR(VLOOKUP(C377,产品数据!$B:$D,3,FALSE),"")</f>
        <v/>
      </c>
      <c r="G377" s="8"/>
      <c r="H377" s="17"/>
      <c r="I377" s="5" t="str">
        <f>IF(C377=0,"",IF(H377=0,"未记录生产日期",IFERROR(H377+IFERROR(VLOOKUP(C377,产品数据!$B:$F,5,FALSE),"未录入生产日期"),"未写入保质期")))</f>
        <v/>
      </c>
    </row>
    <row r="378" spans="1:9">
      <c r="A378" s="8">
        <f t="shared" si="37"/>
        <v>377</v>
      </c>
      <c r="B378" s="17"/>
      <c r="C378" s="16"/>
      <c r="D378" s="8" t="str">
        <f>IFERROR(VLOOKUP(C378,产品数据!$B:$D,2,FALSE),"")</f>
        <v/>
      </c>
      <c r="E378" s="8"/>
      <c r="F378" s="8" t="str">
        <f>IFERROR(VLOOKUP(C378,产品数据!$B:$D,3,FALSE),"")</f>
        <v/>
      </c>
      <c r="G378" s="8"/>
      <c r="H378" s="17"/>
      <c r="I378" s="5" t="str">
        <f>IF(C378=0,"",IF(H378=0,"未记录生产日期",IFERROR(H378+IFERROR(VLOOKUP(C378,产品数据!$B:$F,5,FALSE),"未录入生产日期"),"未写入保质期")))</f>
        <v/>
      </c>
    </row>
    <row r="379" spans="1:9">
      <c r="A379" s="8">
        <f t="shared" si="37"/>
        <v>378</v>
      </c>
      <c r="B379" s="17"/>
      <c r="C379" s="16"/>
      <c r="D379" s="8" t="str">
        <f>IFERROR(VLOOKUP(C379,产品数据!$B:$D,2,FALSE),"")</f>
        <v/>
      </c>
      <c r="E379" s="8"/>
      <c r="F379" s="8" t="str">
        <f>IFERROR(VLOOKUP(C379,产品数据!$B:$D,3,FALSE),"")</f>
        <v/>
      </c>
      <c r="G379" s="8"/>
      <c r="H379" s="17"/>
      <c r="I379" s="5" t="str">
        <f>IF(C379=0,"",IF(H379=0,"未记录生产日期",IFERROR(H379+IFERROR(VLOOKUP(C379,产品数据!$B:$F,5,FALSE),"未录入生产日期"),"未写入保质期")))</f>
        <v/>
      </c>
    </row>
    <row r="380" spans="1:9">
      <c r="A380" s="8">
        <f t="shared" si="37"/>
        <v>379</v>
      </c>
      <c r="B380" s="17"/>
      <c r="C380" s="16"/>
      <c r="D380" s="8" t="str">
        <f>IFERROR(VLOOKUP(C380,产品数据!$B:$D,2,FALSE),"")</f>
        <v/>
      </c>
      <c r="E380" s="8"/>
      <c r="F380" s="8" t="str">
        <f>IFERROR(VLOOKUP(C380,产品数据!$B:$D,3,FALSE),"")</f>
        <v/>
      </c>
      <c r="G380" s="8"/>
      <c r="H380" s="17"/>
      <c r="I380" s="5" t="str">
        <f>IF(C380=0,"",IF(H380=0,"未记录生产日期",IFERROR(H380+IFERROR(VLOOKUP(C380,产品数据!$B:$F,5,FALSE),"未录入生产日期"),"未写入保质期")))</f>
        <v/>
      </c>
    </row>
    <row r="381" spans="1:9">
      <c r="A381" s="8">
        <f t="shared" ref="A381:A390" si="38">ROW()-1</f>
        <v>380</v>
      </c>
      <c r="B381" s="17"/>
      <c r="C381" s="16"/>
      <c r="D381" s="8" t="str">
        <f>IFERROR(VLOOKUP(C381,产品数据!$B:$D,2,FALSE),"")</f>
        <v/>
      </c>
      <c r="E381" s="8"/>
      <c r="F381" s="8" t="str">
        <f>IFERROR(VLOOKUP(C381,产品数据!$B:$D,3,FALSE),"")</f>
        <v/>
      </c>
      <c r="G381" s="8"/>
      <c r="H381" s="17"/>
      <c r="I381" s="5" t="str">
        <f>IF(C381=0,"",IF(H381=0,"未记录生产日期",IFERROR(H381+IFERROR(VLOOKUP(C381,产品数据!$B:$F,5,FALSE),"未录入生产日期"),"未写入保质期")))</f>
        <v/>
      </c>
    </row>
    <row r="382" spans="1:9">
      <c r="A382" s="8">
        <f t="shared" si="38"/>
        <v>381</v>
      </c>
      <c r="B382" s="17"/>
      <c r="C382" s="16"/>
      <c r="D382" s="8" t="str">
        <f>IFERROR(VLOOKUP(C382,产品数据!$B:$D,2,FALSE),"")</f>
        <v/>
      </c>
      <c r="E382" s="8"/>
      <c r="F382" s="8" t="str">
        <f>IFERROR(VLOOKUP(C382,产品数据!$B:$D,3,FALSE),"")</f>
        <v/>
      </c>
      <c r="G382" s="8"/>
      <c r="H382" s="17"/>
      <c r="I382" s="5" t="str">
        <f>IF(C382=0,"",IF(H382=0,"未记录生产日期",IFERROR(H382+IFERROR(VLOOKUP(C382,产品数据!$B:$F,5,FALSE),"未录入生产日期"),"未写入保质期")))</f>
        <v/>
      </c>
    </row>
    <row r="383" spans="1:9">
      <c r="A383" s="8">
        <f t="shared" si="38"/>
        <v>382</v>
      </c>
      <c r="B383" s="17"/>
      <c r="C383" s="16"/>
      <c r="D383" s="8" t="str">
        <f>IFERROR(VLOOKUP(C383,产品数据!$B:$D,2,FALSE),"")</f>
        <v/>
      </c>
      <c r="E383" s="8"/>
      <c r="F383" s="8" t="str">
        <f>IFERROR(VLOOKUP(C383,产品数据!$B:$D,3,FALSE),"")</f>
        <v/>
      </c>
      <c r="G383" s="8"/>
      <c r="H383" s="17"/>
      <c r="I383" s="5" t="str">
        <f>IF(C383=0,"",IF(H383=0,"未记录生产日期",IFERROR(H383+IFERROR(VLOOKUP(C383,产品数据!$B:$F,5,FALSE),"未录入生产日期"),"未写入保质期")))</f>
        <v/>
      </c>
    </row>
    <row r="384" spans="1:9">
      <c r="A384" s="8">
        <f t="shared" si="38"/>
        <v>383</v>
      </c>
      <c r="B384" s="17"/>
      <c r="C384" s="16"/>
      <c r="D384" s="8" t="str">
        <f>IFERROR(VLOOKUP(C384,产品数据!$B:$D,2,FALSE),"")</f>
        <v/>
      </c>
      <c r="E384" s="8"/>
      <c r="F384" s="8" t="str">
        <f>IFERROR(VLOOKUP(C384,产品数据!$B:$D,3,FALSE),"")</f>
        <v/>
      </c>
      <c r="G384" s="8"/>
      <c r="H384" s="17"/>
      <c r="I384" s="5" t="str">
        <f>IF(C384=0,"",IF(H384=0,"未记录生产日期",IFERROR(H384+IFERROR(VLOOKUP(C384,产品数据!$B:$F,5,FALSE),"未录入生产日期"),"未写入保质期")))</f>
        <v/>
      </c>
    </row>
    <row r="385" spans="1:9">
      <c r="A385" s="8">
        <f t="shared" si="38"/>
        <v>384</v>
      </c>
      <c r="B385" s="17"/>
      <c r="C385" s="16"/>
      <c r="D385" s="8" t="str">
        <f>IFERROR(VLOOKUP(C385,产品数据!$B:$D,2,FALSE),"")</f>
        <v/>
      </c>
      <c r="E385" s="8"/>
      <c r="F385" s="8" t="str">
        <f>IFERROR(VLOOKUP(C385,产品数据!$B:$D,3,FALSE),"")</f>
        <v/>
      </c>
      <c r="G385" s="8"/>
      <c r="H385" s="17"/>
      <c r="I385" s="5" t="str">
        <f>IF(C385=0,"",IF(H385=0,"未记录生产日期",IFERROR(H385+IFERROR(VLOOKUP(C385,产品数据!$B:$F,5,FALSE),"未录入生产日期"),"未写入保质期")))</f>
        <v/>
      </c>
    </row>
    <row r="386" spans="1:9">
      <c r="A386" s="8">
        <f t="shared" si="38"/>
        <v>385</v>
      </c>
      <c r="B386" s="17"/>
      <c r="C386" s="16"/>
      <c r="D386" s="8" t="str">
        <f>IFERROR(VLOOKUP(C386,产品数据!$B:$D,2,FALSE),"")</f>
        <v/>
      </c>
      <c r="E386" s="8"/>
      <c r="F386" s="8" t="str">
        <f>IFERROR(VLOOKUP(C386,产品数据!$B:$D,3,FALSE),"")</f>
        <v/>
      </c>
      <c r="G386" s="8"/>
      <c r="H386" s="17"/>
      <c r="I386" s="5" t="str">
        <f>IF(C386=0,"",IF(H386=0,"未记录生产日期",IFERROR(H386+IFERROR(VLOOKUP(C386,产品数据!$B:$F,5,FALSE),"未录入生产日期"),"未写入保质期")))</f>
        <v/>
      </c>
    </row>
    <row r="387" spans="1:9">
      <c r="A387" s="8">
        <f t="shared" si="38"/>
        <v>386</v>
      </c>
      <c r="B387" s="17"/>
      <c r="C387" s="16"/>
      <c r="D387" s="8" t="str">
        <f>IFERROR(VLOOKUP(C387,产品数据!$B:$D,2,FALSE),"")</f>
        <v/>
      </c>
      <c r="E387" s="8"/>
      <c r="F387" s="8" t="str">
        <f>IFERROR(VLOOKUP(C387,产品数据!$B:$D,3,FALSE),"")</f>
        <v/>
      </c>
      <c r="G387" s="8"/>
      <c r="H387" s="17"/>
      <c r="I387" s="5" t="str">
        <f>IF(C387=0,"",IF(H387=0,"未记录生产日期",IFERROR(H387+IFERROR(VLOOKUP(C387,产品数据!$B:$F,5,FALSE),"未录入生产日期"),"未写入保质期")))</f>
        <v/>
      </c>
    </row>
    <row r="388" spans="1:9">
      <c r="A388" s="8">
        <f t="shared" si="38"/>
        <v>387</v>
      </c>
      <c r="B388" s="17"/>
      <c r="C388" s="16"/>
      <c r="D388" s="8" t="str">
        <f>IFERROR(VLOOKUP(C388,产品数据!$B:$D,2,FALSE),"")</f>
        <v/>
      </c>
      <c r="E388" s="8"/>
      <c r="F388" s="8" t="str">
        <f>IFERROR(VLOOKUP(C388,产品数据!$B:$D,3,FALSE),"")</f>
        <v/>
      </c>
      <c r="G388" s="8"/>
      <c r="H388" s="17"/>
      <c r="I388" s="5" t="str">
        <f>IF(C388=0,"",IF(H388=0,"未记录生产日期",IFERROR(H388+IFERROR(VLOOKUP(C388,产品数据!$B:$F,5,FALSE),"未录入生产日期"),"未写入保质期")))</f>
        <v/>
      </c>
    </row>
    <row r="389" spans="1:9">
      <c r="A389" s="8">
        <f t="shared" si="38"/>
        <v>388</v>
      </c>
      <c r="B389" s="17"/>
      <c r="C389" s="16"/>
      <c r="D389" s="8" t="str">
        <f>IFERROR(VLOOKUP(C389,产品数据!$B:$D,2,FALSE),"")</f>
        <v/>
      </c>
      <c r="E389" s="8"/>
      <c r="F389" s="8" t="str">
        <f>IFERROR(VLOOKUP(C389,产品数据!$B:$D,3,FALSE),"")</f>
        <v/>
      </c>
      <c r="G389" s="8"/>
      <c r="H389" s="17"/>
      <c r="I389" s="5" t="str">
        <f>IF(C389=0,"",IF(H389=0,"未记录生产日期",IFERROR(H389+IFERROR(VLOOKUP(C389,产品数据!$B:$F,5,FALSE),"未录入生产日期"),"未写入保质期")))</f>
        <v/>
      </c>
    </row>
    <row r="390" spans="1:9">
      <c r="A390" s="8">
        <f t="shared" si="38"/>
        <v>389</v>
      </c>
      <c r="B390" s="17"/>
      <c r="C390" s="16"/>
      <c r="D390" s="8" t="str">
        <f>IFERROR(VLOOKUP(C390,产品数据!$B:$D,2,FALSE),"")</f>
        <v/>
      </c>
      <c r="E390" s="8"/>
      <c r="F390" s="8" t="str">
        <f>IFERROR(VLOOKUP(C390,产品数据!$B:$D,3,FALSE),"")</f>
        <v/>
      </c>
      <c r="G390" s="8"/>
      <c r="H390" s="17"/>
      <c r="I390" s="5" t="str">
        <f>IF(C390=0,"",IF(H390=0,"未记录生产日期",IFERROR(H390+IFERROR(VLOOKUP(C390,产品数据!$B:$F,5,FALSE),"未录入生产日期"),"未写入保质期")))</f>
        <v/>
      </c>
    </row>
    <row r="391" spans="1:9">
      <c r="A391" s="8">
        <f t="shared" ref="A391:A400" si="39">ROW()-1</f>
        <v>390</v>
      </c>
      <c r="B391" s="17"/>
      <c r="C391" s="16"/>
      <c r="D391" s="8" t="str">
        <f>IFERROR(VLOOKUP(C391,产品数据!$B:$D,2,FALSE),"")</f>
        <v/>
      </c>
      <c r="E391" s="8"/>
      <c r="F391" s="8" t="str">
        <f>IFERROR(VLOOKUP(C391,产品数据!$B:$D,3,FALSE),"")</f>
        <v/>
      </c>
      <c r="G391" s="8"/>
      <c r="H391" s="17"/>
      <c r="I391" s="5" t="str">
        <f>IF(C391=0,"",IF(H391=0,"未记录生产日期",IFERROR(H391+IFERROR(VLOOKUP(C391,产品数据!$B:$F,5,FALSE),"未录入生产日期"),"未写入保质期")))</f>
        <v/>
      </c>
    </row>
    <row r="392" spans="1:9">
      <c r="A392" s="8">
        <f t="shared" si="39"/>
        <v>391</v>
      </c>
      <c r="B392" s="17"/>
      <c r="C392" s="16"/>
      <c r="D392" s="8" t="str">
        <f>IFERROR(VLOOKUP(C392,产品数据!$B:$D,2,FALSE),"")</f>
        <v/>
      </c>
      <c r="E392" s="8"/>
      <c r="F392" s="8" t="str">
        <f>IFERROR(VLOOKUP(C392,产品数据!$B:$D,3,FALSE),"")</f>
        <v/>
      </c>
      <c r="G392" s="8"/>
      <c r="H392" s="17"/>
      <c r="I392" s="5" t="str">
        <f>IF(C392=0,"",IF(H392=0,"未记录生产日期",IFERROR(H392+IFERROR(VLOOKUP(C392,产品数据!$B:$F,5,FALSE),"未录入生产日期"),"未写入保质期")))</f>
        <v/>
      </c>
    </row>
    <row r="393" spans="1:9">
      <c r="A393" s="8">
        <f t="shared" si="39"/>
        <v>392</v>
      </c>
      <c r="B393" s="17"/>
      <c r="C393" s="16"/>
      <c r="D393" s="8" t="str">
        <f>IFERROR(VLOOKUP(C393,产品数据!$B:$D,2,FALSE),"")</f>
        <v/>
      </c>
      <c r="E393" s="8"/>
      <c r="F393" s="8" t="str">
        <f>IFERROR(VLOOKUP(C393,产品数据!$B:$D,3,FALSE),"")</f>
        <v/>
      </c>
      <c r="G393" s="8"/>
      <c r="H393" s="17"/>
      <c r="I393" s="5" t="str">
        <f>IF(C393=0,"",IF(H393=0,"未记录生产日期",IFERROR(H393+IFERROR(VLOOKUP(C393,产品数据!$B:$F,5,FALSE),"未录入生产日期"),"未写入保质期")))</f>
        <v/>
      </c>
    </row>
    <row r="394" spans="1:9">
      <c r="A394" s="8">
        <f t="shared" si="39"/>
        <v>393</v>
      </c>
      <c r="B394" s="17"/>
      <c r="C394" s="16"/>
      <c r="D394" s="8" t="str">
        <f>IFERROR(VLOOKUP(C394,产品数据!$B:$D,2,FALSE),"")</f>
        <v/>
      </c>
      <c r="E394" s="8"/>
      <c r="F394" s="8" t="str">
        <f>IFERROR(VLOOKUP(C394,产品数据!$B:$D,3,FALSE),"")</f>
        <v/>
      </c>
      <c r="G394" s="8"/>
      <c r="H394" s="17"/>
      <c r="I394" s="5" t="str">
        <f>IF(C394=0,"",IF(H394=0,"未记录生产日期",IFERROR(H394+IFERROR(VLOOKUP(C394,产品数据!$B:$F,5,FALSE),"未录入生产日期"),"未写入保质期")))</f>
        <v/>
      </c>
    </row>
    <row r="395" spans="1:9">
      <c r="A395" s="8">
        <f t="shared" si="39"/>
        <v>394</v>
      </c>
      <c r="B395" s="17"/>
      <c r="C395" s="16"/>
      <c r="D395" s="8" t="str">
        <f>IFERROR(VLOOKUP(C395,产品数据!$B:$D,2,FALSE),"")</f>
        <v/>
      </c>
      <c r="E395" s="8"/>
      <c r="F395" s="8" t="str">
        <f>IFERROR(VLOOKUP(C395,产品数据!$B:$D,3,FALSE),"")</f>
        <v/>
      </c>
      <c r="G395" s="8"/>
      <c r="H395" s="17"/>
      <c r="I395" s="5" t="str">
        <f>IF(C395=0,"",IF(H395=0,"未记录生产日期",IFERROR(H395+IFERROR(VLOOKUP(C395,产品数据!$B:$F,5,FALSE),"未录入生产日期"),"未写入保质期")))</f>
        <v/>
      </c>
    </row>
    <row r="396" spans="1:9">
      <c r="A396" s="8">
        <f t="shared" si="39"/>
        <v>395</v>
      </c>
      <c r="B396" s="17"/>
      <c r="C396" s="16"/>
      <c r="D396" s="8" t="str">
        <f>IFERROR(VLOOKUP(C396,产品数据!$B:$D,2,FALSE),"")</f>
        <v/>
      </c>
      <c r="E396" s="8"/>
      <c r="F396" s="8" t="str">
        <f>IFERROR(VLOOKUP(C396,产品数据!$B:$D,3,FALSE),"")</f>
        <v/>
      </c>
      <c r="G396" s="8"/>
      <c r="H396" s="17"/>
      <c r="I396" s="5" t="str">
        <f>IF(C396=0,"",IF(H396=0,"未记录生产日期",IFERROR(H396+IFERROR(VLOOKUP(C396,产品数据!$B:$F,5,FALSE),"未录入生产日期"),"未写入保质期")))</f>
        <v/>
      </c>
    </row>
    <row r="397" spans="1:9">
      <c r="A397" s="8">
        <f t="shared" si="39"/>
        <v>396</v>
      </c>
      <c r="B397" s="17"/>
      <c r="C397" s="16"/>
      <c r="D397" s="8" t="str">
        <f>IFERROR(VLOOKUP(C397,产品数据!$B:$D,2,FALSE),"")</f>
        <v/>
      </c>
      <c r="E397" s="8"/>
      <c r="F397" s="8" t="str">
        <f>IFERROR(VLOOKUP(C397,产品数据!$B:$D,3,FALSE),"")</f>
        <v/>
      </c>
      <c r="G397" s="8"/>
      <c r="H397" s="17"/>
      <c r="I397" s="5" t="str">
        <f>IF(C397=0,"",IF(H397=0,"未记录生产日期",IFERROR(H397+IFERROR(VLOOKUP(C397,产品数据!$B:$F,5,FALSE),"未录入生产日期"),"未写入保质期")))</f>
        <v/>
      </c>
    </row>
    <row r="398" spans="1:9">
      <c r="A398" s="8">
        <f t="shared" si="39"/>
        <v>397</v>
      </c>
      <c r="B398" s="17"/>
      <c r="C398" s="16"/>
      <c r="D398" s="8" t="str">
        <f>IFERROR(VLOOKUP(C398,产品数据!$B:$D,2,FALSE),"")</f>
        <v/>
      </c>
      <c r="E398" s="8"/>
      <c r="F398" s="8" t="str">
        <f>IFERROR(VLOOKUP(C398,产品数据!$B:$D,3,FALSE),"")</f>
        <v/>
      </c>
      <c r="G398" s="8"/>
      <c r="H398" s="17"/>
      <c r="I398" s="5" t="str">
        <f>IF(C398=0,"",IF(H398=0,"未记录生产日期",IFERROR(H398+IFERROR(VLOOKUP(C398,产品数据!$B:$F,5,FALSE),"未录入生产日期"),"未写入保质期")))</f>
        <v/>
      </c>
    </row>
    <row r="399" spans="1:9">
      <c r="A399" s="8">
        <f t="shared" si="39"/>
        <v>398</v>
      </c>
      <c r="B399" s="17"/>
      <c r="C399" s="16"/>
      <c r="D399" s="8" t="str">
        <f>IFERROR(VLOOKUP(C399,产品数据!$B:$D,2,FALSE),"")</f>
        <v/>
      </c>
      <c r="E399" s="8"/>
      <c r="F399" s="8" t="str">
        <f>IFERROR(VLOOKUP(C399,产品数据!$B:$D,3,FALSE),"")</f>
        <v/>
      </c>
      <c r="G399" s="8"/>
      <c r="H399" s="17"/>
      <c r="I399" s="5" t="str">
        <f>IF(C399=0,"",IF(H399=0,"未记录生产日期",IFERROR(H399+IFERROR(VLOOKUP(C399,产品数据!$B:$F,5,FALSE),"未录入生产日期"),"未写入保质期")))</f>
        <v/>
      </c>
    </row>
    <row r="400" spans="1:9">
      <c r="A400" s="8">
        <f t="shared" si="39"/>
        <v>399</v>
      </c>
      <c r="B400" s="17"/>
      <c r="C400" s="16"/>
      <c r="D400" s="8" t="str">
        <f>IFERROR(VLOOKUP(C400,产品数据!$B:$D,2,FALSE),"")</f>
        <v/>
      </c>
      <c r="E400" s="8"/>
      <c r="F400" s="8" t="str">
        <f>IFERROR(VLOOKUP(C400,产品数据!$B:$D,3,FALSE),"")</f>
        <v/>
      </c>
      <c r="G400" s="8"/>
      <c r="H400" s="17"/>
      <c r="I400" s="5" t="str">
        <f>IF(C400=0,"",IF(H400=0,"未记录生产日期",IFERROR(H400+IFERROR(VLOOKUP(C400,产品数据!$B:$F,5,FALSE),"未录入生产日期"),"未写入保质期")))</f>
        <v/>
      </c>
    </row>
    <row r="401" spans="1:9">
      <c r="A401" s="8">
        <f t="shared" ref="A401:A410" si="40">ROW()-1</f>
        <v>400</v>
      </c>
      <c r="B401" s="17"/>
      <c r="C401" s="16"/>
      <c r="D401" s="8" t="str">
        <f>IFERROR(VLOOKUP(C401,产品数据!$B:$D,2,FALSE),"")</f>
        <v/>
      </c>
      <c r="E401" s="8"/>
      <c r="F401" s="8" t="str">
        <f>IFERROR(VLOOKUP(C401,产品数据!$B:$D,3,FALSE),"")</f>
        <v/>
      </c>
      <c r="G401" s="8"/>
      <c r="H401" s="17"/>
      <c r="I401" s="5" t="str">
        <f>IF(C401=0,"",IF(H401=0,"未记录生产日期",IFERROR(H401+IFERROR(VLOOKUP(C401,产品数据!$B:$F,5,FALSE),"未录入生产日期"),"未写入保质期")))</f>
        <v/>
      </c>
    </row>
    <row r="402" spans="1:9">
      <c r="A402" s="8">
        <f t="shared" si="40"/>
        <v>401</v>
      </c>
      <c r="B402" s="17"/>
      <c r="C402" s="16"/>
      <c r="D402" s="8" t="str">
        <f>IFERROR(VLOOKUP(C402,产品数据!$B:$D,2,FALSE),"")</f>
        <v/>
      </c>
      <c r="E402" s="8"/>
      <c r="F402" s="8" t="str">
        <f>IFERROR(VLOOKUP(C402,产品数据!$B:$D,3,FALSE),"")</f>
        <v/>
      </c>
      <c r="G402" s="8"/>
      <c r="H402" s="17"/>
      <c r="I402" s="5" t="str">
        <f>IF(C402=0,"",IF(H402=0,"未记录生产日期",IFERROR(H402+IFERROR(VLOOKUP(C402,产品数据!$B:$F,5,FALSE),"未录入生产日期"),"未写入保质期")))</f>
        <v/>
      </c>
    </row>
    <row r="403" spans="1:9">
      <c r="A403" s="8">
        <f t="shared" si="40"/>
        <v>402</v>
      </c>
      <c r="B403" s="17"/>
      <c r="C403" s="16"/>
      <c r="D403" s="8" t="str">
        <f>IFERROR(VLOOKUP(C403,产品数据!$B:$D,2,FALSE),"")</f>
        <v/>
      </c>
      <c r="E403" s="8"/>
      <c r="F403" s="8" t="str">
        <f>IFERROR(VLOOKUP(C403,产品数据!$B:$D,3,FALSE),"")</f>
        <v/>
      </c>
      <c r="G403" s="8"/>
      <c r="H403" s="17"/>
      <c r="I403" s="5" t="str">
        <f>IF(C403=0,"",IF(H403=0,"未记录生产日期",IFERROR(H403+IFERROR(VLOOKUP(C403,产品数据!$B:$F,5,FALSE),"未录入生产日期"),"未写入保质期")))</f>
        <v/>
      </c>
    </row>
    <row r="404" spans="1:9">
      <c r="A404" s="8">
        <f t="shared" si="40"/>
        <v>403</v>
      </c>
      <c r="B404" s="17"/>
      <c r="C404" s="16"/>
      <c r="D404" s="8" t="str">
        <f>IFERROR(VLOOKUP(C404,产品数据!$B:$D,2,FALSE),"")</f>
        <v/>
      </c>
      <c r="E404" s="8"/>
      <c r="F404" s="8" t="str">
        <f>IFERROR(VLOOKUP(C404,产品数据!$B:$D,3,FALSE),"")</f>
        <v/>
      </c>
      <c r="G404" s="8"/>
      <c r="H404" s="17"/>
      <c r="I404" s="5" t="str">
        <f>IF(C404=0,"",IF(H404=0,"未记录生产日期",IFERROR(H404+IFERROR(VLOOKUP(C404,产品数据!$B:$F,5,FALSE),"未录入生产日期"),"未写入保质期")))</f>
        <v/>
      </c>
    </row>
    <row r="405" spans="1:9">
      <c r="A405" s="8">
        <f t="shared" si="40"/>
        <v>404</v>
      </c>
      <c r="B405" s="17"/>
      <c r="C405" s="16"/>
      <c r="D405" s="8" t="str">
        <f>IFERROR(VLOOKUP(C405,产品数据!$B:$D,2,FALSE),"")</f>
        <v/>
      </c>
      <c r="E405" s="8"/>
      <c r="F405" s="8" t="str">
        <f>IFERROR(VLOOKUP(C405,产品数据!$B:$D,3,FALSE),"")</f>
        <v/>
      </c>
      <c r="G405" s="8"/>
      <c r="H405" s="17"/>
      <c r="I405" s="5" t="str">
        <f>IF(C405=0,"",IF(H405=0,"未记录生产日期",IFERROR(H405+IFERROR(VLOOKUP(C405,产品数据!$B:$F,5,FALSE),"未录入生产日期"),"未写入保质期")))</f>
        <v/>
      </c>
    </row>
    <row r="406" spans="1:9">
      <c r="A406" s="8">
        <f t="shared" si="40"/>
        <v>405</v>
      </c>
      <c r="B406" s="17"/>
      <c r="C406" s="16"/>
      <c r="D406" s="8" t="str">
        <f>IFERROR(VLOOKUP(C406,产品数据!$B:$D,2,FALSE),"")</f>
        <v/>
      </c>
      <c r="E406" s="8"/>
      <c r="F406" s="8" t="str">
        <f>IFERROR(VLOOKUP(C406,产品数据!$B:$D,3,FALSE),"")</f>
        <v/>
      </c>
      <c r="G406" s="8"/>
      <c r="H406" s="17"/>
      <c r="I406" s="5" t="str">
        <f>IF(C406=0,"",IF(H406=0,"未记录生产日期",IFERROR(H406+IFERROR(VLOOKUP(C406,产品数据!$B:$F,5,FALSE),"未录入生产日期"),"未写入保质期")))</f>
        <v/>
      </c>
    </row>
    <row r="407" spans="1:9">
      <c r="A407" s="8">
        <f t="shared" si="40"/>
        <v>406</v>
      </c>
      <c r="B407" s="17"/>
      <c r="C407" s="16"/>
      <c r="D407" s="8" t="str">
        <f>IFERROR(VLOOKUP(C407,产品数据!$B:$D,2,FALSE),"")</f>
        <v/>
      </c>
      <c r="E407" s="8"/>
      <c r="F407" s="8" t="str">
        <f>IFERROR(VLOOKUP(C407,产品数据!$B:$D,3,FALSE),"")</f>
        <v/>
      </c>
      <c r="G407" s="8"/>
      <c r="H407" s="17"/>
      <c r="I407" s="5" t="str">
        <f>IF(C407=0,"",IF(H407=0,"未记录生产日期",IFERROR(H407+IFERROR(VLOOKUP(C407,产品数据!$B:$F,5,FALSE),"未录入生产日期"),"未写入保质期")))</f>
        <v/>
      </c>
    </row>
    <row r="408" spans="1:9">
      <c r="A408" s="8">
        <f t="shared" si="40"/>
        <v>407</v>
      </c>
      <c r="B408" s="17"/>
      <c r="C408" s="16"/>
      <c r="D408" s="8" t="str">
        <f>IFERROR(VLOOKUP(C408,产品数据!$B:$D,2,FALSE),"")</f>
        <v/>
      </c>
      <c r="E408" s="8"/>
      <c r="F408" s="8" t="str">
        <f>IFERROR(VLOOKUP(C408,产品数据!$B:$D,3,FALSE),"")</f>
        <v/>
      </c>
      <c r="G408" s="8"/>
      <c r="H408" s="17"/>
      <c r="I408" s="5" t="str">
        <f>IF(C408=0,"",IF(H408=0,"未记录生产日期",IFERROR(H408+IFERROR(VLOOKUP(C408,产品数据!$B:$F,5,FALSE),"未录入生产日期"),"未写入保质期")))</f>
        <v/>
      </c>
    </row>
    <row r="409" spans="1:9">
      <c r="A409" s="8">
        <f t="shared" si="40"/>
        <v>408</v>
      </c>
      <c r="B409" s="17"/>
      <c r="C409" s="16"/>
      <c r="D409" s="8" t="str">
        <f>IFERROR(VLOOKUP(C409,产品数据!$B:$D,2,FALSE),"")</f>
        <v/>
      </c>
      <c r="E409" s="8"/>
      <c r="F409" s="8" t="str">
        <f>IFERROR(VLOOKUP(C409,产品数据!$B:$D,3,FALSE),"")</f>
        <v/>
      </c>
      <c r="G409" s="8"/>
      <c r="H409" s="17"/>
      <c r="I409" s="5" t="str">
        <f>IF(C409=0,"",IF(H409=0,"未记录生产日期",IFERROR(H409+IFERROR(VLOOKUP(C409,产品数据!$B:$F,5,FALSE),"未录入生产日期"),"未写入保质期")))</f>
        <v/>
      </c>
    </row>
    <row r="410" spans="1:9">
      <c r="A410" s="8">
        <f t="shared" si="40"/>
        <v>409</v>
      </c>
      <c r="B410" s="17"/>
      <c r="C410" s="16"/>
      <c r="D410" s="8" t="str">
        <f>IFERROR(VLOOKUP(C410,产品数据!$B:$D,2,FALSE),"")</f>
        <v/>
      </c>
      <c r="E410" s="8"/>
      <c r="F410" s="8" t="str">
        <f>IFERROR(VLOOKUP(C410,产品数据!$B:$D,3,FALSE),"")</f>
        <v/>
      </c>
      <c r="G410" s="8"/>
      <c r="H410" s="17"/>
      <c r="I410" s="5" t="str">
        <f>IF(C410=0,"",IF(H410=0,"未记录生产日期",IFERROR(H410+IFERROR(VLOOKUP(C410,产品数据!$B:$F,5,FALSE),"未录入生产日期"),"未写入保质期")))</f>
        <v/>
      </c>
    </row>
    <row r="411" spans="1:9">
      <c r="A411" s="8">
        <f t="shared" ref="A411:A420" si="41">ROW()-1</f>
        <v>410</v>
      </c>
      <c r="B411" s="17"/>
      <c r="C411" s="16"/>
      <c r="D411" s="8" t="str">
        <f>IFERROR(VLOOKUP(C411,产品数据!$B:$D,2,FALSE),"")</f>
        <v/>
      </c>
      <c r="E411" s="8"/>
      <c r="F411" s="8" t="str">
        <f>IFERROR(VLOOKUP(C411,产品数据!$B:$D,3,FALSE),"")</f>
        <v/>
      </c>
      <c r="G411" s="8"/>
      <c r="H411" s="17"/>
      <c r="I411" s="5" t="str">
        <f>IF(C411=0,"",IF(H411=0,"未记录生产日期",IFERROR(H411+IFERROR(VLOOKUP(C411,产品数据!$B:$F,5,FALSE),"未录入生产日期"),"未写入保质期")))</f>
        <v/>
      </c>
    </row>
    <row r="412" spans="1:9">
      <c r="A412" s="8">
        <f t="shared" si="41"/>
        <v>411</v>
      </c>
      <c r="B412" s="17"/>
      <c r="C412" s="16"/>
      <c r="D412" s="8" t="str">
        <f>IFERROR(VLOOKUP(C412,产品数据!$B:$D,2,FALSE),"")</f>
        <v/>
      </c>
      <c r="E412" s="8"/>
      <c r="F412" s="8" t="str">
        <f>IFERROR(VLOOKUP(C412,产品数据!$B:$D,3,FALSE),"")</f>
        <v/>
      </c>
      <c r="G412" s="8"/>
      <c r="H412" s="17"/>
      <c r="I412" s="5" t="str">
        <f>IF(C412=0,"",IF(H412=0,"未记录生产日期",IFERROR(H412+IFERROR(VLOOKUP(C412,产品数据!$B:$F,5,FALSE),"未录入生产日期"),"未写入保质期")))</f>
        <v/>
      </c>
    </row>
    <row r="413" spans="1:9">
      <c r="A413" s="8">
        <f t="shared" si="41"/>
        <v>412</v>
      </c>
      <c r="B413" s="17"/>
      <c r="C413" s="16"/>
      <c r="D413" s="8" t="str">
        <f>IFERROR(VLOOKUP(C413,产品数据!$B:$D,2,FALSE),"")</f>
        <v/>
      </c>
      <c r="E413" s="8"/>
      <c r="F413" s="8" t="str">
        <f>IFERROR(VLOOKUP(C413,产品数据!$B:$D,3,FALSE),"")</f>
        <v/>
      </c>
      <c r="G413" s="8"/>
      <c r="H413" s="17"/>
      <c r="I413" s="5" t="str">
        <f>IF(C413=0,"",IF(H413=0,"未记录生产日期",IFERROR(H413+IFERROR(VLOOKUP(C413,产品数据!$B:$F,5,FALSE),"未录入生产日期"),"未写入保质期")))</f>
        <v/>
      </c>
    </row>
    <row r="414" spans="1:9">
      <c r="A414" s="8">
        <f t="shared" si="41"/>
        <v>413</v>
      </c>
      <c r="B414" s="17"/>
      <c r="C414" s="16"/>
      <c r="D414" s="8" t="str">
        <f>IFERROR(VLOOKUP(C414,产品数据!$B:$D,2,FALSE),"")</f>
        <v/>
      </c>
      <c r="E414" s="8"/>
      <c r="F414" s="8" t="str">
        <f>IFERROR(VLOOKUP(C414,产品数据!$B:$D,3,FALSE),"")</f>
        <v/>
      </c>
      <c r="G414" s="8"/>
      <c r="H414" s="17"/>
      <c r="I414" s="5" t="str">
        <f>IF(C414=0,"",IF(H414=0,"未记录生产日期",IFERROR(H414+IFERROR(VLOOKUP(C414,产品数据!$B:$F,5,FALSE),"未录入生产日期"),"未写入保质期")))</f>
        <v/>
      </c>
    </row>
    <row r="415" spans="1:9">
      <c r="A415" s="8">
        <f t="shared" si="41"/>
        <v>414</v>
      </c>
      <c r="B415" s="17"/>
      <c r="C415" s="16"/>
      <c r="D415" s="8" t="str">
        <f>IFERROR(VLOOKUP(C415,产品数据!$B:$D,2,FALSE),"")</f>
        <v/>
      </c>
      <c r="E415" s="8"/>
      <c r="F415" s="8" t="str">
        <f>IFERROR(VLOOKUP(C415,产品数据!$B:$D,3,FALSE),"")</f>
        <v/>
      </c>
      <c r="G415" s="8"/>
      <c r="H415" s="17"/>
      <c r="I415" s="5" t="str">
        <f>IF(C415=0,"",IF(H415=0,"未记录生产日期",IFERROR(H415+IFERROR(VLOOKUP(C415,产品数据!$B:$F,5,FALSE),"未录入生产日期"),"未写入保质期")))</f>
        <v/>
      </c>
    </row>
    <row r="416" spans="1:9">
      <c r="A416" s="8">
        <f t="shared" si="41"/>
        <v>415</v>
      </c>
      <c r="B416" s="17"/>
      <c r="C416" s="16"/>
      <c r="D416" s="8" t="str">
        <f>IFERROR(VLOOKUP(C416,产品数据!$B:$D,2,FALSE),"")</f>
        <v/>
      </c>
      <c r="E416" s="8"/>
      <c r="F416" s="8" t="str">
        <f>IFERROR(VLOOKUP(C416,产品数据!$B:$D,3,FALSE),"")</f>
        <v/>
      </c>
      <c r="G416" s="8"/>
      <c r="H416" s="17"/>
      <c r="I416" s="5" t="str">
        <f>IF(C416=0,"",IF(H416=0,"未记录生产日期",IFERROR(H416+IFERROR(VLOOKUP(C416,产品数据!$B:$F,5,FALSE),"未录入生产日期"),"未写入保质期")))</f>
        <v/>
      </c>
    </row>
    <row r="417" spans="1:9">
      <c r="A417" s="8">
        <f t="shared" si="41"/>
        <v>416</v>
      </c>
      <c r="B417" s="17"/>
      <c r="C417" s="16"/>
      <c r="D417" s="8" t="str">
        <f>IFERROR(VLOOKUP(C417,产品数据!$B:$D,2,FALSE),"")</f>
        <v/>
      </c>
      <c r="E417" s="8"/>
      <c r="F417" s="8" t="str">
        <f>IFERROR(VLOOKUP(C417,产品数据!$B:$D,3,FALSE),"")</f>
        <v/>
      </c>
      <c r="G417" s="8"/>
      <c r="H417" s="17"/>
      <c r="I417" s="5" t="str">
        <f>IF(C417=0,"",IF(H417=0,"未记录生产日期",IFERROR(H417+IFERROR(VLOOKUP(C417,产品数据!$B:$F,5,FALSE),"未录入生产日期"),"未写入保质期")))</f>
        <v/>
      </c>
    </row>
    <row r="418" spans="1:9">
      <c r="A418" s="8">
        <f t="shared" si="41"/>
        <v>417</v>
      </c>
      <c r="B418" s="17"/>
      <c r="C418" s="16"/>
      <c r="D418" s="8" t="str">
        <f>IFERROR(VLOOKUP(C418,产品数据!$B:$D,2,FALSE),"")</f>
        <v/>
      </c>
      <c r="E418" s="8"/>
      <c r="F418" s="8" t="str">
        <f>IFERROR(VLOOKUP(C418,产品数据!$B:$D,3,FALSE),"")</f>
        <v/>
      </c>
      <c r="G418" s="8"/>
      <c r="H418" s="17"/>
      <c r="I418" s="5" t="str">
        <f>IF(C418=0,"",IF(H418=0,"未记录生产日期",IFERROR(H418+IFERROR(VLOOKUP(C418,产品数据!$B:$F,5,FALSE),"未录入生产日期"),"未写入保质期")))</f>
        <v/>
      </c>
    </row>
    <row r="419" spans="1:9">
      <c r="A419" s="8">
        <f t="shared" si="41"/>
        <v>418</v>
      </c>
      <c r="B419" s="17"/>
      <c r="C419" s="16"/>
      <c r="D419" s="8" t="str">
        <f>IFERROR(VLOOKUP(C419,产品数据!$B:$D,2,FALSE),"")</f>
        <v/>
      </c>
      <c r="E419" s="8"/>
      <c r="F419" s="8" t="str">
        <f>IFERROR(VLOOKUP(C419,产品数据!$B:$D,3,FALSE),"")</f>
        <v/>
      </c>
      <c r="G419" s="8"/>
      <c r="H419" s="17"/>
      <c r="I419" s="5" t="str">
        <f>IF(C419=0,"",IF(H419=0,"未记录生产日期",IFERROR(H419+IFERROR(VLOOKUP(C419,产品数据!$B:$F,5,FALSE),"未录入生产日期"),"未写入保质期")))</f>
        <v/>
      </c>
    </row>
    <row r="420" spans="1:9">
      <c r="A420" s="8">
        <f t="shared" si="41"/>
        <v>419</v>
      </c>
      <c r="B420" s="17"/>
      <c r="C420" s="16"/>
      <c r="D420" s="8" t="str">
        <f>IFERROR(VLOOKUP(C420,产品数据!$B:$D,2,FALSE),"")</f>
        <v/>
      </c>
      <c r="E420" s="8"/>
      <c r="F420" s="8" t="str">
        <f>IFERROR(VLOOKUP(C420,产品数据!$B:$D,3,FALSE),"")</f>
        <v/>
      </c>
      <c r="G420" s="8"/>
      <c r="H420" s="17"/>
      <c r="I420" s="5" t="str">
        <f>IF(C420=0,"",IF(H420=0,"未记录生产日期",IFERROR(H420+IFERROR(VLOOKUP(C420,产品数据!$B:$F,5,FALSE),"未录入生产日期"),"未写入保质期")))</f>
        <v/>
      </c>
    </row>
    <row r="421" spans="1:9">
      <c r="A421" s="8">
        <f t="shared" ref="A421:A430" si="42">ROW()-1</f>
        <v>420</v>
      </c>
      <c r="B421" s="17"/>
      <c r="C421" s="16"/>
      <c r="D421" s="8" t="str">
        <f>IFERROR(VLOOKUP(C421,产品数据!$B:$D,2,FALSE),"")</f>
        <v/>
      </c>
      <c r="E421" s="8"/>
      <c r="F421" s="8" t="str">
        <f>IFERROR(VLOOKUP(C421,产品数据!$B:$D,3,FALSE),"")</f>
        <v/>
      </c>
      <c r="G421" s="8"/>
      <c r="H421" s="17"/>
      <c r="I421" s="5" t="str">
        <f>IF(C421=0,"",IF(H421=0,"未记录生产日期",IFERROR(H421+IFERROR(VLOOKUP(C421,产品数据!$B:$F,5,FALSE),"未录入生产日期"),"未写入保质期")))</f>
        <v/>
      </c>
    </row>
    <row r="422" spans="1:9">
      <c r="A422" s="8">
        <f t="shared" si="42"/>
        <v>421</v>
      </c>
      <c r="B422" s="17"/>
      <c r="C422" s="16"/>
      <c r="D422" s="8" t="str">
        <f>IFERROR(VLOOKUP(C422,产品数据!$B:$D,2,FALSE),"")</f>
        <v/>
      </c>
      <c r="E422" s="8"/>
      <c r="F422" s="8" t="str">
        <f>IFERROR(VLOOKUP(C422,产品数据!$B:$D,3,FALSE),"")</f>
        <v/>
      </c>
      <c r="G422" s="8"/>
      <c r="H422" s="17"/>
      <c r="I422" s="5" t="str">
        <f>IF(C422=0,"",IF(H422=0,"未记录生产日期",IFERROR(H422+IFERROR(VLOOKUP(C422,产品数据!$B:$F,5,FALSE),"未录入生产日期"),"未写入保质期")))</f>
        <v/>
      </c>
    </row>
    <row r="423" spans="1:9">
      <c r="A423" s="8">
        <f t="shared" si="42"/>
        <v>422</v>
      </c>
      <c r="B423" s="17"/>
      <c r="C423" s="16"/>
      <c r="D423" s="8" t="str">
        <f>IFERROR(VLOOKUP(C423,产品数据!$B:$D,2,FALSE),"")</f>
        <v/>
      </c>
      <c r="E423" s="8"/>
      <c r="F423" s="8" t="str">
        <f>IFERROR(VLOOKUP(C423,产品数据!$B:$D,3,FALSE),"")</f>
        <v/>
      </c>
      <c r="G423" s="8"/>
      <c r="H423" s="17"/>
      <c r="I423" s="5" t="str">
        <f>IF(C423=0,"",IF(H423=0,"未记录生产日期",IFERROR(H423+IFERROR(VLOOKUP(C423,产品数据!$B:$F,5,FALSE),"未录入生产日期"),"未写入保质期")))</f>
        <v/>
      </c>
    </row>
    <row r="424" spans="1:9">
      <c r="A424" s="8">
        <f t="shared" si="42"/>
        <v>423</v>
      </c>
      <c r="B424" s="17"/>
      <c r="C424" s="16"/>
      <c r="D424" s="8" t="str">
        <f>IFERROR(VLOOKUP(C424,产品数据!$B:$D,2,FALSE),"")</f>
        <v/>
      </c>
      <c r="E424" s="8"/>
      <c r="F424" s="8" t="str">
        <f>IFERROR(VLOOKUP(C424,产品数据!$B:$D,3,FALSE),"")</f>
        <v/>
      </c>
      <c r="G424" s="8"/>
      <c r="H424" s="17"/>
      <c r="I424" s="5" t="str">
        <f>IF(C424=0,"",IF(H424=0,"未记录生产日期",IFERROR(H424+IFERROR(VLOOKUP(C424,产品数据!$B:$F,5,FALSE),"未录入生产日期"),"未写入保质期")))</f>
        <v/>
      </c>
    </row>
    <row r="425" spans="1:9">
      <c r="A425" s="8">
        <f t="shared" si="42"/>
        <v>424</v>
      </c>
      <c r="B425" s="17"/>
      <c r="C425" s="16"/>
      <c r="D425" s="8" t="str">
        <f>IFERROR(VLOOKUP(C425,产品数据!$B:$D,2,FALSE),"")</f>
        <v/>
      </c>
      <c r="E425" s="8"/>
      <c r="F425" s="8" t="str">
        <f>IFERROR(VLOOKUP(C425,产品数据!$B:$D,3,FALSE),"")</f>
        <v/>
      </c>
      <c r="G425" s="8"/>
      <c r="H425" s="17"/>
      <c r="I425" s="5" t="str">
        <f>IF(C425=0,"",IF(H425=0,"未记录生产日期",IFERROR(H425+IFERROR(VLOOKUP(C425,产品数据!$B:$F,5,FALSE),"未录入生产日期"),"未写入保质期")))</f>
        <v/>
      </c>
    </row>
    <row r="426" spans="1:9">
      <c r="A426" s="8">
        <f t="shared" si="42"/>
        <v>425</v>
      </c>
      <c r="B426" s="17"/>
      <c r="C426" s="16"/>
      <c r="D426" s="8" t="str">
        <f>IFERROR(VLOOKUP(C426,产品数据!$B:$D,2,FALSE),"")</f>
        <v/>
      </c>
      <c r="E426" s="8"/>
      <c r="F426" s="8" t="str">
        <f>IFERROR(VLOOKUP(C426,产品数据!$B:$D,3,FALSE),"")</f>
        <v/>
      </c>
      <c r="G426" s="8"/>
      <c r="H426" s="17"/>
      <c r="I426" s="5" t="str">
        <f>IF(C426=0,"",IF(H426=0,"未记录生产日期",IFERROR(H426+IFERROR(VLOOKUP(C426,产品数据!$B:$F,5,FALSE),"未录入生产日期"),"未写入保质期")))</f>
        <v/>
      </c>
    </row>
    <row r="427" spans="1:9">
      <c r="A427" s="8">
        <f t="shared" si="42"/>
        <v>426</v>
      </c>
      <c r="B427" s="17"/>
      <c r="C427" s="16"/>
      <c r="D427" s="8" t="str">
        <f>IFERROR(VLOOKUP(C427,产品数据!$B:$D,2,FALSE),"")</f>
        <v/>
      </c>
      <c r="E427" s="8"/>
      <c r="F427" s="8" t="str">
        <f>IFERROR(VLOOKUP(C427,产品数据!$B:$D,3,FALSE),"")</f>
        <v/>
      </c>
      <c r="G427" s="8"/>
      <c r="H427" s="17"/>
      <c r="I427" s="5" t="str">
        <f>IF(C427=0,"",IF(H427=0,"未记录生产日期",IFERROR(H427+IFERROR(VLOOKUP(C427,产品数据!$B:$F,5,FALSE),"未录入生产日期"),"未写入保质期")))</f>
        <v/>
      </c>
    </row>
    <row r="428" spans="1:9">
      <c r="A428" s="8">
        <f t="shared" si="42"/>
        <v>427</v>
      </c>
      <c r="B428" s="17"/>
      <c r="C428" s="16"/>
      <c r="D428" s="8" t="str">
        <f>IFERROR(VLOOKUP(C428,产品数据!$B:$D,2,FALSE),"")</f>
        <v/>
      </c>
      <c r="E428" s="8"/>
      <c r="F428" s="8" t="str">
        <f>IFERROR(VLOOKUP(C428,产品数据!$B:$D,3,FALSE),"")</f>
        <v/>
      </c>
      <c r="G428" s="8"/>
      <c r="H428" s="17"/>
      <c r="I428" s="5" t="str">
        <f>IF(C428=0,"",IF(H428=0,"未记录生产日期",IFERROR(H428+IFERROR(VLOOKUP(C428,产品数据!$B:$F,5,FALSE),"未录入生产日期"),"未写入保质期")))</f>
        <v/>
      </c>
    </row>
    <row r="429" spans="1:9">
      <c r="A429" s="8">
        <f t="shared" si="42"/>
        <v>428</v>
      </c>
      <c r="B429" s="17"/>
      <c r="C429" s="16"/>
      <c r="D429" s="8" t="str">
        <f>IFERROR(VLOOKUP(C429,产品数据!$B:$D,2,FALSE),"")</f>
        <v/>
      </c>
      <c r="E429" s="8"/>
      <c r="F429" s="8" t="str">
        <f>IFERROR(VLOOKUP(C429,产品数据!$B:$D,3,FALSE),"")</f>
        <v/>
      </c>
      <c r="G429" s="8"/>
      <c r="H429" s="17"/>
      <c r="I429" s="5" t="str">
        <f>IF(C429=0,"",IF(H429=0,"未记录生产日期",IFERROR(H429+IFERROR(VLOOKUP(C429,产品数据!$B:$F,5,FALSE),"未录入生产日期"),"未写入保质期")))</f>
        <v/>
      </c>
    </row>
    <row r="430" spans="1:9">
      <c r="A430" s="8">
        <f t="shared" si="42"/>
        <v>429</v>
      </c>
      <c r="B430" s="17"/>
      <c r="C430" s="16"/>
      <c r="D430" s="8" t="str">
        <f>IFERROR(VLOOKUP(C430,产品数据!$B:$D,2,FALSE),"")</f>
        <v/>
      </c>
      <c r="E430" s="8"/>
      <c r="F430" s="8" t="str">
        <f>IFERROR(VLOOKUP(C430,产品数据!$B:$D,3,FALSE),"")</f>
        <v/>
      </c>
      <c r="G430" s="8"/>
      <c r="H430" s="17"/>
      <c r="I430" s="5" t="str">
        <f>IF(C430=0,"",IF(H430=0,"未记录生产日期",IFERROR(H430+IFERROR(VLOOKUP(C430,产品数据!$B:$F,5,FALSE),"未录入生产日期"),"未写入保质期")))</f>
        <v/>
      </c>
    </row>
    <row r="431" spans="1:9">
      <c r="A431" s="8">
        <f t="shared" ref="A431:A440" si="43">ROW()-1</f>
        <v>430</v>
      </c>
      <c r="B431" s="17"/>
      <c r="C431" s="16"/>
      <c r="D431" s="8" t="str">
        <f>IFERROR(VLOOKUP(C431,产品数据!$B:$D,2,FALSE),"")</f>
        <v/>
      </c>
      <c r="E431" s="8"/>
      <c r="F431" s="8" t="str">
        <f>IFERROR(VLOOKUP(C431,产品数据!$B:$D,3,FALSE),"")</f>
        <v/>
      </c>
      <c r="G431" s="8"/>
      <c r="H431" s="17"/>
      <c r="I431" s="5" t="str">
        <f>IF(C431=0,"",IF(H431=0,"未记录生产日期",IFERROR(H431+IFERROR(VLOOKUP(C431,产品数据!$B:$F,5,FALSE),"未录入生产日期"),"未写入保质期")))</f>
        <v/>
      </c>
    </row>
    <row r="432" spans="1:9">
      <c r="A432" s="8">
        <f t="shared" si="43"/>
        <v>431</v>
      </c>
      <c r="B432" s="17"/>
      <c r="C432" s="16"/>
      <c r="D432" s="8" t="str">
        <f>IFERROR(VLOOKUP(C432,产品数据!$B:$D,2,FALSE),"")</f>
        <v/>
      </c>
      <c r="E432" s="8"/>
      <c r="F432" s="8" t="str">
        <f>IFERROR(VLOOKUP(C432,产品数据!$B:$D,3,FALSE),"")</f>
        <v/>
      </c>
      <c r="G432" s="8"/>
      <c r="H432" s="17"/>
      <c r="I432" s="5" t="str">
        <f>IF(C432=0,"",IF(H432=0,"未记录生产日期",IFERROR(H432+IFERROR(VLOOKUP(C432,产品数据!$B:$F,5,FALSE),"未录入生产日期"),"未写入保质期")))</f>
        <v/>
      </c>
    </row>
    <row r="433" spans="1:9">
      <c r="A433" s="8">
        <f t="shared" si="43"/>
        <v>432</v>
      </c>
      <c r="B433" s="17"/>
      <c r="C433" s="16"/>
      <c r="D433" s="8" t="str">
        <f>IFERROR(VLOOKUP(C433,产品数据!$B:$D,2,FALSE),"")</f>
        <v/>
      </c>
      <c r="E433" s="8"/>
      <c r="F433" s="8" t="str">
        <f>IFERROR(VLOOKUP(C433,产品数据!$B:$D,3,FALSE),"")</f>
        <v/>
      </c>
      <c r="G433" s="8"/>
      <c r="H433" s="17"/>
      <c r="I433" s="5" t="str">
        <f>IF(C433=0,"",IF(H433=0,"未记录生产日期",IFERROR(H433+IFERROR(VLOOKUP(C433,产品数据!$B:$F,5,FALSE),"未录入生产日期"),"未写入保质期")))</f>
        <v/>
      </c>
    </row>
    <row r="434" spans="1:9">
      <c r="A434" s="8">
        <f t="shared" si="43"/>
        <v>433</v>
      </c>
      <c r="B434" s="17"/>
      <c r="C434" s="16"/>
      <c r="D434" s="8" t="str">
        <f>IFERROR(VLOOKUP(C434,产品数据!$B:$D,2,FALSE),"")</f>
        <v/>
      </c>
      <c r="E434" s="8"/>
      <c r="F434" s="8" t="str">
        <f>IFERROR(VLOOKUP(C434,产品数据!$B:$D,3,FALSE),"")</f>
        <v/>
      </c>
      <c r="G434" s="8"/>
      <c r="H434" s="17"/>
      <c r="I434" s="5" t="str">
        <f>IF(C434=0,"",IF(H434=0,"未记录生产日期",IFERROR(H434+IFERROR(VLOOKUP(C434,产品数据!$B:$F,5,FALSE),"未录入生产日期"),"未写入保质期")))</f>
        <v/>
      </c>
    </row>
    <row r="435" spans="1:9">
      <c r="A435" s="8">
        <f t="shared" si="43"/>
        <v>434</v>
      </c>
      <c r="B435" s="17"/>
      <c r="C435" s="16"/>
      <c r="D435" s="8" t="str">
        <f>IFERROR(VLOOKUP(C435,产品数据!$B:$D,2,FALSE),"")</f>
        <v/>
      </c>
      <c r="E435" s="8"/>
      <c r="F435" s="8" t="str">
        <f>IFERROR(VLOOKUP(C435,产品数据!$B:$D,3,FALSE),"")</f>
        <v/>
      </c>
      <c r="G435" s="8"/>
      <c r="H435" s="17"/>
      <c r="I435" s="5" t="str">
        <f>IF(C435=0,"",IF(H435=0,"未记录生产日期",IFERROR(H435+IFERROR(VLOOKUP(C435,产品数据!$B:$F,5,FALSE),"未录入生产日期"),"未写入保质期")))</f>
        <v/>
      </c>
    </row>
    <row r="436" spans="1:9">
      <c r="A436" s="8">
        <f t="shared" si="43"/>
        <v>435</v>
      </c>
      <c r="B436" s="17"/>
      <c r="C436" s="16"/>
      <c r="D436" s="8" t="str">
        <f>IFERROR(VLOOKUP(C436,产品数据!$B:$D,2,FALSE),"")</f>
        <v/>
      </c>
      <c r="E436" s="8"/>
      <c r="F436" s="8" t="str">
        <f>IFERROR(VLOOKUP(C436,产品数据!$B:$D,3,FALSE),"")</f>
        <v/>
      </c>
      <c r="G436" s="8"/>
      <c r="H436" s="17"/>
      <c r="I436" s="5" t="str">
        <f>IF(C436=0,"",IF(H436=0,"未记录生产日期",IFERROR(H436+IFERROR(VLOOKUP(C436,产品数据!$B:$F,5,FALSE),"未录入生产日期"),"未写入保质期")))</f>
        <v/>
      </c>
    </row>
    <row r="437" spans="1:9">
      <c r="A437" s="8">
        <f t="shared" si="43"/>
        <v>436</v>
      </c>
      <c r="B437" s="17"/>
      <c r="C437" s="16"/>
      <c r="D437" s="8" t="str">
        <f>IFERROR(VLOOKUP(C437,产品数据!$B:$D,2,FALSE),"")</f>
        <v/>
      </c>
      <c r="E437" s="8"/>
      <c r="F437" s="8" t="str">
        <f>IFERROR(VLOOKUP(C437,产品数据!$B:$D,3,FALSE),"")</f>
        <v/>
      </c>
      <c r="G437" s="8"/>
      <c r="H437" s="17"/>
      <c r="I437" s="5" t="str">
        <f>IF(C437=0,"",IF(H437=0,"未记录生产日期",IFERROR(H437+IFERROR(VLOOKUP(C437,产品数据!$B:$F,5,FALSE),"未录入生产日期"),"未写入保质期")))</f>
        <v/>
      </c>
    </row>
    <row r="438" spans="1:9">
      <c r="A438" s="8">
        <f t="shared" si="43"/>
        <v>437</v>
      </c>
      <c r="B438" s="17"/>
      <c r="C438" s="16"/>
      <c r="D438" s="8" t="str">
        <f>IFERROR(VLOOKUP(C438,产品数据!$B:$D,2,FALSE),"")</f>
        <v/>
      </c>
      <c r="E438" s="8"/>
      <c r="F438" s="8" t="str">
        <f>IFERROR(VLOOKUP(C438,产品数据!$B:$D,3,FALSE),"")</f>
        <v/>
      </c>
      <c r="G438" s="8"/>
      <c r="H438" s="17"/>
      <c r="I438" s="5" t="str">
        <f>IF(C438=0,"",IF(H438=0,"未记录生产日期",IFERROR(H438+IFERROR(VLOOKUP(C438,产品数据!$B:$F,5,FALSE),"未录入生产日期"),"未写入保质期")))</f>
        <v/>
      </c>
    </row>
    <row r="439" spans="1:9">
      <c r="A439" s="8">
        <f t="shared" si="43"/>
        <v>438</v>
      </c>
      <c r="B439" s="17"/>
      <c r="C439" s="16"/>
      <c r="D439" s="8" t="str">
        <f>IFERROR(VLOOKUP(C439,产品数据!$B:$D,2,FALSE),"")</f>
        <v/>
      </c>
      <c r="E439" s="8"/>
      <c r="F439" s="8" t="str">
        <f>IFERROR(VLOOKUP(C439,产品数据!$B:$D,3,FALSE),"")</f>
        <v/>
      </c>
      <c r="G439" s="8"/>
      <c r="H439" s="17"/>
      <c r="I439" s="5" t="str">
        <f>IF(C439=0,"",IF(H439=0,"未记录生产日期",IFERROR(H439+IFERROR(VLOOKUP(C439,产品数据!$B:$F,5,FALSE),"未录入生产日期"),"未写入保质期")))</f>
        <v/>
      </c>
    </row>
    <row r="440" spans="1:9">
      <c r="A440" s="8">
        <f t="shared" si="43"/>
        <v>439</v>
      </c>
      <c r="B440" s="17"/>
      <c r="C440" s="16"/>
      <c r="D440" s="8" t="str">
        <f>IFERROR(VLOOKUP(C440,产品数据!$B:$D,2,FALSE),"")</f>
        <v/>
      </c>
      <c r="E440" s="8"/>
      <c r="F440" s="8" t="str">
        <f>IFERROR(VLOOKUP(C440,产品数据!$B:$D,3,FALSE),"")</f>
        <v/>
      </c>
      <c r="G440" s="8"/>
      <c r="H440" s="17"/>
      <c r="I440" s="5" t="str">
        <f>IF(C440=0,"",IF(H440=0,"未记录生产日期",IFERROR(H440+IFERROR(VLOOKUP(C440,产品数据!$B:$F,5,FALSE),"未录入生产日期"),"未写入保质期")))</f>
        <v/>
      </c>
    </row>
    <row r="441" spans="1:9">
      <c r="A441" s="8">
        <f t="shared" ref="A441:A450" si="44">ROW()-1</f>
        <v>440</v>
      </c>
      <c r="B441" s="17"/>
      <c r="C441" s="16"/>
      <c r="D441" s="8" t="str">
        <f>IFERROR(VLOOKUP(C441,产品数据!$B:$D,2,FALSE),"")</f>
        <v/>
      </c>
      <c r="E441" s="8"/>
      <c r="F441" s="8" t="str">
        <f>IFERROR(VLOOKUP(C441,产品数据!$B:$D,3,FALSE),"")</f>
        <v/>
      </c>
      <c r="G441" s="8"/>
      <c r="H441" s="17"/>
      <c r="I441" s="5" t="str">
        <f>IF(C441=0,"",IF(H441=0,"未记录生产日期",IFERROR(H441+IFERROR(VLOOKUP(C441,产品数据!$B:$F,5,FALSE),"未录入生产日期"),"未写入保质期")))</f>
        <v/>
      </c>
    </row>
    <row r="442" spans="1:9">
      <c r="A442" s="8">
        <f t="shared" si="44"/>
        <v>441</v>
      </c>
      <c r="B442" s="17"/>
      <c r="C442" s="16"/>
      <c r="D442" s="8" t="str">
        <f>IFERROR(VLOOKUP(C442,产品数据!$B:$D,2,FALSE),"")</f>
        <v/>
      </c>
      <c r="E442" s="8"/>
      <c r="F442" s="8" t="str">
        <f>IFERROR(VLOOKUP(C442,产品数据!$B:$D,3,FALSE),"")</f>
        <v/>
      </c>
      <c r="G442" s="8"/>
      <c r="H442" s="17"/>
      <c r="I442" s="5" t="str">
        <f>IF(C442=0,"",IF(H442=0,"未记录生产日期",IFERROR(H442+IFERROR(VLOOKUP(C442,产品数据!$B:$F,5,FALSE),"未录入生产日期"),"未写入保质期")))</f>
        <v/>
      </c>
    </row>
    <row r="443" spans="1:9">
      <c r="A443" s="8">
        <f t="shared" si="44"/>
        <v>442</v>
      </c>
      <c r="B443" s="17"/>
      <c r="C443" s="16"/>
      <c r="D443" s="8" t="str">
        <f>IFERROR(VLOOKUP(C443,产品数据!$B:$D,2,FALSE),"")</f>
        <v/>
      </c>
      <c r="E443" s="8"/>
      <c r="F443" s="8" t="str">
        <f>IFERROR(VLOOKUP(C443,产品数据!$B:$D,3,FALSE),"")</f>
        <v/>
      </c>
      <c r="G443" s="8"/>
      <c r="H443" s="17"/>
      <c r="I443" s="5" t="str">
        <f>IF(C443=0,"",IF(H443=0,"未记录生产日期",IFERROR(H443+IFERROR(VLOOKUP(C443,产品数据!$B:$F,5,FALSE),"未录入生产日期"),"未写入保质期")))</f>
        <v/>
      </c>
    </row>
    <row r="444" spans="1:9">
      <c r="A444" s="8">
        <f t="shared" si="44"/>
        <v>443</v>
      </c>
      <c r="B444" s="17"/>
      <c r="C444" s="16"/>
      <c r="D444" s="8" t="str">
        <f>IFERROR(VLOOKUP(C444,产品数据!$B:$D,2,FALSE),"")</f>
        <v/>
      </c>
      <c r="E444" s="8"/>
      <c r="F444" s="8" t="str">
        <f>IFERROR(VLOOKUP(C444,产品数据!$B:$D,3,FALSE),"")</f>
        <v/>
      </c>
      <c r="G444" s="8"/>
      <c r="H444" s="17"/>
      <c r="I444" s="5" t="str">
        <f>IF(C444=0,"",IF(H444=0,"未记录生产日期",IFERROR(H444+IFERROR(VLOOKUP(C444,产品数据!$B:$F,5,FALSE),"未录入生产日期"),"未写入保质期")))</f>
        <v/>
      </c>
    </row>
    <row r="445" spans="1:9">
      <c r="A445" s="8">
        <f t="shared" si="44"/>
        <v>444</v>
      </c>
      <c r="B445" s="17"/>
      <c r="C445" s="16"/>
      <c r="D445" s="8" t="str">
        <f>IFERROR(VLOOKUP(C445,产品数据!$B:$D,2,FALSE),"")</f>
        <v/>
      </c>
      <c r="E445" s="8"/>
      <c r="F445" s="8" t="str">
        <f>IFERROR(VLOOKUP(C445,产品数据!$B:$D,3,FALSE),"")</f>
        <v/>
      </c>
      <c r="G445" s="8"/>
      <c r="H445" s="17"/>
      <c r="I445" s="5" t="str">
        <f>IF(C445=0,"",IF(H445=0,"未记录生产日期",IFERROR(H445+IFERROR(VLOOKUP(C445,产品数据!$B:$F,5,FALSE),"未录入生产日期"),"未写入保质期")))</f>
        <v/>
      </c>
    </row>
    <row r="446" spans="1:9">
      <c r="A446" s="8">
        <f t="shared" si="44"/>
        <v>445</v>
      </c>
      <c r="B446" s="17"/>
      <c r="C446" s="16"/>
      <c r="D446" s="8" t="str">
        <f>IFERROR(VLOOKUP(C446,产品数据!$B:$D,2,FALSE),"")</f>
        <v/>
      </c>
      <c r="E446" s="8"/>
      <c r="F446" s="8" t="str">
        <f>IFERROR(VLOOKUP(C446,产品数据!$B:$D,3,FALSE),"")</f>
        <v/>
      </c>
      <c r="G446" s="8"/>
      <c r="H446" s="17"/>
      <c r="I446" s="5" t="str">
        <f>IF(C446=0,"",IF(H446=0,"未记录生产日期",IFERROR(H446+IFERROR(VLOOKUP(C446,产品数据!$B:$F,5,FALSE),"未录入生产日期"),"未写入保质期")))</f>
        <v/>
      </c>
    </row>
    <row r="447" spans="1:9">
      <c r="A447" s="8">
        <f t="shared" si="44"/>
        <v>446</v>
      </c>
      <c r="B447" s="17"/>
      <c r="C447" s="16"/>
      <c r="D447" s="8" t="str">
        <f>IFERROR(VLOOKUP(C447,产品数据!$B:$D,2,FALSE),"")</f>
        <v/>
      </c>
      <c r="E447" s="8"/>
      <c r="F447" s="8" t="str">
        <f>IFERROR(VLOOKUP(C447,产品数据!$B:$D,3,FALSE),"")</f>
        <v/>
      </c>
      <c r="G447" s="8"/>
      <c r="H447" s="17"/>
      <c r="I447" s="5" t="str">
        <f>IF(C447=0,"",IF(H447=0,"未记录生产日期",IFERROR(H447+IFERROR(VLOOKUP(C447,产品数据!$B:$F,5,FALSE),"未录入生产日期"),"未写入保质期")))</f>
        <v/>
      </c>
    </row>
    <row r="448" spans="1:9">
      <c r="A448" s="8">
        <f t="shared" si="44"/>
        <v>447</v>
      </c>
      <c r="B448" s="17"/>
      <c r="C448" s="16"/>
      <c r="D448" s="8" t="str">
        <f>IFERROR(VLOOKUP(C448,产品数据!$B:$D,2,FALSE),"")</f>
        <v/>
      </c>
      <c r="E448" s="8"/>
      <c r="F448" s="8" t="str">
        <f>IFERROR(VLOOKUP(C448,产品数据!$B:$D,3,FALSE),"")</f>
        <v/>
      </c>
      <c r="G448" s="8"/>
      <c r="H448" s="17"/>
      <c r="I448" s="5" t="str">
        <f>IF(C448=0,"",IF(H448=0,"未记录生产日期",IFERROR(H448+IFERROR(VLOOKUP(C448,产品数据!$B:$F,5,FALSE),"未录入生产日期"),"未写入保质期")))</f>
        <v/>
      </c>
    </row>
    <row r="449" spans="1:9">
      <c r="A449" s="8">
        <f t="shared" si="44"/>
        <v>448</v>
      </c>
      <c r="B449" s="17"/>
      <c r="C449" s="16"/>
      <c r="D449" s="8" t="str">
        <f>IFERROR(VLOOKUP(C449,产品数据!$B:$D,2,FALSE),"")</f>
        <v/>
      </c>
      <c r="E449" s="8"/>
      <c r="F449" s="8" t="str">
        <f>IFERROR(VLOOKUP(C449,产品数据!$B:$D,3,FALSE),"")</f>
        <v/>
      </c>
      <c r="G449" s="8"/>
      <c r="H449" s="17"/>
      <c r="I449" s="5" t="str">
        <f>IF(C449=0,"",IF(H449=0,"未记录生产日期",IFERROR(H449+IFERROR(VLOOKUP(C449,产品数据!$B:$F,5,FALSE),"未录入生产日期"),"未写入保质期")))</f>
        <v/>
      </c>
    </row>
    <row r="450" spans="1:9">
      <c r="A450" s="8">
        <f t="shared" si="44"/>
        <v>449</v>
      </c>
      <c r="B450" s="17"/>
      <c r="C450" s="16"/>
      <c r="D450" s="8" t="str">
        <f>IFERROR(VLOOKUP(C450,产品数据!$B:$D,2,FALSE),"")</f>
        <v/>
      </c>
      <c r="E450" s="8"/>
      <c r="F450" s="8" t="str">
        <f>IFERROR(VLOOKUP(C450,产品数据!$B:$D,3,FALSE),"")</f>
        <v/>
      </c>
      <c r="G450" s="8"/>
      <c r="H450" s="17"/>
      <c r="I450" s="5" t="str">
        <f>IF(C450=0,"",IF(H450=0,"未记录生产日期",IFERROR(H450+IFERROR(VLOOKUP(C450,产品数据!$B:$F,5,FALSE),"未录入生产日期"),"未写入保质期")))</f>
        <v/>
      </c>
    </row>
    <row r="451" spans="1:9">
      <c r="A451" s="8">
        <f t="shared" ref="A451:A460" si="45">ROW()-1</f>
        <v>450</v>
      </c>
      <c r="B451" s="17"/>
      <c r="C451" s="16"/>
      <c r="D451" s="8" t="str">
        <f>IFERROR(VLOOKUP(C451,产品数据!$B:$D,2,FALSE),"")</f>
        <v/>
      </c>
      <c r="E451" s="8"/>
      <c r="F451" s="8" t="str">
        <f>IFERROR(VLOOKUP(C451,产品数据!$B:$D,3,FALSE),"")</f>
        <v/>
      </c>
      <c r="G451" s="8"/>
      <c r="H451" s="17"/>
      <c r="I451" s="5" t="str">
        <f>IF(C451=0,"",IF(H451=0,"未记录生产日期",IFERROR(H451+IFERROR(VLOOKUP(C451,产品数据!$B:$F,5,FALSE),"未录入生产日期"),"未写入保质期")))</f>
        <v/>
      </c>
    </row>
    <row r="452" spans="1:9">
      <c r="A452" s="8">
        <f t="shared" si="45"/>
        <v>451</v>
      </c>
      <c r="B452" s="17"/>
      <c r="C452" s="16"/>
      <c r="D452" s="8" t="str">
        <f>IFERROR(VLOOKUP(C452,产品数据!$B:$D,2,FALSE),"")</f>
        <v/>
      </c>
      <c r="E452" s="8"/>
      <c r="F452" s="8" t="str">
        <f>IFERROR(VLOOKUP(C452,产品数据!$B:$D,3,FALSE),"")</f>
        <v/>
      </c>
      <c r="G452" s="8"/>
      <c r="H452" s="17"/>
      <c r="I452" s="5" t="str">
        <f>IF(C452=0,"",IF(H452=0,"未记录生产日期",IFERROR(H452+IFERROR(VLOOKUP(C452,产品数据!$B:$F,5,FALSE),"未录入生产日期"),"未写入保质期")))</f>
        <v/>
      </c>
    </row>
    <row r="453" spans="1:9">
      <c r="A453" s="8">
        <f t="shared" si="45"/>
        <v>452</v>
      </c>
      <c r="B453" s="17"/>
      <c r="C453" s="16"/>
      <c r="D453" s="8" t="str">
        <f>IFERROR(VLOOKUP(C453,产品数据!$B:$D,2,FALSE),"")</f>
        <v/>
      </c>
      <c r="E453" s="8"/>
      <c r="F453" s="8" t="str">
        <f>IFERROR(VLOOKUP(C453,产品数据!$B:$D,3,FALSE),"")</f>
        <v/>
      </c>
      <c r="G453" s="8"/>
      <c r="H453" s="17"/>
      <c r="I453" s="5" t="str">
        <f>IF(C453=0,"",IF(H453=0,"未记录生产日期",IFERROR(H453+IFERROR(VLOOKUP(C453,产品数据!$B:$F,5,FALSE),"未录入生产日期"),"未写入保质期")))</f>
        <v/>
      </c>
    </row>
    <row r="454" spans="1:9">
      <c r="A454" s="8">
        <f t="shared" si="45"/>
        <v>453</v>
      </c>
      <c r="B454" s="17"/>
      <c r="C454" s="16"/>
      <c r="D454" s="8" t="str">
        <f>IFERROR(VLOOKUP(C454,产品数据!$B:$D,2,FALSE),"")</f>
        <v/>
      </c>
      <c r="E454" s="8"/>
      <c r="F454" s="8" t="str">
        <f>IFERROR(VLOOKUP(C454,产品数据!$B:$D,3,FALSE),"")</f>
        <v/>
      </c>
      <c r="G454" s="8"/>
      <c r="H454" s="17"/>
      <c r="I454" s="5" t="str">
        <f>IF(C454=0,"",IF(H454=0,"未记录生产日期",IFERROR(H454+IFERROR(VLOOKUP(C454,产品数据!$B:$F,5,FALSE),"未录入生产日期"),"未写入保质期")))</f>
        <v/>
      </c>
    </row>
    <row r="455" spans="1:9">
      <c r="A455" s="8">
        <f t="shared" si="45"/>
        <v>454</v>
      </c>
      <c r="B455" s="17"/>
      <c r="C455" s="16"/>
      <c r="D455" s="8" t="str">
        <f>IFERROR(VLOOKUP(C455,产品数据!$B:$D,2,FALSE),"")</f>
        <v/>
      </c>
      <c r="E455" s="8"/>
      <c r="F455" s="8" t="str">
        <f>IFERROR(VLOOKUP(C455,产品数据!$B:$D,3,FALSE),"")</f>
        <v/>
      </c>
      <c r="G455" s="8"/>
      <c r="H455" s="17"/>
      <c r="I455" s="5" t="str">
        <f>IF(C455=0,"",IF(H455=0,"未记录生产日期",IFERROR(H455+IFERROR(VLOOKUP(C455,产品数据!$B:$F,5,FALSE),"未录入生产日期"),"未写入保质期")))</f>
        <v/>
      </c>
    </row>
    <row r="456" spans="1:9">
      <c r="A456" s="8">
        <f t="shared" si="45"/>
        <v>455</v>
      </c>
      <c r="B456" s="17"/>
      <c r="C456" s="16"/>
      <c r="D456" s="8" t="str">
        <f>IFERROR(VLOOKUP(C456,产品数据!$B:$D,2,FALSE),"")</f>
        <v/>
      </c>
      <c r="E456" s="8"/>
      <c r="F456" s="8" t="str">
        <f>IFERROR(VLOOKUP(C456,产品数据!$B:$D,3,FALSE),"")</f>
        <v/>
      </c>
      <c r="G456" s="8"/>
      <c r="H456" s="17"/>
      <c r="I456" s="5" t="str">
        <f>IF(C456=0,"",IF(H456=0,"未记录生产日期",IFERROR(H456+IFERROR(VLOOKUP(C456,产品数据!$B:$F,5,FALSE),"未录入生产日期"),"未写入保质期")))</f>
        <v/>
      </c>
    </row>
    <row r="457" spans="1:9">
      <c r="A457" s="8">
        <f t="shared" si="45"/>
        <v>456</v>
      </c>
      <c r="B457" s="17"/>
      <c r="C457" s="16"/>
      <c r="D457" s="8" t="str">
        <f>IFERROR(VLOOKUP(C457,产品数据!$B:$D,2,FALSE),"")</f>
        <v/>
      </c>
      <c r="E457" s="8"/>
      <c r="F457" s="8" t="str">
        <f>IFERROR(VLOOKUP(C457,产品数据!$B:$D,3,FALSE),"")</f>
        <v/>
      </c>
      <c r="G457" s="8"/>
      <c r="H457" s="17"/>
      <c r="I457" s="5" t="str">
        <f>IF(C457=0,"",IF(H457=0,"未记录生产日期",IFERROR(H457+IFERROR(VLOOKUP(C457,产品数据!$B:$F,5,FALSE),"未录入生产日期"),"未写入保质期")))</f>
        <v/>
      </c>
    </row>
    <row r="458" spans="1:9">
      <c r="A458" s="8">
        <f t="shared" si="45"/>
        <v>457</v>
      </c>
      <c r="B458" s="17"/>
      <c r="C458" s="16"/>
      <c r="D458" s="8" t="str">
        <f>IFERROR(VLOOKUP(C458,产品数据!$B:$D,2,FALSE),"")</f>
        <v/>
      </c>
      <c r="E458" s="8"/>
      <c r="F458" s="8" t="str">
        <f>IFERROR(VLOOKUP(C458,产品数据!$B:$D,3,FALSE),"")</f>
        <v/>
      </c>
      <c r="G458" s="8"/>
      <c r="H458" s="17"/>
      <c r="I458" s="5" t="str">
        <f>IF(C458=0,"",IF(H458=0,"未记录生产日期",IFERROR(H458+IFERROR(VLOOKUP(C458,产品数据!$B:$F,5,FALSE),"未录入生产日期"),"未写入保质期")))</f>
        <v/>
      </c>
    </row>
    <row r="459" spans="1:9">
      <c r="A459" s="8">
        <f t="shared" si="45"/>
        <v>458</v>
      </c>
      <c r="B459" s="17"/>
      <c r="C459" s="16"/>
      <c r="D459" s="8" t="str">
        <f>IFERROR(VLOOKUP(C459,产品数据!$B:$D,2,FALSE),"")</f>
        <v/>
      </c>
      <c r="E459" s="8"/>
      <c r="F459" s="8" t="str">
        <f>IFERROR(VLOOKUP(C459,产品数据!$B:$D,3,FALSE),"")</f>
        <v/>
      </c>
      <c r="G459" s="8"/>
      <c r="H459" s="17"/>
      <c r="I459" s="5" t="str">
        <f>IF(C459=0,"",IF(H459=0,"未记录生产日期",IFERROR(H459+IFERROR(VLOOKUP(C459,产品数据!$B:$F,5,FALSE),"未录入生产日期"),"未写入保质期")))</f>
        <v/>
      </c>
    </row>
    <row r="460" spans="1:9">
      <c r="A460" s="8">
        <f t="shared" si="45"/>
        <v>459</v>
      </c>
      <c r="B460" s="17"/>
      <c r="C460" s="16"/>
      <c r="D460" s="8" t="str">
        <f>IFERROR(VLOOKUP(C460,产品数据!$B:$D,2,FALSE),"")</f>
        <v/>
      </c>
      <c r="E460" s="8"/>
      <c r="F460" s="8" t="str">
        <f>IFERROR(VLOOKUP(C460,产品数据!$B:$D,3,FALSE),"")</f>
        <v/>
      </c>
      <c r="G460" s="8"/>
      <c r="H460" s="17"/>
      <c r="I460" s="5" t="str">
        <f>IF(C460=0,"",IF(H460=0,"未记录生产日期",IFERROR(H460+IFERROR(VLOOKUP(C460,产品数据!$B:$F,5,FALSE),"未录入生产日期"),"未写入保质期")))</f>
        <v/>
      </c>
    </row>
    <row r="461" spans="1:9">
      <c r="A461" s="8">
        <f t="shared" ref="A461:A470" si="46">ROW()-1</f>
        <v>460</v>
      </c>
      <c r="B461" s="17"/>
      <c r="C461" s="16"/>
      <c r="D461" s="8" t="str">
        <f>IFERROR(VLOOKUP(C461,产品数据!$B:$D,2,FALSE),"")</f>
        <v/>
      </c>
      <c r="E461" s="8"/>
      <c r="F461" s="8" t="str">
        <f>IFERROR(VLOOKUP(C461,产品数据!$B:$D,3,FALSE),"")</f>
        <v/>
      </c>
      <c r="G461" s="8"/>
      <c r="H461" s="17"/>
      <c r="I461" s="5" t="str">
        <f>IF(C461=0,"",IF(H461=0,"未记录生产日期",IFERROR(H461+IFERROR(VLOOKUP(C461,产品数据!$B:$F,5,FALSE),"未录入生产日期"),"未写入保质期")))</f>
        <v/>
      </c>
    </row>
    <row r="462" spans="1:9">
      <c r="A462" s="8">
        <f t="shared" si="46"/>
        <v>461</v>
      </c>
      <c r="B462" s="17"/>
      <c r="C462" s="16"/>
      <c r="D462" s="8" t="str">
        <f>IFERROR(VLOOKUP(C462,产品数据!$B:$D,2,FALSE),"")</f>
        <v/>
      </c>
      <c r="E462" s="8"/>
      <c r="F462" s="8" t="str">
        <f>IFERROR(VLOOKUP(C462,产品数据!$B:$D,3,FALSE),"")</f>
        <v/>
      </c>
      <c r="G462" s="8"/>
      <c r="H462" s="17"/>
      <c r="I462" s="5" t="str">
        <f>IF(C462=0,"",IF(H462=0,"未记录生产日期",IFERROR(H462+IFERROR(VLOOKUP(C462,产品数据!$B:$F,5,FALSE),"未录入生产日期"),"未写入保质期")))</f>
        <v/>
      </c>
    </row>
    <row r="463" spans="1:9">
      <c r="A463" s="8">
        <f t="shared" si="46"/>
        <v>462</v>
      </c>
      <c r="B463" s="17"/>
      <c r="C463" s="16"/>
      <c r="D463" s="8" t="str">
        <f>IFERROR(VLOOKUP(C463,产品数据!$B:$D,2,FALSE),"")</f>
        <v/>
      </c>
      <c r="E463" s="8"/>
      <c r="F463" s="8" t="str">
        <f>IFERROR(VLOOKUP(C463,产品数据!$B:$D,3,FALSE),"")</f>
        <v/>
      </c>
      <c r="G463" s="8"/>
      <c r="H463" s="17"/>
      <c r="I463" s="5" t="str">
        <f>IF(C463=0,"",IF(H463=0,"未记录生产日期",IFERROR(H463+IFERROR(VLOOKUP(C463,产品数据!$B:$F,5,FALSE),"未录入生产日期"),"未写入保质期")))</f>
        <v/>
      </c>
    </row>
    <row r="464" spans="1:9">
      <c r="A464" s="8">
        <f t="shared" si="46"/>
        <v>463</v>
      </c>
      <c r="B464" s="17"/>
      <c r="C464" s="16"/>
      <c r="D464" s="8" t="str">
        <f>IFERROR(VLOOKUP(C464,产品数据!$B:$D,2,FALSE),"")</f>
        <v/>
      </c>
      <c r="E464" s="8"/>
      <c r="F464" s="8" t="str">
        <f>IFERROR(VLOOKUP(C464,产品数据!$B:$D,3,FALSE),"")</f>
        <v/>
      </c>
      <c r="G464" s="8"/>
      <c r="H464" s="17"/>
      <c r="I464" s="5" t="str">
        <f>IF(C464=0,"",IF(H464=0,"未记录生产日期",IFERROR(H464+IFERROR(VLOOKUP(C464,产品数据!$B:$F,5,FALSE),"未录入生产日期"),"未写入保质期")))</f>
        <v/>
      </c>
    </row>
    <row r="465" spans="1:9">
      <c r="A465" s="8">
        <f t="shared" si="46"/>
        <v>464</v>
      </c>
      <c r="B465" s="17"/>
      <c r="C465" s="16"/>
      <c r="D465" s="8" t="str">
        <f>IFERROR(VLOOKUP(C465,产品数据!$B:$D,2,FALSE),"")</f>
        <v/>
      </c>
      <c r="E465" s="8"/>
      <c r="F465" s="8" t="str">
        <f>IFERROR(VLOOKUP(C465,产品数据!$B:$D,3,FALSE),"")</f>
        <v/>
      </c>
      <c r="G465" s="8"/>
      <c r="H465" s="17"/>
      <c r="I465" s="5" t="str">
        <f>IF(C465=0,"",IF(H465=0,"未记录生产日期",IFERROR(H465+IFERROR(VLOOKUP(C465,产品数据!$B:$F,5,FALSE),"未录入生产日期"),"未写入保质期")))</f>
        <v/>
      </c>
    </row>
    <row r="466" spans="1:9">
      <c r="A466" s="8">
        <f t="shared" si="46"/>
        <v>465</v>
      </c>
      <c r="B466" s="17"/>
      <c r="C466" s="16"/>
      <c r="D466" s="8" t="str">
        <f>IFERROR(VLOOKUP(C466,产品数据!$B:$D,2,FALSE),"")</f>
        <v/>
      </c>
      <c r="E466" s="8"/>
      <c r="F466" s="8" t="str">
        <f>IFERROR(VLOOKUP(C466,产品数据!$B:$D,3,FALSE),"")</f>
        <v/>
      </c>
      <c r="G466" s="8"/>
      <c r="H466" s="17"/>
      <c r="I466" s="5" t="str">
        <f>IF(C466=0,"",IF(H466=0,"未记录生产日期",IFERROR(H466+IFERROR(VLOOKUP(C466,产品数据!$B:$F,5,FALSE),"未录入生产日期"),"未写入保质期")))</f>
        <v/>
      </c>
    </row>
    <row r="467" spans="1:9">
      <c r="A467" s="8">
        <f t="shared" si="46"/>
        <v>466</v>
      </c>
      <c r="B467" s="17"/>
      <c r="C467" s="16"/>
      <c r="D467" s="8" t="str">
        <f>IFERROR(VLOOKUP(C467,产品数据!$B:$D,2,FALSE),"")</f>
        <v/>
      </c>
      <c r="E467" s="8"/>
      <c r="F467" s="8" t="str">
        <f>IFERROR(VLOOKUP(C467,产品数据!$B:$D,3,FALSE),"")</f>
        <v/>
      </c>
      <c r="G467" s="8"/>
      <c r="H467" s="17"/>
      <c r="I467" s="5" t="str">
        <f>IF(C467=0,"",IF(H467=0,"未记录生产日期",IFERROR(H467+IFERROR(VLOOKUP(C467,产品数据!$B:$F,5,FALSE),"未录入生产日期"),"未写入保质期")))</f>
        <v/>
      </c>
    </row>
    <row r="468" spans="1:9">
      <c r="A468" s="8">
        <f t="shared" si="46"/>
        <v>467</v>
      </c>
      <c r="B468" s="17"/>
      <c r="C468" s="16"/>
      <c r="D468" s="8" t="str">
        <f>IFERROR(VLOOKUP(C468,产品数据!$B:$D,2,FALSE),"")</f>
        <v/>
      </c>
      <c r="E468" s="8"/>
      <c r="F468" s="8" t="str">
        <f>IFERROR(VLOOKUP(C468,产品数据!$B:$D,3,FALSE),"")</f>
        <v/>
      </c>
      <c r="G468" s="8"/>
      <c r="H468" s="17"/>
      <c r="I468" s="5" t="str">
        <f>IF(C468=0,"",IF(H468=0,"未记录生产日期",IFERROR(H468+IFERROR(VLOOKUP(C468,产品数据!$B:$F,5,FALSE),"未录入生产日期"),"未写入保质期")))</f>
        <v/>
      </c>
    </row>
    <row r="469" spans="1:9">
      <c r="A469" s="8">
        <f t="shared" si="46"/>
        <v>468</v>
      </c>
      <c r="B469" s="17"/>
      <c r="C469" s="16"/>
      <c r="D469" s="8" t="str">
        <f>IFERROR(VLOOKUP(C469,产品数据!$B:$D,2,FALSE),"")</f>
        <v/>
      </c>
      <c r="E469" s="8"/>
      <c r="F469" s="8" t="str">
        <f>IFERROR(VLOOKUP(C469,产品数据!$B:$D,3,FALSE),"")</f>
        <v/>
      </c>
      <c r="G469" s="8"/>
      <c r="H469" s="17"/>
      <c r="I469" s="5" t="str">
        <f>IF(C469=0,"",IF(H469=0,"未记录生产日期",IFERROR(H469+IFERROR(VLOOKUP(C469,产品数据!$B:$F,5,FALSE),"未录入生产日期"),"未写入保质期")))</f>
        <v/>
      </c>
    </row>
    <row r="470" spans="1:9">
      <c r="A470" s="8">
        <f t="shared" si="46"/>
        <v>469</v>
      </c>
      <c r="B470" s="17"/>
      <c r="C470" s="16"/>
      <c r="D470" s="8" t="str">
        <f>IFERROR(VLOOKUP(C470,产品数据!$B:$D,2,FALSE),"")</f>
        <v/>
      </c>
      <c r="E470" s="8"/>
      <c r="F470" s="8" t="str">
        <f>IFERROR(VLOOKUP(C470,产品数据!$B:$D,3,FALSE),"")</f>
        <v/>
      </c>
      <c r="G470" s="8"/>
      <c r="H470" s="17"/>
      <c r="I470" s="5" t="str">
        <f>IF(C470=0,"",IF(H470=0,"未记录生产日期",IFERROR(H470+IFERROR(VLOOKUP(C470,产品数据!$B:$F,5,FALSE),"未录入生产日期"),"未写入保质期")))</f>
        <v/>
      </c>
    </row>
    <row r="471" spans="1:9">
      <c r="A471" s="8">
        <f t="shared" ref="A471:A480" si="47">ROW()-1</f>
        <v>470</v>
      </c>
      <c r="B471" s="17"/>
      <c r="C471" s="16"/>
      <c r="D471" s="8" t="str">
        <f>IFERROR(VLOOKUP(C471,产品数据!$B:$D,2,FALSE),"")</f>
        <v/>
      </c>
      <c r="E471" s="8"/>
      <c r="F471" s="8" t="str">
        <f>IFERROR(VLOOKUP(C471,产品数据!$B:$D,3,FALSE),"")</f>
        <v/>
      </c>
      <c r="G471" s="8"/>
      <c r="H471" s="17"/>
      <c r="I471" s="5" t="str">
        <f>IF(C471=0,"",IF(H471=0,"未记录生产日期",IFERROR(H471+IFERROR(VLOOKUP(C471,产品数据!$B:$F,5,FALSE),"未录入生产日期"),"未写入保质期")))</f>
        <v/>
      </c>
    </row>
    <row r="472" spans="1:9">
      <c r="A472" s="8">
        <f t="shared" si="47"/>
        <v>471</v>
      </c>
      <c r="B472" s="17"/>
      <c r="C472" s="16"/>
      <c r="D472" s="8" t="str">
        <f>IFERROR(VLOOKUP(C472,产品数据!$B:$D,2,FALSE),"")</f>
        <v/>
      </c>
      <c r="E472" s="8"/>
      <c r="F472" s="8" t="str">
        <f>IFERROR(VLOOKUP(C472,产品数据!$B:$D,3,FALSE),"")</f>
        <v/>
      </c>
      <c r="G472" s="8"/>
      <c r="H472" s="17"/>
      <c r="I472" s="5" t="str">
        <f>IF(C472=0,"",IF(H472=0,"未记录生产日期",IFERROR(H472+IFERROR(VLOOKUP(C472,产品数据!$B:$F,5,FALSE),"未录入生产日期"),"未写入保质期")))</f>
        <v/>
      </c>
    </row>
    <row r="473" spans="1:9">
      <c r="A473" s="8">
        <f t="shared" si="47"/>
        <v>472</v>
      </c>
      <c r="B473" s="17"/>
      <c r="C473" s="16"/>
      <c r="D473" s="8" t="str">
        <f>IFERROR(VLOOKUP(C473,产品数据!$B:$D,2,FALSE),"")</f>
        <v/>
      </c>
      <c r="E473" s="8"/>
      <c r="F473" s="8" t="str">
        <f>IFERROR(VLOOKUP(C473,产品数据!$B:$D,3,FALSE),"")</f>
        <v/>
      </c>
      <c r="G473" s="8"/>
      <c r="H473" s="17"/>
      <c r="I473" s="5" t="str">
        <f>IF(C473=0,"",IF(H473=0,"未记录生产日期",IFERROR(H473+IFERROR(VLOOKUP(C473,产品数据!$B:$F,5,FALSE),"未录入生产日期"),"未写入保质期")))</f>
        <v/>
      </c>
    </row>
    <row r="474" spans="1:9">
      <c r="A474" s="8">
        <f t="shared" si="47"/>
        <v>473</v>
      </c>
      <c r="B474" s="17"/>
      <c r="C474" s="16"/>
      <c r="D474" s="8" t="str">
        <f>IFERROR(VLOOKUP(C474,产品数据!$B:$D,2,FALSE),"")</f>
        <v/>
      </c>
      <c r="E474" s="8"/>
      <c r="F474" s="8" t="str">
        <f>IFERROR(VLOOKUP(C474,产品数据!$B:$D,3,FALSE),"")</f>
        <v/>
      </c>
      <c r="G474" s="8"/>
      <c r="H474" s="17"/>
      <c r="I474" s="5" t="str">
        <f>IF(C474=0,"",IF(H474=0,"未记录生产日期",IFERROR(H474+IFERROR(VLOOKUP(C474,产品数据!$B:$F,5,FALSE),"未录入生产日期"),"未写入保质期")))</f>
        <v/>
      </c>
    </row>
    <row r="475" spans="1:9">
      <c r="A475" s="8">
        <f t="shared" si="47"/>
        <v>474</v>
      </c>
      <c r="B475" s="17"/>
      <c r="C475" s="16"/>
      <c r="D475" s="8" t="str">
        <f>IFERROR(VLOOKUP(C475,产品数据!$B:$D,2,FALSE),"")</f>
        <v/>
      </c>
      <c r="E475" s="8"/>
      <c r="F475" s="8" t="str">
        <f>IFERROR(VLOOKUP(C475,产品数据!$B:$D,3,FALSE),"")</f>
        <v/>
      </c>
      <c r="G475" s="8"/>
      <c r="H475" s="17"/>
      <c r="I475" s="5" t="str">
        <f>IF(C475=0,"",IF(H475=0,"未记录生产日期",IFERROR(H475+IFERROR(VLOOKUP(C475,产品数据!$B:$F,5,FALSE),"未录入生产日期"),"未写入保质期")))</f>
        <v/>
      </c>
    </row>
    <row r="476" spans="1:9">
      <c r="A476" s="8">
        <f t="shared" si="47"/>
        <v>475</v>
      </c>
      <c r="B476" s="17"/>
      <c r="C476" s="16"/>
      <c r="D476" s="8" t="str">
        <f>IFERROR(VLOOKUP(C476,产品数据!$B:$D,2,FALSE),"")</f>
        <v/>
      </c>
      <c r="E476" s="8"/>
      <c r="F476" s="8" t="str">
        <f>IFERROR(VLOOKUP(C476,产品数据!$B:$D,3,FALSE),"")</f>
        <v/>
      </c>
      <c r="G476" s="8"/>
      <c r="H476" s="17"/>
      <c r="I476" s="5" t="str">
        <f>IF(C476=0,"",IF(H476=0,"未记录生产日期",IFERROR(H476+IFERROR(VLOOKUP(C476,产品数据!$B:$F,5,FALSE),"未录入生产日期"),"未写入保质期")))</f>
        <v/>
      </c>
    </row>
    <row r="477" spans="1:9">
      <c r="A477" s="8">
        <f t="shared" si="47"/>
        <v>476</v>
      </c>
      <c r="B477" s="17"/>
      <c r="C477" s="16"/>
      <c r="D477" s="8" t="str">
        <f>IFERROR(VLOOKUP(C477,产品数据!$B:$D,2,FALSE),"")</f>
        <v/>
      </c>
      <c r="E477" s="8"/>
      <c r="F477" s="8" t="str">
        <f>IFERROR(VLOOKUP(C477,产品数据!$B:$D,3,FALSE),"")</f>
        <v/>
      </c>
      <c r="G477" s="8"/>
      <c r="H477" s="17"/>
      <c r="I477" s="5" t="str">
        <f>IF(C477=0,"",IF(H477=0,"未记录生产日期",IFERROR(H477+IFERROR(VLOOKUP(C477,产品数据!$B:$F,5,FALSE),"未录入生产日期"),"未写入保质期")))</f>
        <v/>
      </c>
    </row>
    <row r="478" spans="1:9">
      <c r="A478" s="8">
        <f t="shared" si="47"/>
        <v>477</v>
      </c>
      <c r="B478" s="17"/>
      <c r="C478" s="16"/>
      <c r="D478" s="8" t="str">
        <f>IFERROR(VLOOKUP(C478,产品数据!$B:$D,2,FALSE),"")</f>
        <v/>
      </c>
      <c r="E478" s="8"/>
      <c r="F478" s="8" t="str">
        <f>IFERROR(VLOOKUP(C478,产品数据!$B:$D,3,FALSE),"")</f>
        <v/>
      </c>
      <c r="G478" s="8"/>
      <c r="H478" s="17"/>
      <c r="I478" s="5" t="str">
        <f>IF(C478=0,"",IF(H478=0,"未记录生产日期",IFERROR(H478+IFERROR(VLOOKUP(C478,产品数据!$B:$F,5,FALSE),"未录入生产日期"),"未写入保质期")))</f>
        <v/>
      </c>
    </row>
    <row r="479" spans="1:9">
      <c r="A479" s="8">
        <f t="shared" si="47"/>
        <v>478</v>
      </c>
      <c r="B479" s="17"/>
      <c r="C479" s="16"/>
      <c r="D479" s="8" t="str">
        <f>IFERROR(VLOOKUP(C479,产品数据!$B:$D,2,FALSE),"")</f>
        <v/>
      </c>
      <c r="E479" s="8"/>
      <c r="F479" s="8" t="str">
        <f>IFERROR(VLOOKUP(C479,产品数据!$B:$D,3,FALSE),"")</f>
        <v/>
      </c>
      <c r="G479" s="8"/>
      <c r="H479" s="17"/>
      <c r="I479" s="5" t="str">
        <f>IF(C479=0,"",IF(H479=0,"未记录生产日期",IFERROR(H479+IFERROR(VLOOKUP(C479,产品数据!$B:$F,5,FALSE),"未录入生产日期"),"未写入保质期")))</f>
        <v/>
      </c>
    </row>
    <row r="480" spans="1:9">
      <c r="A480" s="8">
        <f t="shared" si="47"/>
        <v>479</v>
      </c>
      <c r="B480" s="17"/>
      <c r="C480" s="16"/>
      <c r="D480" s="8" t="str">
        <f>IFERROR(VLOOKUP(C480,产品数据!$B:$D,2,FALSE),"")</f>
        <v/>
      </c>
      <c r="E480" s="8"/>
      <c r="F480" s="8" t="str">
        <f>IFERROR(VLOOKUP(C480,产品数据!$B:$D,3,FALSE),"")</f>
        <v/>
      </c>
      <c r="G480" s="8"/>
      <c r="H480" s="17"/>
      <c r="I480" s="5" t="str">
        <f>IF(C480=0,"",IF(H480=0,"未记录生产日期",IFERROR(H480+IFERROR(VLOOKUP(C480,产品数据!$B:$F,5,FALSE),"未录入生产日期"),"未写入保质期")))</f>
        <v/>
      </c>
    </row>
    <row r="481" spans="1:9">
      <c r="A481" s="8">
        <f t="shared" ref="A481:A490" si="48">ROW()-1</f>
        <v>480</v>
      </c>
      <c r="B481" s="17"/>
      <c r="C481" s="16"/>
      <c r="D481" s="8" t="str">
        <f>IFERROR(VLOOKUP(C481,产品数据!$B:$D,2,FALSE),"")</f>
        <v/>
      </c>
      <c r="E481" s="8"/>
      <c r="F481" s="8" t="str">
        <f>IFERROR(VLOOKUP(C481,产品数据!$B:$D,3,FALSE),"")</f>
        <v/>
      </c>
      <c r="G481" s="8"/>
      <c r="H481" s="17"/>
      <c r="I481" s="5" t="str">
        <f>IF(C481=0,"",IF(H481=0,"未记录生产日期",IFERROR(H481+IFERROR(VLOOKUP(C481,产品数据!$B:$F,5,FALSE),"未录入生产日期"),"未写入保质期")))</f>
        <v/>
      </c>
    </row>
    <row r="482" spans="1:9">
      <c r="A482" s="8">
        <f t="shared" si="48"/>
        <v>481</v>
      </c>
      <c r="B482" s="17"/>
      <c r="C482" s="16"/>
      <c r="D482" s="8" t="str">
        <f>IFERROR(VLOOKUP(C482,产品数据!$B:$D,2,FALSE),"")</f>
        <v/>
      </c>
      <c r="E482" s="8"/>
      <c r="F482" s="8" t="str">
        <f>IFERROR(VLOOKUP(C482,产品数据!$B:$D,3,FALSE),"")</f>
        <v/>
      </c>
      <c r="G482" s="8"/>
      <c r="H482" s="17"/>
      <c r="I482" s="5" t="str">
        <f>IF(C482=0,"",IF(H482=0,"未记录生产日期",IFERROR(H482+IFERROR(VLOOKUP(C482,产品数据!$B:$F,5,FALSE),"未录入生产日期"),"未写入保质期")))</f>
        <v/>
      </c>
    </row>
    <row r="483" spans="1:9">
      <c r="A483" s="8">
        <f t="shared" si="48"/>
        <v>482</v>
      </c>
      <c r="B483" s="17"/>
      <c r="C483" s="16"/>
      <c r="D483" s="8" t="str">
        <f>IFERROR(VLOOKUP(C483,产品数据!$B:$D,2,FALSE),"")</f>
        <v/>
      </c>
      <c r="E483" s="8"/>
      <c r="F483" s="8" t="str">
        <f>IFERROR(VLOOKUP(C483,产品数据!$B:$D,3,FALSE),"")</f>
        <v/>
      </c>
      <c r="G483" s="8"/>
      <c r="H483" s="17"/>
      <c r="I483" s="5" t="str">
        <f>IF(C483=0,"",IF(H483=0,"未记录生产日期",IFERROR(H483+IFERROR(VLOOKUP(C483,产品数据!$B:$F,5,FALSE),"未录入生产日期"),"未写入保质期")))</f>
        <v/>
      </c>
    </row>
    <row r="484" spans="1:9">
      <c r="A484" s="8">
        <f t="shared" si="48"/>
        <v>483</v>
      </c>
      <c r="B484" s="17"/>
      <c r="C484" s="16"/>
      <c r="D484" s="8" t="str">
        <f>IFERROR(VLOOKUP(C484,产品数据!$B:$D,2,FALSE),"")</f>
        <v/>
      </c>
      <c r="E484" s="8"/>
      <c r="F484" s="8" t="str">
        <f>IFERROR(VLOOKUP(C484,产品数据!$B:$D,3,FALSE),"")</f>
        <v/>
      </c>
      <c r="G484" s="8"/>
      <c r="H484" s="17"/>
      <c r="I484" s="5" t="str">
        <f>IF(C484=0,"",IF(H484=0,"未记录生产日期",IFERROR(H484+IFERROR(VLOOKUP(C484,产品数据!$B:$F,5,FALSE),"未录入生产日期"),"未写入保质期")))</f>
        <v/>
      </c>
    </row>
    <row r="485" spans="1:9">
      <c r="A485" s="8">
        <f t="shared" si="48"/>
        <v>484</v>
      </c>
      <c r="B485" s="17"/>
      <c r="C485" s="16"/>
      <c r="D485" s="8" t="str">
        <f>IFERROR(VLOOKUP(C485,产品数据!$B:$D,2,FALSE),"")</f>
        <v/>
      </c>
      <c r="E485" s="8"/>
      <c r="F485" s="8" t="str">
        <f>IFERROR(VLOOKUP(C485,产品数据!$B:$D,3,FALSE),"")</f>
        <v/>
      </c>
      <c r="G485" s="8"/>
      <c r="H485" s="17"/>
      <c r="I485" s="5" t="str">
        <f>IF(C485=0,"",IF(H485=0,"未记录生产日期",IFERROR(H485+IFERROR(VLOOKUP(C485,产品数据!$B:$F,5,FALSE),"未录入生产日期"),"未写入保质期")))</f>
        <v/>
      </c>
    </row>
    <row r="486" spans="1:9">
      <c r="A486" s="8">
        <f t="shared" si="48"/>
        <v>485</v>
      </c>
      <c r="B486" s="17"/>
      <c r="C486" s="16"/>
      <c r="D486" s="8" t="str">
        <f>IFERROR(VLOOKUP(C486,产品数据!$B:$D,2,FALSE),"")</f>
        <v/>
      </c>
      <c r="E486" s="8"/>
      <c r="F486" s="8" t="str">
        <f>IFERROR(VLOOKUP(C486,产品数据!$B:$D,3,FALSE),"")</f>
        <v/>
      </c>
      <c r="G486" s="8"/>
      <c r="H486" s="17"/>
      <c r="I486" s="5" t="str">
        <f>IF(C486=0,"",IF(H486=0,"未记录生产日期",IFERROR(H486+IFERROR(VLOOKUP(C486,产品数据!$B:$F,5,FALSE),"未录入生产日期"),"未写入保质期")))</f>
        <v/>
      </c>
    </row>
    <row r="487" spans="1:9">
      <c r="A487" s="8">
        <f t="shared" si="48"/>
        <v>486</v>
      </c>
      <c r="B487" s="17"/>
      <c r="C487" s="16"/>
      <c r="D487" s="8" t="str">
        <f>IFERROR(VLOOKUP(C487,产品数据!$B:$D,2,FALSE),"")</f>
        <v/>
      </c>
      <c r="E487" s="8"/>
      <c r="F487" s="8" t="str">
        <f>IFERROR(VLOOKUP(C487,产品数据!$B:$D,3,FALSE),"")</f>
        <v/>
      </c>
      <c r="G487" s="8"/>
      <c r="H487" s="17"/>
      <c r="I487" s="5" t="str">
        <f>IF(C487=0,"",IF(H487=0,"未记录生产日期",IFERROR(H487+IFERROR(VLOOKUP(C487,产品数据!$B:$F,5,FALSE),"未录入生产日期"),"未写入保质期")))</f>
        <v/>
      </c>
    </row>
    <row r="488" spans="1:9">
      <c r="A488" s="8">
        <f t="shared" si="48"/>
        <v>487</v>
      </c>
      <c r="B488" s="17"/>
      <c r="C488" s="16"/>
      <c r="D488" s="8" t="str">
        <f>IFERROR(VLOOKUP(C488,产品数据!$B:$D,2,FALSE),"")</f>
        <v/>
      </c>
      <c r="E488" s="8"/>
      <c r="F488" s="8" t="str">
        <f>IFERROR(VLOOKUP(C488,产品数据!$B:$D,3,FALSE),"")</f>
        <v/>
      </c>
      <c r="G488" s="8"/>
      <c r="H488" s="17"/>
      <c r="I488" s="5" t="str">
        <f>IF(C488=0,"",IF(H488=0,"未记录生产日期",IFERROR(H488+IFERROR(VLOOKUP(C488,产品数据!$B:$F,5,FALSE),"未录入生产日期"),"未写入保质期")))</f>
        <v/>
      </c>
    </row>
    <row r="489" spans="1:9">
      <c r="A489" s="8">
        <f t="shared" si="48"/>
        <v>488</v>
      </c>
      <c r="B489" s="17"/>
      <c r="C489" s="16"/>
      <c r="D489" s="8" t="str">
        <f>IFERROR(VLOOKUP(C489,产品数据!$B:$D,2,FALSE),"")</f>
        <v/>
      </c>
      <c r="E489" s="8"/>
      <c r="F489" s="8" t="str">
        <f>IFERROR(VLOOKUP(C489,产品数据!$B:$D,3,FALSE),"")</f>
        <v/>
      </c>
      <c r="G489" s="8"/>
      <c r="H489" s="17"/>
      <c r="I489" s="5" t="str">
        <f>IF(C489=0,"",IF(H489=0,"未记录生产日期",IFERROR(H489+IFERROR(VLOOKUP(C489,产品数据!$B:$F,5,FALSE),"未录入生产日期"),"未写入保质期")))</f>
        <v/>
      </c>
    </row>
    <row r="490" spans="1:9">
      <c r="A490" s="8">
        <f t="shared" si="48"/>
        <v>489</v>
      </c>
      <c r="B490" s="17"/>
      <c r="C490" s="16"/>
      <c r="D490" s="8" t="str">
        <f>IFERROR(VLOOKUP(C490,产品数据!$B:$D,2,FALSE),"")</f>
        <v/>
      </c>
      <c r="E490" s="8"/>
      <c r="F490" s="8" t="str">
        <f>IFERROR(VLOOKUP(C490,产品数据!$B:$D,3,FALSE),"")</f>
        <v/>
      </c>
      <c r="G490" s="8"/>
      <c r="H490" s="17"/>
      <c r="I490" s="5" t="str">
        <f>IF(C490=0,"",IF(H490=0,"未记录生产日期",IFERROR(H490+IFERROR(VLOOKUP(C490,产品数据!$B:$F,5,FALSE),"未录入生产日期"),"未写入保质期")))</f>
        <v/>
      </c>
    </row>
    <row r="491" spans="1:9">
      <c r="A491" s="8">
        <f t="shared" ref="A491:A500" si="49">ROW()-1</f>
        <v>490</v>
      </c>
      <c r="B491" s="17"/>
      <c r="C491" s="16"/>
      <c r="D491" s="8" t="str">
        <f>IFERROR(VLOOKUP(C491,产品数据!$B:$D,2,FALSE),"")</f>
        <v/>
      </c>
      <c r="E491" s="8"/>
      <c r="F491" s="8" t="str">
        <f>IFERROR(VLOOKUP(C491,产品数据!$B:$D,3,FALSE),"")</f>
        <v/>
      </c>
      <c r="G491" s="8"/>
      <c r="H491" s="17"/>
      <c r="I491" s="5" t="str">
        <f>IF(C491=0,"",IF(H491=0,"未记录生产日期",IFERROR(H491+IFERROR(VLOOKUP(C491,产品数据!$B:$F,5,FALSE),"未录入生产日期"),"未写入保质期")))</f>
        <v/>
      </c>
    </row>
    <row r="492" spans="1:9">
      <c r="A492" s="8">
        <f t="shared" si="49"/>
        <v>491</v>
      </c>
      <c r="B492" s="17"/>
      <c r="C492" s="16"/>
      <c r="D492" s="8" t="str">
        <f>IFERROR(VLOOKUP(C492,产品数据!$B:$D,2,FALSE),"")</f>
        <v/>
      </c>
      <c r="E492" s="8"/>
      <c r="F492" s="8" t="str">
        <f>IFERROR(VLOOKUP(C492,产品数据!$B:$D,3,FALSE),"")</f>
        <v/>
      </c>
      <c r="G492" s="8"/>
      <c r="H492" s="17"/>
      <c r="I492" s="5" t="str">
        <f>IF(C492=0,"",IF(H492=0,"未记录生产日期",IFERROR(H492+IFERROR(VLOOKUP(C492,产品数据!$B:$F,5,FALSE),"未录入生产日期"),"未写入保质期")))</f>
        <v/>
      </c>
    </row>
    <row r="493" spans="1:9">
      <c r="A493" s="8">
        <f t="shared" si="49"/>
        <v>492</v>
      </c>
      <c r="B493" s="17"/>
      <c r="C493" s="16"/>
      <c r="D493" s="8" t="str">
        <f>IFERROR(VLOOKUP(C493,产品数据!$B:$D,2,FALSE),"")</f>
        <v/>
      </c>
      <c r="E493" s="8"/>
      <c r="F493" s="8" t="str">
        <f>IFERROR(VLOOKUP(C493,产品数据!$B:$D,3,FALSE),"")</f>
        <v/>
      </c>
      <c r="G493" s="8"/>
      <c r="H493" s="17"/>
      <c r="I493" s="5" t="str">
        <f>IF(C493=0,"",IF(H493=0,"未记录生产日期",IFERROR(H493+IFERROR(VLOOKUP(C493,产品数据!$B:$F,5,FALSE),"未录入生产日期"),"未写入保质期")))</f>
        <v/>
      </c>
    </row>
    <row r="494" spans="1:9">
      <c r="A494" s="8">
        <f t="shared" si="49"/>
        <v>493</v>
      </c>
      <c r="B494" s="17"/>
      <c r="C494" s="16"/>
      <c r="D494" s="8" t="str">
        <f>IFERROR(VLOOKUP(C494,产品数据!$B:$D,2,FALSE),"")</f>
        <v/>
      </c>
      <c r="E494" s="8"/>
      <c r="F494" s="8" t="str">
        <f>IFERROR(VLOOKUP(C494,产品数据!$B:$D,3,FALSE),"")</f>
        <v/>
      </c>
      <c r="G494" s="8"/>
      <c r="H494" s="17"/>
      <c r="I494" s="5" t="str">
        <f>IF(C494=0,"",IF(H494=0,"未记录生产日期",IFERROR(H494+IFERROR(VLOOKUP(C494,产品数据!$B:$F,5,FALSE),"未录入生产日期"),"未写入保质期")))</f>
        <v/>
      </c>
    </row>
    <row r="495" spans="1:9">
      <c r="A495" s="8">
        <f t="shared" si="49"/>
        <v>494</v>
      </c>
      <c r="B495" s="17"/>
      <c r="C495" s="16"/>
      <c r="D495" s="8" t="str">
        <f>IFERROR(VLOOKUP(C495,产品数据!$B:$D,2,FALSE),"")</f>
        <v/>
      </c>
      <c r="E495" s="8"/>
      <c r="F495" s="8" t="str">
        <f>IFERROR(VLOOKUP(C495,产品数据!$B:$D,3,FALSE),"")</f>
        <v/>
      </c>
      <c r="G495" s="8"/>
      <c r="H495" s="17"/>
      <c r="I495" s="5" t="str">
        <f>IF(C495=0,"",IF(H495=0,"未记录生产日期",IFERROR(H495+IFERROR(VLOOKUP(C495,产品数据!$B:$F,5,FALSE),"未录入生产日期"),"未写入保质期")))</f>
        <v/>
      </c>
    </row>
    <row r="496" spans="1:9">
      <c r="A496" s="8">
        <f t="shared" si="49"/>
        <v>495</v>
      </c>
      <c r="B496" s="17"/>
      <c r="C496" s="16"/>
      <c r="D496" s="8" t="str">
        <f>IFERROR(VLOOKUP(C496,产品数据!$B:$D,2,FALSE),"")</f>
        <v/>
      </c>
      <c r="E496" s="8"/>
      <c r="F496" s="8" t="str">
        <f>IFERROR(VLOOKUP(C496,产品数据!$B:$D,3,FALSE),"")</f>
        <v/>
      </c>
      <c r="G496" s="8"/>
      <c r="H496" s="17"/>
      <c r="I496" s="5" t="str">
        <f>IF(C496=0,"",IF(H496=0,"未记录生产日期",IFERROR(H496+IFERROR(VLOOKUP(C496,产品数据!$B:$F,5,FALSE),"未录入生产日期"),"未写入保质期")))</f>
        <v/>
      </c>
    </row>
    <row r="497" spans="1:9">
      <c r="A497" s="8">
        <f t="shared" si="49"/>
        <v>496</v>
      </c>
      <c r="B497" s="17"/>
      <c r="C497" s="16"/>
      <c r="D497" s="8" t="str">
        <f>IFERROR(VLOOKUP(C497,产品数据!$B:$D,2,FALSE),"")</f>
        <v/>
      </c>
      <c r="E497" s="8"/>
      <c r="F497" s="8" t="str">
        <f>IFERROR(VLOOKUP(C497,产品数据!$B:$D,3,FALSE),"")</f>
        <v/>
      </c>
      <c r="G497" s="8"/>
      <c r="H497" s="17"/>
      <c r="I497" s="5" t="str">
        <f>IF(C497=0,"",IF(H497=0,"未记录生产日期",IFERROR(H497+IFERROR(VLOOKUP(C497,产品数据!$B:$F,5,FALSE),"未录入生产日期"),"未写入保质期")))</f>
        <v/>
      </c>
    </row>
    <row r="498" spans="1:9">
      <c r="A498" s="8">
        <f t="shared" si="49"/>
        <v>497</v>
      </c>
      <c r="B498" s="17"/>
      <c r="C498" s="16"/>
      <c r="D498" s="8" t="str">
        <f>IFERROR(VLOOKUP(C498,产品数据!$B:$D,2,FALSE),"")</f>
        <v/>
      </c>
      <c r="E498" s="8"/>
      <c r="F498" s="8" t="str">
        <f>IFERROR(VLOOKUP(C498,产品数据!$B:$D,3,FALSE),"")</f>
        <v/>
      </c>
      <c r="G498" s="8"/>
      <c r="H498" s="17"/>
      <c r="I498" s="5" t="str">
        <f>IF(C498=0,"",IF(H498=0,"未记录生产日期",IFERROR(H498+IFERROR(VLOOKUP(C498,产品数据!$B:$F,5,FALSE),"未录入生产日期"),"未写入保质期")))</f>
        <v/>
      </c>
    </row>
    <row r="499" spans="1:9">
      <c r="A499" s="8">
        <f t="shared" si="49"/>
        <v>498</v>
      </c>
      <c r="B499" s="17"/>
      <c r="C499" s="16"/>
      <c r="D499" s="8" t="str">
        <f>IFERROR(VLOOKUP(C499,产品数据!$B:$D,2,FALSE),"")</f>
        <v/>
      </c>
      <c r="E499" s="8"/>
      <c r="F499" s="8" t="str">
        <f>IFERROR(VLOOKUP(C499,产品数据!$B:$D,3,FALSE),"")</f>
        <v/>
      </c>
      <c r="G499" s="8"/>
      <c r="H499" s="17"/>
      <c r="I499" s="5" t="str">
        <f>IF(C499=0,"",IF(H499=0,"未记录生产日期",IFERROR(H499+IFERROR(VLOOKUP(C499,产品数据!$B:$F,5,FALSE),"未录入生产日期"),"未写入保质期")))</f>
        <v/>
      </c>
    </row>
    <row r="500" spans="1:9">
      <c r="A500" s="8">
        <f t="shared" si="49"/>
        <v>499</v>
      </c>
      <c r="B500" s="17"/>
      <c r="C500" s="16"/>
      <c r="D500" s="8" t="str">
        <f>IFERROR(VLOOKUP(C500,产品数据!$B:$D,2,FALSE),"")</f>
        <v/>
      </c>
      <c r="E500" s="8"/>
      <c r="F500" s="8" t="str">
        <f>IFERROR(VLOOKUP(C500,产品数据!$B:$D,3,FALSE),"")</f>
        <v/>
      </c>
      <c r="G500" s="8"/>
      <c r="H500" s="17"/>
      <c r="I500" s="5" t="str">
        <f>IF(C500=0,"",IF(H500=0,"未记录生产日期",IFERROR(H500+IFERROR(VLOOKUP(C500,产品数据!$B:$F,5,FALSE),"未录入生产日期"),"未写入保质期")))</f>
        <v/>
      </c>
    </row>
    <row r="501" spans="1:9">
      <c r="A501" s="8">
        <f t="shared" ref="A501:A510" si="50">ROW()-1</f>
        <v>500</v>
      </c>
      <c r="B501" s="17"/>
      <c r="C501" s="16"/>
      <c r="D501" s="8" t="str">
        <f>IFERROR(VLOOKUP(C501,产品数据!$B:$D,2,FALSE),"")</f>
        <v/>
      </c>
      <c r="E501" s="8"/>
      <c r="F501" s="8" t="str">
        <f>IFERROR(VLOOKUP(C501,产品数据!$B:$D,3,FALSE),"")</f>
        <v/>
      </c>
      <c r="G501" s="8"/>
      <c r="H501" s="17"/>
      <c r="I501" s="5" t="str">
        <f>IF(C501=0,"",IF(H501=0,"未记录生产日期",IFERROR(H501+IFERROR(VLOOKUP(C501,产品数据!$B:$F,5,FALSE),"未录入生产日期"),"未写入保质期")))</f>
        <v/>
      </c>
    </row>
    <row r="502" spans="1:9">
      <c r="A502" s="8">
        <f t="shared" si="50"/>
        <v>501</v>
      </c>
      <c r="B502" s="17"/>
      <c r="C502" s="16"/>
      <c r="D502" s="8" t="str">
        <f>IFERROR(VLOOKUP(C502,产品数据!$B:$D,2,FALSE),"")</f>
        <v/>
      </c>
      <c r="E502" s="8"/>
      <c r="F502" s="8" t="str">
        <f>IFERROR(VLOOKUP(C502,产品数据!$B:$D,3,FALSE),"")</f>
        <v/>
      </c>
      <c r="G502" s="8"/>
      <c r="H502" s="17"/>
      <c r="I502" s="5" t="str">
        <f>IF(C502=0,"",IF(H502=0,"未记录生产日期",IFERROR(H502+IFERROR(VLOOKUP(C502,产品数据!$B:$F,5,FALSE),"未录入生产日期"),"未写入保质期")))</f>
        <v/>
      </c>
    </row>
    <row r="503" spans="1:9">
      <c r="A503" s="8">
        <f t="shared" si="50"/>
        <v>502</v>
      </c>
      <c r="B503" s="17"/>
      <c r="C503" s="16"/>
      <c r="D503" s="8" t="str">
        <f>IFERROR(VLOOKUP(C503,产品数据!$B:$D,2,FALSE),"")</f>
        <v/>
      </c>
      <c r="E503" s="8"/>
      <c r="F503" s="8" t="str">
        <f>IFERROR(VLOOKUP(C503,产品数据!$B:$D,3,FALSE),"")</f>
        <v/>
      </c>
      <c r="G503" s="8"/>
      <c r="H503" s="17"/>
      <c r="I503" s="5" t="str">
        <f>IF(C503=0,"",IF(H503=0,"未记录生产日期",IFERROR(H503+IFERROR(VLOOKUP(C503,产品数据!$B:$F,5,FALSE),"未录入生产日期"),"未写入保质期")))</f>
        <v/>
      </c>
    </row>
    <row r="504" spans="1:9">
      <c r="A504" s="8">
        <f t="shared" si="50"/>
        <v>503</v>
      </c>
      <c r="B504" s="17"/>
      <c r="C504" s="16"/>
      <c r="D504" s="8" t="str">
        <f>IFERROR(VLOOKUP(C504,产品数据!$B:$D,2,FALSE),"")</f>
        <v/>
      </c>
      <c r="E504" s="8"/>
      <c r="F504" s="8" t="str">
        <f>IFERROR(VLOOKUP(C504,产品数据!$B:$D,3,FALSE),"")</f>
        <v/>
      </c>
      <c r="G504" s="8"/>
      <c r="H504" s="17"/>
      <c r="I504" s="5" t="str">
        <f>IF(C504=0,"",IF(H504=0,"未记录生产日期",IFERROR(H504+IFERROR(VLOOKUP(C504,产品数据!$B:$F,5,FALSE),"未录入生产日期"),"未写入保质期")))</f>
        <v/>
      </c>
    </row>
    <row r="505" spans="1:9">
      <c r="A505" s="8">
        <f t="shared" si="50"/>
        <v>504</v>
      </c>
      <c r="B505" s="17"/>
      <c r="C505" s="16"/>
      <c r="D505" s="8" t="str">
        <f>IFERROR(VLOOKUP(C505,产品数据!$B:$D,2,FALSE),"")</f>
        <v/>
      </c>
      <c r="E505" s="8"/>
      <c r="F505" s="8" t="str">
        <f>IFERROR(VLOOKUP(C505,产品数据!$B:$D,3,FALSE),"")</f>
        <v/>
      </c>
      <c r="G505" s="8"/>
      <c r="H505" s="17"/>
      <c r="I505" s="5" t="str">
        <f>IF(C505=0,"",IF(H505=0,"未记录生产日期",IFERROR(H505+IFERROR(VLOOKUP(C505,产品数据!$B:$F,5,FALSE),"未录入生产日期"),"未写入保质期")))</f>
        <v/>
      </c>
    </row>
    <row r="506" spans="1:9">
      <c r="A506" s="8">
        <f t="shared" si="50"/>
        <v>505</v>
      </c>
      <c r="B506" s="17"/>
      <c r="C506" s="16"/>
      <c r="D506" s="8" t="str">
        <f>IFERROR(VLOOKUP(C506,产品数据!$B:$D,2,FALSE),"")</f>
        <v/>
      </c>
      <c r="E506" s="8"/>
      <c r="F506" s="8" t="str">
        <f>IFERROR(VLOOKUP(C506,产品数据!$B:$D,3,FALSE),"")</f>
        <v/>
      </c>
      <c r="G506" s="8"/>
      <c r="H506" s="17"/>
      <c r="I506" s="5" t="str">
        <f>IF(C506=0,"",IF(H506=0,"未记录生产日期",IFERROR(H506+IFERROR(VLOOKUP(C506,产品数据!$B:$F,5,FALSE),"未录入生产日期"),"未写入保质期")))</f>
        <v/>
      </c>
    </row>
    <row r="507" spans="1:9">
      <c r="A507" s="8">
        <f t="shared" si="50"/>
        <v>506</v>
      </c>
      <c r="B507" s="17"/>
      <c r="C507" s="16"/>
      <c r="D507" s="8" t="str">
        <f>IFERROR(VLOOKUP(C507,产品数据!$B:$D,2,FALSE),"")</f>
        <v/>
      </c>
      <c r="E507" s="8"/>
      <c r="F507" s="8" t="str">
        <f>IFERROR(VLOOKUP(C507,产品数据!$B:$D,3,FALSE),"")</f>
        <v/>
      </c>
      <c r="G507" s="8"/>
      <c r="H507" s="17"/>
      <c r="I507" s="5" t="str">
        <f>IF(C507=0,"",IF(H507=0,"未记录生产日期",IFERROR(H507+IFERROR(VLOOKUP(C507,产品数据!$B:$F,5,FALSE),"未录入生产日期"),"未写入保质期")))</f>
        <v/>
      </c>
    </row>
    <row r="508" spans="1:9">
      <c r="A508" s="8">
        <f t="shared" si="50"/>
        <v>507</v>
      </c>
      <c r="B508" s="17"/>
      <c r="C508" s="16"/>
      <c r="D508" s="8" t="str">
        <f>IFERROR(VLOOKUP(C508,产品数据!$B:$D,2,FALSE),"")</f>
        <v/>
      </c>
      <c r="E508" s="8"/>
      <c r="F508" s="8" t="str">
        <f>IFERROR(VLOOKUP(C508,产品数据!$B:$D,3,FALSE),"")</f>
        <v/>
      </c>
      <c r="G508" s="8"/>
      <c r="H508" s="17"/>
      <c r="I508" s="5" t="str">
        <f>IF(C508=0,"",IF(H508=0,"未记录生产日期",IFERROR(H508+IFERROR(VLOOKUP(C508,产品数据!$B:$F,5,FALSE),"未录入生产日期"),"未写入保质期")))</f>
        <v/>
      </c>
    </row>
    <row r="509" spans="1:9">
      <c r="A509" s="8">
        <f t="shared" si="50"/>
        <v>508</v>
      </c>
      <c r="B509" s="17"/>
      <c r="C509" s="16"/>
      <c r="D509" s="8" t="str">
        <f>IFERROR(VLOOKUP(C509,产品数据!$B:$D,2,FALSE),"")</f>
        <v/>
      </c>
      <c r="E509" s="8"/>
      <c r="F509" s="8" t="str">
        <f>IFERROR(VLOOKUP(C509,产品数据!$B:$D,3,FALSE),"")</f>
        <v/>
      </c>
      <c r="G509" s="8"/>
      <c r="H509" s="17"/>
      <c r="I509" s="5" t="str">
        <f>IF(C509=0,"",IF(H509=0,"未记录生产日期",IFERROR(H509+IFERROR(VLOOKUP(C509,产品数据!$B:$F,5,FALSE),"未录入生产日期"),"未写入保质期")))</f>
        <v/>
      </c>
    </row>
    <row r="510" spans="1:9">
      <c r="A510" s="8">
        <f t="shared" si="50"/>
        <v>509</v>
      </c>
      <c r="B510" s="17"/>
      <c r="C510" s="16"/>
      <c r="D510" s="8" t="str">
        <f>IFERROR(VLOOKUP(C510,产品数据!$B:$D,2,FALSE),"")</f>
        <v/>
      </c>
      <c r="E510" s="8"/>
      <c r="F510" s="8" t="str">
        <f>IFERROR(VLOOKUP(C510,产品数据!$B:$D,3,FALSE),"")</f>
        <v/>
      </c>
      <c r="G510" s="8"/>
      <c r="H510" s="17"/>
      <c r="I510" s="5" t="str">
        <f>IF(C510=0,"",IF(H510=0,"未记录生产日期",IFERROR(H510+IFERROR(VLOOKUP(C510,产品数据!$B:$F,5,FALSE),"未录入生产日期"),"未写入保质期")))</f>
        <v/>
      </c>
    </row>
    <row r="511" spans="1:9">
      <c r="A511" s="8">
        <f t="shared" ref="A511:A520" si="51">ROW()-1</f>
        <v>510</v>
      </c>
      <c r="B511" s="17"/>
      <c r="C511" s="16"/>
      <c r="D511" s="8" t="str">
        <f>IFERROR(VLOOKUP(C511,产品数据!$B:$D,2,FALSE),"")</f>
        <v/>
      </c>
      <c r="E511" s="8"/>
      <c r="F511" s="8" t="str">
        <f>IFERROR(VLOOKUP(C511,产品数据!$B:$D,3,FALSE),"")</f>
        <v/>
      </c>
      <c r="G511" s="8"/>
      <c r="H511" s="17"/>
      <c r="I511" s="5" t="str">
        <f>IF(C511=0,"",IF(H511=0,"未记录生产日期",IFERROR(H511+IFERROR(VLOOKUP(C511,产品数据!$B:$F,5,FALSE),"未录入生产日期"),"未写入保质期")))</f>
        <v/>
      </c>
    </row>
    <row r="512" spans="1:9">
      <c r="A512" s="8">
        <f t="shared" si="51"/>
        <v>511</v>
      </c>
      <c r="B512" s="17"/>
      <c r="C512" s="16"/>
      <c r="D512" s="8" t="str">
        <f>IFERROR(VLOOKUP(C512,产品数据!$B:$D,2,FALSE),"")</f>
        <v/>
      </c>
      <c r="E512" s="8"/>
      <c r="F512" s="8" t="str">
        <f>IFERROR(VLOOKUP(C512,产品数据!$B:$D,3,FALSE),"")</f>
        <v/>
      </c>
      <c r="G512" s="8"/>
      <c r="H512" s="17"/>
      <c r="I512" s="5" t="str">
        <f>IF(C512=0,"",IF(H512=0,"未记录生产日期",IFERROR(H512+IFERROR(VLOOKUP(C512,产品数据!$B:$F,5,FALSE),"未录入生产日期"),"未写入保质期")))</f>
        <v/>
      </c>
    </row>
    <row r="513" spans="1:9">
      <c r="A513" s="8">
        <f t="shared" si="51"/>
        <v>512</v>
      </c>
      <c r="B513" s="17"/>
      <c r="C513" s="16"/>
      <c r="D513" s="8" t="str">
        <f>IFERROR(VLOOKUP(C513,产品数据!$B:$D,2,FALSE),"")</f>
        <v/>
      </c>
      <c r="E513" s="8"/>
      <c r="F513" s="8" t="str">
        <f>IFERROR(VLOOKUP(C513,产品数据!$B:$D,3,FALSE),"")</f>
        <v/>
      </c>
      <c r="G513" s="8"/>
      <c r="H513" s="17"/>
      <c r="I513" s="5" t="str">
        <f>IF(C513=0,"",IF(H513=0,"未记录生产日期",IFERROR(H513+IFERROR(VLOOKUP(C513,产品数据!$B:$F,5,FALSE),"未录入生产日期"),"未写入保质期")))</f>
        <v/>
      </c>
    </row>
    <row r="514" spans="1:9">
      <c r="A514" s="8">
        <f t="shared" si="51"/>
        <v>513</v>
      </c>
      <c r="B514" s="17"/>
      <c r="C514" s="16"/>
      <c r="D514" s="8" t="str">
        <f>IFERROR(VLOOKUP(C514,产品数据!$B:$D,2,FALSE),"")</f>
        <v/>
      </c>
      <c r="E514" s="8"/>
      <c r="F514" s="8" t="str">
        <f>IFERROR(VLOOKUP(C514,产品数据!$B:$D,3,FALSE),"")</f>
        <v/>
      </c>
      <c r="G514" s="8"/>
      <c r="H514" s="17"/>
      <c r="I514" s="5" t="str">
        <f>IF(C514=0,"",IF(H514=0,"未记录生产日期",IFERROR(H514+IFERROR(VLOOKUP(C514,产品数据!$B:$F,5,FALSE),"未录入生产日期"),"未写入保质期")))</f>
        <v/>
      </c>
    </row>
    <row r="515" spans="1:9">
      <c r="A515" s="8">
        <f t="shared" si="51"/>
        <v>514</v>
      </c>
      <c r="B515" s="17"/>
      <c r="C515" s="16"/>
      <c r="D515" s="8" t="str">
        <f>IFERROR(VLOOKUP(C515,产品数据!$B:$D,2,FALSE),"")</f>
        <v/>
      </c>
      <c r="E515" s="8"/>
      <c r="F515" s="8" t="str">
        <f>IFERROR(VLOOKUP(C515,产品数据!$B:$D,3,FALSE),"")</f>
        <v/>
      </c>
      <c r="G515" s="8"/>
      <c r="H515" s="17"/>
      <c r="I515" s="5" t="str">
        <f>IF(C515=0,"",IF(H515=0,"未记录生产日期",IFERROR(H515+IFERROR(VLOOKUP(C515,产品数据!$B:$F,5,FALSE),"未录入生产日期"),"未写入保质期")))</f>
        <v/>
      </c>
    </row>
    <row r="516" spans="1:9">
      <c r="A516" s="8">
        <f t="shared" si="51"/>
        <v>515</v>
      </c>
      <c r="B516" s="17"/>
      <c r="C516" s="16"/>
      <c r="D516" s="8" t="str">
        <f>IFERROR(VLOOKUP(C516,产品数据!$B:$D,2,FALSE),"")</f>
        <v/>
      </c>
      <c r="E516" s="8"/>
      <c r="F516" s="8" t="str">
        <f>IFERROR(VLOOKUP(C516,产品数据!$B:$D,3,FALSE),"")</f>
        <v/>
      </c>
      <c r="G516" s="8"/>
      <c r="H516" s="17"/>
      <c r="I516" s="5" t="str">
        <f>IF(C516=0,"",IF(H516=0,"未记录生产日期",IFERROR(H516+IFERROR(VLOOKUP(C516,产品数据!$B:$F,5,FALSE),"未录入生产日期"),"未写入保质期")))</f>
        <v/>
      </c>
    </row>
    <row r="517" spans="1:9">
      <c r="A517" s="8">
        <f t="shared" si="51"/>
        <v>516</v>
      </c>
      <c r="B517" s="17"/>
      <c r="C517" s="16"/>
      <c r="D517" s="8" t="str">
        <f>IFERROR(VLOOKUP(C517,产品数据!$B:$D,2,FALSE),"")</f>
        <v/>
      </c>
      <c r="E517" s="8"/>
      <c r="F517" s="8" t="str">
        <f>IFERROR(VLOOKUP(C517,产品数据!$B:$D,3,FALSE),"")</f>
        <v/>
      </c>
      <c r="G517" s="8"/>
      <c r="H517" s="17"/>
      <c r="I517" s="5" t="str">
        <f>IF(C517=0,"",IF(H517=0,"未记录生产日期",IFERROR(H517+IFERROR(VLOOKUP(C517,产品数据!$B:$F,5,FALSE),"未录入生产日期"),"未写入保质期")))</f>
        <v/>
      </c>
    </row>
    <row r="518" spans="1:9">
      <c r="A518" s="8">
        <f t="shared" si="51"/>
        <v>517</v>
      </c>
      <c r="B518" s="17"/>
      <c r="C518" s="16"/>
      <c r="D518" s="8" t="str">
        <f>IFERROR(VLOOKUP(C518,产品数据!$B:$D,2,FALSE),"")</f>
        <v/>
      </c>
      <c r="E518" s="8"/>
      <c r="F518" s="8" t="str">
        <f>IFERROR(VLOOKUP(C518,产品数据!$B:$D,3,FALSE),"")</f>
        <v/>
      </c>
      <c r="G518" s="8"/>
      <c r="H518" s="17"/>
      <c r="I518" s="5" t="str">
        <f>IF(C518=0,"",IF(H518=0,"未记录生产日期",IFERROR(H518+IFERROR(VLOOKUP(C518,产品数据!$B:$F,5,FALSE),"未录入生产日期"),"未写入保质期")))</f>
        <v/>
      </c>
    </row>
    <row r="519" spans="1:9">
      <c r="A519" s="8">
        <f t="shared" si="51"/>
        <v>518</v>
      </c>
      <c r="B519" s="17"/>
      <c r="C519" s="16"/>
      <c r="D519" s="8" t="str">
        <f>IFERROR(VLOOKUP(C519,产品数据!$B:$D,2,FALSE),"")</f>
        <v/>
      </c>
      <c r="E519" s="8"/>
      <c r="F519" s="8" t="str">
        <f>IFERROR(VLOOKUP(C519,产品数据!$B:$D,3,FALSE),"")</f>
        <v/>
      </c>
      <c r="G519" s="8"/>
      <c r="H519" s="17"/>
      <c r="I519" s="5" t="str">
        <f>IF(C519=0,"",IF(H519=0,"未记录生产日期",IFERROR(H519+IFERROR(VLOOKUP(C519,产品数据!$B:$F,5,FALSE),"未录入生产日期"),"未写入保质期")))</f>
        <v/>
      </c>
    </row>
    <row r="520" spans="1:9">
      <c r="A520" s="8">
        <f t="shared" si="51"/>
        <v>519</v>
      </c>
      <c r="B520" s="17"/>
      <c r="C520" s="16"/>
      <c r="D520" s="8" t="str">
        <f>IFERROR(VLOOKUP(C520,产品数据!$B:$D,2,FALSE),"")</f>
        <v/>
      </c>
      <c r="E520" s="8"/>
      <c r="F520" s="8" t="str">
        <f>IFERROR(VLOOKUP(C520,产品数据!$B:$D,3,FALSE),"")</f>
        <v/>
      </c>
      <c r="G520" s="8"/>
      <c r="H520" s="17"/>
      <c r="I520" s="5" t="str">
        <f>IF(C520=0,"",IF(H520=0,"未记录生产日期",IFERROR(H520+IFERROR(VLOOKUP(C520,产品数据!$B:$F,5,FALSE),"未录入生产日期"),"未写入保质期")))</f>
        <v/>
      </c>
    </row>
    <row r="521" spans="1:9">
      <c r="A521" s="8">
        <f t="shared" ref="A521:A530" si="52">ROW()-1</f>
        <v>520</v>
      </c>
      <c r="B521" s="17"/>
      <c r="C521" s="16"/>
      <c r="D521" s="8" t="str">
        <f>IFERROR(VLOOKUP(C521,产品数据!$B:$D,2,FALSE),"")</f>
        <v/>
      </c>
      <c r="E521" s="8"/>
      <c r="F521" s="8" t="str">
        <f>IFERROR(VLOOKUP(C521,产品数据!$B:$D,3,FALSE),"")</f>
        <v/>
      </c>
      <c r="G521" s="8"/>
      <c r="H521" s="17"/>
      <c r="I521" s="5" t="str">
        <f>IF(C521=0,"",IF(H521=0,"未记录生产日期",IFERROR(H521+IFERROR(VLOOKUP(C521,产品数据!$B:$F,5,FALSE),"未录入生产日期"),"未写入保质期")))</f>
        <v/>
      </c>
    </row>
    <row r="522" spans="1:9">
      <c r="A522" s="8">
        <f t="shared" si="52"/>
        <v>521</v>
      </c>
      <c r="B522" s="17"/>
      <c r="C522" s="16"/>
      <c r="D522" s="8" t="str">
        <f>IFERROR(VLOOKUP(C522,产品数据!$B:$D,2,FALSE),"")</f>
        <v/>
      </c>
      <c r="E522" s="8"/>
      <c r="F522" s="8" t="str">
        <f>IFERROR(VLOOKUP(C522,产品数据!$B:$D,3,FALSE),"")</f>
        <v/>
      </c>
      <c r="G522" s="8"/>
      <c r="H522" s="17"/>
      <c r="I522" s="5" t="str">
        <f>IF(C522=0,"",IF(H522=0,"未记录生产日期",IFERROR(H522+IFERROR(VLOOKUP(C522,产品数据!$B:$F,5,FALSE),"未录入生产日期"),"未写入保质期")))</f>
        <v/>
      </c>
    </row>
    <row r="523" spans="1:9">
      <c r="A523" s="8">
        <f t="shared" si="52"/>
        <v>522</v>
      </c>
      <c r="B523" s="17"/>
      <c r="C523" s="16"/>
      <c r="D523" s="8" t="str">
        <f>IFERROR(VLOOKUP(C523,产品数据!$B:$D,2,FALSE),"")</f>
        <v/>
      </c>
      <c r="E523" s="8"/>
      <c r="F523" s="8" t="str">
        <f>IFERROR(VLOOKUP(C523,产品数据!$B:$D,3,FALSE),"")</f>
        <v/>
      </c>
      <c r="G523" s="8"/>
      <c r="H523" s="17"/>
      <c r="I523" s="5" t="str">
        <f>IF(C523=0,"",IF(H523=0,"未记录生产日期",IFERROR(H523+IFERROR(VLOOKUP(C523,产品数据!$B:$F,5,FALSE),"未录入生产日期"),"未写入保质期")))</f>
        <v/>
      </c>
    </row>
    <row r="524" spans="1:9">
      <c r="A524" s="8">
        <f t="shared" si="52"/>
        <v>523</v>
      </c>
      <c r="B524" s="17"/>
      <c r="C524" s="16"/>
      <c r="D524" s="8" t="str">
        <f>IFERROR(VLOOKUP(C524,产品数据!$B:$D,2,FALSE),"")</f>
        <v/>
      </c>
      <c r="E524" s="8"/>
      <c r="F524" s="8" t="str">
        <f>IFERROR(VLOOKUP(C524,产品数据!$B:$D,3,FALSE),"")</f>
        <v/>
      </c>
      <c r="G524" s="8"/>
      <c r="H524" s="17"/>
      <c r="I524" s="5" t="str">
        <f>IF(C524=0,"",IF(H524=0,"未记录生产日期",IFERROR(H524+IFERROR(VLOOKUP(C524,产品数据!$B:$F,5,FALSE),"未录入生产日期"),"未写入保质期")))</f>
        <v/>
      </c>
    </row>
    <row r="525" spans="1:9">
      <c r="A525" s="8">
        <f t="shared" si="52"/>
        <v>524</v>
      </c>
      <c r="B525" s="17"/>
      <c r="C525" s="16"/>
      <c r="D525" s="8" t="str">
        <f>IFERROR(VLOOKUP(C525,产品数据!$B:$D,2,FALSE),"")</f>
        <v/>
      </c>
      <c r="E525" s="8"/>
      <c r="F525" s="8" t="str">
        <f>IFERROR(VLOOKUP(C525,产品数据!$B:$D,3,FALSE),"")</f>
        <v/>
      </c>
      <c r="G525" s="8"/>
      <c r="H525" s="17"/>
      <c r="I525" s="5" t="str">
        <f>IF(C525=0,"",IF(H525=0,"未记录生产日期",IFERROR(H525+IFERROR(VLOOKUP(C525,产品数据!$B:$F,5,FALSE),"未录入生产日期"),"未写入保质期")))</f>
        <v/>
      </c>
    </row>
    <row r="526" spans="1:9">
      <c r="A526" s="8">
        <f t="shared" si="52"/>
        <v>525</v>
      </c>
      <c r="B526" s="17"/>
      <c r="C526" s="16"/>
      <c r="D526" s="8" t="str">
        <f>IFERROR(VLOOKUP(C526,产品数据!$B:$D,2,FALSE),"")</f>
        <v/>
      </c>
      <c r="E526" s="8"/>
      <c r="F526" s="8" t="str">
        <f>IFERROR(VLOOKUP(C526,产品数据!$B:$D,3,FALSE),"")</f>
        <v/>
      </c>
      <c r="G526" s="8"/>
      <c r="H526" s="17"/>
      <c r="I526" s="5" t="str">
        <f>IF(C526=0,"",IF(H526=0,"未记录生产日期",IFERROR(H526+IFERROR(VLOOKUP(C526,产品数据!$B:$F,5,FALSE),"未录入生产日期"),"未写入保质期")))</f>
        <v/>
      </c>
    </row>
    <row r="527" spans="1:9">
      <c r="A527" s="8">
        <f t="shared" si="52"/>
        <v>526</v>
      </c>
      <c r="B527" s="17"/>
      <c r="C527" s="16"/>
      <c r="D527" s="8" t="str">
        <f>IFERROR(VLOOKUP(C527,产品数据!$B:$D,2,FALSE),"")</f>
        <v/>
      </c>
      <c r="E527" s="8"/>
      <c r="F527" s="8" t="str">
        <f>IFERROR(VLOOKUP(C527,产品数据!$B:$D,3,FALSE),"")</f>
        <v/>
      </c>
      <c r="G527" s="8"/>
      <c r="H527" s="17"/>
      <c r="I527" s="5" t="str">
        <f>IF(C527=0,"",IF(H527=0,"未记录生产日期",IFERROR(H527+IFERROR(VLOOKUP(C527,产品数据!$B:$F,5,FALSE),"未录入生产日期"),"未写入保质期")))</f>
        <v/>
      </c>
    </row>
    <row r="528" spans="1:9">
      <c r="A528" s="8">
        <f t="shared" si="52"/>
        <v>527</v>
      </c>
      <c r="B528" s="17"/>
      <c r="C528" s="16"/>
      <c r="D528" s="8" t="str">
        <f>IFERROR(VLOOKUP(C528,产品数据!$B:$D,2,FALSE),"")</f>
        <v/>
      </c>
      <c r="E528" s="8"/>
      <c r="F528" s="8" t="str">
        <f>IFERROR(VLOOKUP(C528,产品数据!$B:$D,3,FALSE),"")</f>
        <v/>
      </c>
      <c r="G528" s="8"/>
      <c r="H528" s="17"/>
      <c r="I528" s="5" t="str">
        <f>IF(C528=0,"",IF(H528=0,"未记录生产日期",IFERROR(H528+IFERROR(VLOOKUP(C528,产品数据!$B:$F,5,FALSE),"未录入生产日期"),"未写入保质期")))</f>
        <v/>
      </c>
    </row>
    <row r="529" spans="1:9">
      <c r="A529" s="8">
        <f t="shared" si="52"/>
        <v>528</v>
      </c>
      <c r="B529" s="17"/>
      <c r="C529" s="16"/>
      <c r="D529" s="8" t="str">
        <f>IFERROR(VLOOKUP(C529,产品数据!$B:$D,2,FALSE),"")</f>
        <v/>
      </c>
      <c r="E529" s="8"/>
      <c r="F529" s="8" t="str">
        <f>IFERROR(VLOOKUP(C529,产品数据!$B:$D,3,FALSE),"")</f>
        <v/>
      </c>
      <c r="G529" s="8"/>
      <c r="H529" s="17"/>
      <c r="I529" s="5" t="str">
        <f>IF(C529=0,"",IF(H529=0,"未记录生产日期",IFERROR(H529+IFERROR(VLOOKUP(C529,产品数据!$B:$F,5,FALSE),"未录入生产日期"),"未写入保质期")))</f>
        <v/>
      </c>
    </row>
    <row r="530" spans="1:9">
      <c r="A530" s="8">
        <f t="shared" si="52"/>
        <v>529</v>
      </c>
      <c r="B530" s="17"/>
      <c r="C530" s="16"/>
      <c r="D530" s="8" t="str">
        <f>IFERROR(VLOOKUP(C530,产品数据!$B:$D,2,FALSE),"")</f>
        <v/>
      </c>
      <c r="E530" s="8"/>
      <c r="F530" s="8" t="str">
        <f>IFERROR(VLOOKUP(C530,产品数据!$B:$D,3,FALSE),"")</f>
        <v/>
      </c>
      <c r="G530" s="8"/>
      <c r="H530" s="17"/>
      <c r="I530" s="5" t="str">
        <f>IF(C530=0,"",IF(H530=0,"未记录生产日期",IFERROR(H530+IFERROR(VLOOKUP(C530,产品数据!$B:$F,5,FALSE),"未录入生产日期"),"未写入保质期")))</f>
        <v/>
      </c>
    </row>
    <row r="531" spans="1:9">
      <c r="A531" s="8">
        <f t="shared" ref="A531:A540" si="53">ROW()-1</f>
        <v>530</v>
      </c>
      <c r="B531" s="17"/>
      <c r="C531" s="16"/>
      <c r="D531" s="8" t="str">
        <f>IFERROR(VLOOKUP(C531,产品数据!$B:$D,2,FALSE),"")</f>
        <v/>
      </c>
      <c r="E531" s="8"/>
      <c r="F531" s="8" t="str">
        <f>IFERROR(VLOOKUP(C531,产品数据!$B:$D,3,FALSE),"")</f>
        <v/>
      </c>
      <c r="G531" s="8"/>
      <c r="H531" s="17"/>
      <c r="I531" s="5" t="str">
        <f>IF(C531=0,"",IF(H531=0,"未记录生产日期",IFERROR(H531+IFERROR(VLOOKUP(C531,产品数据!$B:$F,5,FALSE),"未录入生产日期"),"未写入保质期")))</f>
        <v/>
      </c>
    </row>
    <row r="532" spans="1:9">
      <c r="A532" s="8">
        <f t="shared" si="53"/>
        <v>531</v>
      </c>
      <c r="B532" s="17"/>
      <c r="C532" s="16"/>
      <c r="D532" s="8" t="str">
        <f>IFERROR(VLOOKUP(C532,产品数据!$B:$D,2,FALSE),"")</f>
        <v/>
      </c>
      <c r="E532" s="8"/>
      <c r="F532" s="8" t="str">
        <f>IFERROR(VLOOKUP(C532,产品数据!$B:$D,3,FALSE),"")</f>
        <v/>
      </c>
      <c r="G532" s="8"/>
      <c r="H532" s="17"/>
      <c r="I532" s="5" t="str">
        <f>IF(C532=0,"",IF(H532=0,"未记录生产日期",IFERROR(H532+IFERROR(VLOOKUP(C532,产品数据!$B:$F,5,FALSE),"未录入生产日期"),"未写入保质期")))</f>
        <v/>
      </c>
    </row>
    <row r="533" spans="1:9">
      <c r="A533" s="8">
        <f t="shared" si="53"/>
        <v>532</v>
      </c>
      <c r="B533" s="17"/>
      <c r="C533" s="16"/>
      <c r="D533" s="8" t="str">
        <f>IFERROR(VLOOKUP(C533,产品数据!$B:$D,2,FALSE),"")</f>
        <v/>
      </c>
      <c r="E533" s="8"/>
      <c r="F533" s="8" t="str">
        <f>IFERROR(VLOOKUP(C533,产品数据!$B:$D,3,FALSE),"")</f>
        <v/>
      </c>
      <c r="G533" s="8"/>
      <c r="H533" s="17"/>
      <c r="I533" s="5" t="str">
        <f>IF(C533=0,"",IF(H533=0,"未记录生产日期",IFERROR(H533+IFERROR(VLOOKUP(C533,产品数据!$B:$F,5,FALSE),"未录入生产日期"),"未写入保质期")))</f>
        <v/>
      </c>
    </row>
    <row r="534" spans="1:9">
      <c r="A534" s="8">
        <f t="shared" si="53"/>
        <v>533</v>
      </c>
      <c r="B534" s="17"/>
      <c r="C534" s="16"/>
      <c r="D534" s="8" t="str">
        <f>IFERROR(VLOOKUP(C534,产品数据!$B:$D,2,FALSE),"")</f>
        <v/>
      </c>
      <c r="E534" s="8"/>
      <c r="F534" s="8" t="str">
        <f>IFERROR(VLOOKUP(C534,产品数据!$B:$D,3,FALSE),"")</f>
        <v/>
      </c>
      <c r="G534" s="8"/>
      <c r="H534" s="17"/>
      <c r="I534" s="5" t="str">
        <f>IF(C534=0,"",IF(H534=0,"未记录生产日期",IFERROR(H534+IFERROR(VLOOKUP(C534,产品数据!$B:$F,5,FALSE),"未录入生产日期"),"未写入保质期")))</f>
        <v/>
      </c>
    </row>
    <row r="535" spans="1:9">
      <c r="A535" s="8">
        <f t="shared" si="53"/>
        <v>534</v>
      </c>
      <c r="B535" s="17"/>
      <c r="C535" s="16"/>
      <c r="D535" s="8" t="str">
        <f>IFERROR(VLOOKUP(C535,产品数据!$B:$D,2,FALSE),"")</f>
        <v/>
      </c>
      <c r="E535" s="8"/>
      <c r="F535" s="8" t="str">
        <f>IFERROR(VLOOKUP(C535,产品数据!$B:$D,3,FALSE),"")</f>
        <v/>
      </c>
      <c r="G535" s="8"/>
      <c r="H535" s="17"/>
      <c r="I535" s="5" t="str">
        <f>IF(C535=0,"",IF(H535=0,"未记录生产日期",IFERROR(H535+IFERROR(VLOOKUP(C535,产品数据!$B:$F,5,FALSE),"未录入生产日期"),"未写入保质期")))</f>
        <v/>
      </c>
    </row>
    <row r="536" spans="1:9">
      <c r="A536" s="8">
        <f t="shared" si="53"/>
        <v>535</v>
      </c>
      <c r="B536" s="17"/>
      <c r="C536" s="16"/>
      <c r="D536" s="8" t="str">
        <f>IFERROR(VLOOKUP(C536,产品数据!$B:$D,2,FALSE),"")</f>
        <v/>
      </c>
      <c r="E536" s="8"/>
      <c r="F536" s="8" t="str">
        <f>IFERROR(VLOOKUP(C536,产品数据!$B:$D,3,FALSE),"")</f>
        <v/>
      </c>
      <c r="G536" s="8"/>
      <c r="H536" s="17"/>
      <c r="I536" s="5" t="str">
        <f>IF(C536=0,"",IF(H536=0,"未记录生产日期",IFERROR(H536+IFERROR(VLOOKUP(C536,产品数据!$B:$F,5,FALSE),"未录入生产日期"),"未写入保质期")))</f>
        <v/>
      </c>
    </row>
    <row r="537" spans="1:9">
      <c r="A537" s="8">
        <f t="shared" si="53"/>
        <v>536</v>
      </c>
      <c r="B537" s="17"/>
      <c r="C537" s="16"/>
      <c r="D537" s="8" t="str">
        <f>IFERROR(VLOOKUP(C537,产品数据!$B:$D,2,FALSE),"")</f>
        <v/>
      </c>
      <c r="E537" s="8"/>
      <c r="F537" s="8" t="str">
        <f>IFERROR(VLOOKUP(C537,产品数据!$B:$D,3,FALSE),"")</f>
        <v/>
      </c>
      <c r="G537" s="8"/>
      <c r="H537" s="17"/>
      <c r="I537" s="5" t="str">
        <f>IF(C537=0,"",IF(H537=0,"未记录生产日期",IFERROR(H537+IFERROR(VLOOKUP(C537,产品数据!$B:$F,5,FALSE),"未录入生产日期"),"未写入保质期")))</f>
        <v/>
      </c>
    </row>
    <row r="538" spans="1:9">
      <c r="A538" s="8">
        <f t="shared" si="53"/>
        <v>537</v>
      </c>
      <c r="B538" s="17"/>
      <c r="C538" s="16"/>
      <c r="D538" s="8" t="str">
        <f>IFERROR(VLOOKUP(C538,产品数据!$B:$D,2,FALSE),"")</f>
        <v/>
      </c>
      <c r="E538" s="8"/>
      <c r="F538" s="8" t="str">
        <f>IFERROR(VLOOKUP(C538,产品数据!$B:$D,3,FALSE),"")</f>
        <v/>
      </c>
      <c r="G538" s="8"/>
      <c r="H538" s="17"/>
      <c r="I538" s="5" t="str">
        <f>IF(C538=0,"",IF(H538=0,"未记录生产日期",IFERROR(H538+IFERROR(VLOOKUP(C538,产品数据!$B:$F,5,FALSE),"未录入生产日期"),"未写入保质期")))</f>
        <v/>
      </c>
    </row>
    <row r="539" spans="1:9">
      <c r="A539" s="8">
        <f t="shared" si="53"/>
        <v>538</v>
      </c>
      <c r="B539" s="17"/>
      <c r="C539" s="16"/>
      <c r="D539" s="8" t="str">
        <f>IFERROR(VLOOKUP(C539,产品数据!$B:$D,2,FALSE),"")</f>
        <v/>
      </c>
      <c r="E539" s="8"/>
      <c r="F539" s="8" t="str">
        <f>IFERROR(VLOOKUP(C539,产品数据!$B:$D,3,FALSE),"")</f>
        <v/>
      </c>
      <c r="G539" s="8"/>
      <c r="H539" s="17"/>
      <c r="I539" s="5" t="str">
        <f>IF(C539=0,"",IF(H539=0,"未记录生产日期",IFERROR(H539+IFERROR(VLOOKUP(C539,产品数据!$B:$F,5,FALSE),"未录入生产日期"),"未写入保质期")))</f>
        <v/>
      </c>
    </row>
    <row r="540" spans="1:9">
      <c r="A540" s="8">
        <f t="shared" si="53"/>
        <v>539</v>
      </c>
      <c r="B540" s="17"/>
      <c r="C540" s="16"/>
      <c r="D540" s="8" t="str">
        <f>IFERROR(VLOOKUP(C540,产品数据!$B:$D,2,FALSE),"")</f>
        <v/>
      </c>
      <c r="E540" s="8"/>
      <c r="F540" s="8" t="str">
        <f>IFERROR(VLOOKUP(C540,产品数据!$B:$D,3,FALSE),"")</f>
        <v/>
      </c>
      <c r="G540" s="8"/>
      <c r="H540" s="17"/>
      <c r="I540" s="5" t="str">
        <f>IF(C540=0,"",IF(H540=0,"未记录生产日期",IFERROR(H540+IFERROR(VLOOKUP(C540,产品数据!$B:$F,5,FALSE),"未录入生产日期"),"未写入保质期")))</f>
        <v/>
      </c>
    </row>
    <row r="541" spans="1:9">
      <c r="A541" s="8">
        <f t="shared" ref="A541:A550" si="54">ROW()-1</f>
        <v>540</v>
      </c>
      <c r="B541" s="17"/>
      <c r="C541" s="16"/>
      <c r="D541" s="8" t="str">
        <f>IFERROR(VLOOKUP(C541,产品数据!$B:$D,2,FALSE),"")</f>
        <v/>
      </c>
      <c r="E541" s="8"/>
      <c r="F541" s="8" t="str">
        <f>IFERROR(VLOOKUP(C541,产品数据!$B:$D,3,FALSE),"")</f>
        <v/>
      </c>
      <c r="G541" s="8"/>
      <c r="H541" s="17"/>
      <c r="I541" s="5" t="str">
        <f>IF(C541=0,"",IF(H541=0,"未记录生产日期",IFERROR(H541+IFERROR(VLOOKUP(C541,产品数据!$B:$F,5,FALSE),"未录入生产日期"),"未写入保质期")))</f>
        <v/>
      </c>
    </row>
    <row r="542" spans="1:9">
      <c r="A542" s="8">
        <f t="shared" si="54"/>
        <v>541</v>
      </c>
      <c r="B542" s="17"/>
      <c r="C542" s="16"/>
      <c r="D542" s="8" t="str">
        <f>IFERROR(VLOOKUP(C542,产品数据!$B:$D,2,FALSE),"")</f>
        <v/>
      </c>
      <c r="E542" s="8"/>
      <c r="F542" s="8" t="str">
        <f>IFERROR(VLOOKUP(C542,产品数据!$B:$D,3,FALSE),"")</f>
        <v/>
      </c>
      <c r="G542" s="8"/>
      <c r="H542" s="17"/>
      <c r="I542" s="5" t="str">
        <f>IF(C542=0,"",IF(H542=0,"未记录生产日期",IFERROR(H542+IFERROR(VLOOKUP(C542,产品数据!$B:$F,5,FALSE),"未录入生产日期"),"未写入保质期")))</f>
        <v/>
      </c>
    </row>
    <row r="543" spans="1:9">
      <c r="A543" s="8">
        <f t="shared" si="54"/>
        <v>542</v>
      </c>
      <c r="B543" s="17"/>
      <c r="C543" s="16"/>
      <c r="D543" s="8" t="str">
        <f>IFERROR(VLOOKUP(C543,产品数据!$B:$D,2,FALSE),"")</f>
        <v/>
      </c>
      <c r="E543" s="8"/>
      <c r="F543" s="8" t="str">
        <f>IFERROR(VLOOKUP(C543,产品数据!$B:$D,3,FALSE),"")</f>
        <v/>
      </c>
      <c r="G543" s="8"/>
      <c r="H543" s="17"/>
      <c r="I543" s="5" t="str">
        <f>IF(C543=0,"",IF(H543=0,"未记录生产日期",IFERROR(H543+IFERROR(VLOOKUP(C543,产品数据!$B:$F,5,FALSE),"未录入生产日期"),"未写入保质期")))</f>
        <v/>
      </c>
    </row>
    <row r="544" spans="1:9">
      <c r="A544" s="8">
        <f t="shared" si="54"/>
        <v>543</v>
      </c>
      <c r="B544" s="17"/>
      <c r="C544" s="16"/>
      <c r="D544" s="8" t="str">
        <f>IFERROR(VLOOKUP(C544,产品数据!$B:$D,2,FALSE),"")</f>
        <v/>
      </c>
      <c r="E544" s="8"/>
      <c r="F544" s="8" t="str">
        <f>IFERROR(VLOOKUP(C544,产品数据!$B:$D,3,FALSE),"")</f>
        <v/>
      </c>
      <c r="G544" s="8"/>
      <c r="H544" s="17"/>
      <c r="I544" s="5" t="str">
        <f>IF(C544=0,"",IF(H544=0,"未记录生产日期",IFERROR(H544+IFERROR(VLOOKUP(C544,产品数据!$B:$F,5,FALSE),"未录入生产日期"),"未写入保质期")))</f>
        <v/>
      </c>
    </row>
    <row r="545" spans="1:9">
      <c r="A545" s="8">
        <f t="shared" si="54"/>
        <v>544</v>
      </c>
      <c r="B545" s="17"/>
      <c r="C545" s="16"/>
      <c r="D545" s="8" t="str">
        <f>IFERROR(VLOOKUP(C545,产品数据!$B:$D,2,FALSE),"")</f>
        <v/>
      </c>
      <c r="E545" s="8"/>
      <c r="F545" s="8" t="str">
        <f>IFERROR(VLOOKUP(C545,产品数据!$B:$D,3,FALSE),"")</f>
        <v/>
      </c>
      <c r="G545" s="8"/>
      <c r="H545" s="17"/>
      <c r="I545" s="5" t="str">
        <f>IF(C545=0,"",IF(H545=0,"未记录生产日期",IFERROR(H545+IFERROR(VLOOKUP(C545,产品数据!$B:$F,5,FALSE),"未录入生产日期"),"未写入保质期")))</f>
        <v/>
      </c>
    </row>
    <row r="546" spans="1:9">
      <c r="A546" s="8">
        <f t="shared" si="54"/>
        <v>545</v>
      </c>
      <c r="B546" s="17"/>
      <c r="C546" s="16"/>
      <c r="D546" s="8" t="str">
        <f>IFERROR(VLOOKUP(C546,产品数据!$B:$D,2,FALSE),"")</f>
        <v/>
      </c>
      <c r="E546" s="8"/>
      <c r="F546" s="8" t="str">
        <f>IFERROR(VLOOKUP(C546,产品数据!$B:$D,3,FALSE),"")</f>
        <v/>
      </c>
      <c r="G546" s="8"/>
      <c r="H546" s="17"/>
      <c r="I546" s="5" t="str">
        <f>IF(C546=0,"",IF(H546=0,"未记录生产日期",IFERROR(H546+IFERROR(VLOOKUP(C546,产品数据!$B:$F,5,FALSE),"未录入生产日期"),"未写入保质期")))</f>
        <v/>
      </c>
    </row>
    <row r="547" spans="1:9">
      <c r="A547" s="8">
        <f t="shared" si="54"/>
        <v>546</v>
      </c>
      <c r="B547" s="17"/>
      <c r="C547" s="16"/>
      <c r="D547" s="8" t="str">
        <f>IFERROR(VLOOKUP(C547,产品数据!$B:$D,2,FALSE),"")</f>
        <v/>
      </c>
      <c r="E547" s="8"/>
      <c r="F547" s="8" t="str">
        <f>IFERROR(VLOOKUP(C547,产品数据!$B:$D,3,FALSE),"")</f>
        <v/>
      </c>
      <c r="G547" s="8"/>
      <c r="H547" s="17"/>
      <c r="I547" s="5" t="str">
        <f>IF(C547=0,"",IF(H547=0,"未记录生产日期",IFERROR(H547+IFERROR(VLOOKUP(C547,产品数据!$B:$F,5,FALSE),"未录入生产日期"),"未写入保质期")))</f>
        <v/>
      </c>
    </row>
    <row r="548" spans="1:9">
      <c r="A548" s="8">
        <f t="shared" si="54"/>
        <v>547</v>
      </c>
      <c r="B548" s="17"/>
      <c r="C548" s="16"/>
      <c r="D548" s="8" t="str">
        <f>IFERROR(VLOOKUP(C548,产品数据!$B:$D,2,FALSE),"")</f>
        <v/>
      </c>
      <c r="E548" s="8"/>
      <c r="F548" s="8" t="str">
        <f>IFERROR(VLOOKUP(C548,产品数据!$B:$D,3,FALSE),"")</f>
        <v/>
      </c>
      <c r="G548" s="8"/>
      <c r="H548" s="17"/>
      <c r="I548" s="5" t="str">
        <f>IF(C548=0,"",IF(H548=0,"未记录生产日期",IFERROR(H548+IFERROR(VLOOKUP(C548,产品数据!$B:$F,5,FALSE),"未录入生产日期"),"未写入保质期")))</f>
        <v/>
      </c>
    </row>
    <row r="549" spans="1:9">
      <c r="A549" s="8">
        <f t="shared" si="54"/>
        <v>548</v>
      </c>
      <c r="B549" s="17"/>
      <c r="C549" s="16"/>
      <c r="D549" s="8" t="str">
        <f>IFERROR(VLOOKUP(C549,产品数据!$B:$D,2,FALSE),"")</f>
        <v/>
      </c>
      <c r="E549" s="8"/>
      <c r="F549" s="8" t="str">
        <f>IFERROR(VLOOKUP(C549,产品数据!$B:$D,3,FALSE),"")</f>
        <v/>
      </c>
      <c r="G549" s="8"/>
      <c r="H549" s="17"/>
      <c r="I549" s="5" t="str">
        <f>IF(C549=0,"",IF(H549=0,"未记录生产日期",IFERROR(H549+IFERROR(VLOOKUP(C549,产品数据!$B:$F,5,FALSE),"未录入生产日期"),"未写入保质期")))</f>
        <v/>
      </c>
    </row>
    <row r="550" spans="1:9">
      <c r="A550" s="8">
        <f t="shared" si="54"/>
        <v>549</v>
      </c>
      <c r="B550" s="17"/>
      <c r="C550" s="16"/>
      <c r="D550" s="8" t="str">
        <f>IFERROR(VLOOKUP(C550,产品数据!$B:$D,2,FALSE),"")</f>
        <v/>
      </c>
      <c r="E550" s="8"/>
      <c r="F550" s="8" t="str">
        <f>IFERROR(VLOOKUP(C550,产品数据!$B:$D,3,FALSE),"")</f>
        <v/>
      </c>
      <c r="G550" s="8"/>
      <c r="H550" s="17"/>
      <c r="I550" s="5" t="str">
        <f>IF(C550=0,"",IF(H550=0,"未记录生产日期",IFERROR(H550+IFERROR(VLOOKUP(C550,产品数据!$B:$F,5,FALSE),"未录入生产日期"),"未写入保质期")))</f>
        <v/>
      </c>
    </row>
    <row r="551" spans="1:9">
      <c r="A551" s="8">
        <f t="shared" ref="A551:A560" si="55">ROW()-1</f>
        <v>550</v>
      </c>
      <c r="B551" s="17"/>
      <c r="C551" s="16"/>
      <c r="D551" s="8" t="str">
        <f>IFERROR(VLOOKUP(C551,产品数据!$B:$D,2,FALSE),"")</f>
        <v/>
      </c>
      <c r="E551" s="8"/>
      <c r="F551" s="8" t="str">
        <f>IFERROR(VLOOKUP(C551,产品数据!$B:$D,3,FALSE),"")</f>
        <v/>
      </c>
      <c r="G551" s="8"/>
      <c r="H551" s="17"/>
      <c r="I551" s="5" t="str">
        <f>IF(C551=0,"",IF(H551=0,"未记录生产日期",IFERROR(H551+IFERROR(VLOOKUP(C551,产品数据!$B:$F,5,FALSE),"未录入生产日期"),"未写入保质期")))</f>
        <v/>
      </c>
    </row>
    <row r="552" spans="1:9">
      <c r="A552" s="8">
        <f t="shared" si="55"/>
        <v>551</v>
      </c>
      <c r="B552" s="17"/>
      <c r="C552" s="16"/>
      <c r="D552" s="8" t="str">
        <f>IFERROR(VLOOKUP(C552,产品数据!$B:$D,2,FALSE),"")</f>
        <v/>
      </c>
      <c r="E552" s="8"/>
      <c r="F552" s="8" t="str">
        <f>IFERROR(VLOOKUP(C552,产品数据!$B:$D,3,FALSE),"")</f>
        <v/>
      </c>
      <c r="G552" s="8"/>
      <c r="H552" s="17"/>
      <c r="I552" s="5" t="str">
        <f>IF(C552=0,"",IF(H552=0,"未记录生产日期",IFERROR(H552+IFERROR(VLOOKUP(C552,产品数据!$B:$F,5,FALSE),"未录入生产日期"),"未写入保质期")))</f>
        <v/>
      </c>
    </row>
    <row r="553" spans="1:9">
      <c r="A553" s="8">
        <f t="shared" si="55"/>
        <v>552</v>
      </c>
      <c r="B553" s="17"/>
      <c r="C553" s="16"/>
      <c r="D553" s="8" t="str">
        <f>IFERROR(VLOOKUP(C553,产品数据!$B:$D,2,FALSE),"")</f>
        <v/>
      </c>
      <c r="E553" s="8"/>
      <c r="F553" s="8" t="str">
        <f>IFERROR(VLOOKUP(C553,产品数据!$B:$D,3,FALSE),"")</f>
        <v/>
      </c>
      <c r="G553" s="8"/>
      <c r="H553" s="17"/>
      <c r="I553" s="5" t="str">
        <f>IF(C553=0,"",IF(H553=0,"未记录生产日期",IFERROR(H553+IFERROR(VLOOKUP(C553,产品数据!$B:$F,5,FALSE),"未录入生产日期"),"未写入保质期")))</f>
        <v/>
      </c>
    </row>
    <row r="554" spans="1:9">
      <c r="A554" s="8">
        <f t="shared" si="55"/>
        <v>553</v>
      </c>
      <c r="B554" s="17"/>
      <c r="C554" s="16"/>
      <c r="D554" s="8" t="str">
        <f>IFERROR(VLOOKUP(C554,产品数据!$B:$D,2,FALSE),"")</f>
        <v/>
      </c>
      <c r="E554" s="8"/>
      <c r="F554" s="8" t="str">
        <f>IFERROR(VLOOKUP(C554,产品数据!$B:$D,3,FALSE),"")</f>
        <v/>
      </c>
      <c r="G554" s="8"/>
      <c r="H554" s="17"/>
      <c r="I554" s="5" t="str">
        <f>IF(C554=0,"",IF(H554=0,"未记录生产日期",IFERROR(H554+IFERROR(VLOOKUP(C554,产品数据!$B:$F,5,FALSE),"未录入生产日期"),"未写入保质期")))</f>
        <v/>
      </c>
    </row>
    <row r="555" spans="1:9">
      <c r="A555" s="8">
        <f t="shared" si="55"/>
        <v>554</v>
      </c>
      <c r="B555" s="17"/>
      <c r="C555" s="16"/>
      <c r="D555" s="8" t="str">
        <f>IFERROR(VLOOKUP(C555,产品数据!$B:$D,2,FALSE),"")</f>
        <v/>
      </c>
      <c r="E555" s="8"/>
      <c r="F555" s="8" t="str">
        <f>IFERROR(VLOOKUP(C555,产品数据!$B:$D,3,FALSE),"")</f>
        <v/>
      </c>
      <c r="G555" s="8"/>
      <c r="H555" s="17"/>
      <c r="I555" s="5" t="str">
        <f>IF(C555=0,"",IF(H555=0,"未记录生产日期",IFERROR(H555+IFERROR(VLOOKUP(C555,产品数据!$B:$F,5,FALSE),"未录入生产日期"),"未写入保质期")))</f>
        <v/>
      </c>
    </row>
    <row r="556" spans="1:9">
      <c r="A556" s="8">
        <f t="shared" si="55"/>
        <v>555</v>
      </c>
      <c r="B556" s="17"/>
      <c r="C556" s="16"/>
      <c r="D556" s="8" t="str">
        <f>IFERROR(VLOOKUP(C556,产品数据!$B:$D,2,FALSE),"")</f>
        <v/>
      </c>
      <c r="E556" s="8"/>
      <c r="F556" s="8" t="str">
        <f>IFERROR(VLOOKUP(C556,产品数据!$B:$D,3,FALSE),"")</f>
        <v/>
      </c>
      <c r="G556" s="8"/>
      <c r="H556" s="17"/>
      <c r="I556" s="5" t="str">
        <f>IF(C556=0,"",IF(H556=0,"未记录生产日期",IFERROR(H556+IFERROR(VLOOKUP(C556,产品数据!$B:$F,5,FALSE),"未录入生产日期"),"未写入保质期")))</f>
        <v/>
      </c>
    </row>
    <row r="557" spans="1:9">
      <c r="A557" s="8">
        <f t="shared" si="55"/>
        <v>556</v>
      </c>
      <c r="B557" s="17"/>
      <c r="C557" s="16"/>
      <c r="D557" s="8" t="str">
        <f>IFERROR(VLOOKUP(C557,产品数据!$B:$D,2,FALSE),"")</f>
        <v/>
      </c>
      <c r="E557" s="8"/>
      <c r="F557" s="8" t="str">
        <f>IFERROR(VLOOKUP(C557,产品数据!$B:$D,3,FALSE),"")</f>
        <v/>
      </c>
      <c r="G557" s="8"/>
      <c r="H557" s="17"/>
      <c r="I557" s="5" t="str">
        <f>IF(C557=0,"",IF(H557=0,"未记录生产日期",IFERROR(H557+IFERROR(VLOOKUP(C557,产品数据!$B:$F,5,FALSE),"未录入生产日期"),"未写入保质期")))</f>
        <v/>
      </c>
    </row>
    <row r="558" spans="1:9">
      <c r="A558" s="8">
        <f t="shared" si="55"/>
        <v>557</v>
      </c>
      <c r="B558" s="17"/>
      <c r="C558" s="16"/>
      <c r="D558" s="8" t="str">
        <f>IFERROR(VLOOKUP(C558,产品数据!$B:$D,2,FALSE),"")</f>
        <v/>
      </c>
      <c r="E558" s="8"/>
      <c r="F558" s="8" t="str">
        <f>IFERROR(VLOOKUP(C558,产品数据!$B:$D,3,FALSE),"")</f>
        <v/>
      </c>
      <c r="G558" s="8"/>
      <c r="H558" s="17"/>
      <c r="I558" s="5" t="str">
        <f>IF(C558=0,"",IF(H558=0,"未记录生产日期",IFERROR(H558+IFERROR(VLOOKUP(C558,产品数据!$B:$F,5,FALSE),"未录入生产日期"),"未写入保质期")))</f>
        <v/>
      </c>
    </row>
    <row r="559" spans="1:9">
      <c r="A559" s="8">
        <f t="shared" si="55"/>
        <v>558</v>
      </c>
      <c r="B559" s="17"/>
      <c r="C559" s="16"/>
      <c r="D559" s="8" t="str">
        <f>IFERROR(VLOOKUP(C559,产品数据!$B:$D,2,FALSE),"")</f>
        <v/>
      </c>
      <c r="E559" s="8"/>
      <c r="F559" s="8" t="str">
        <f>IFERROR(VLOOKUP(C559,产品数据!$B:$D,3,FALSE),"")</f>
        <v/>
      </c>
      <c r="G559" s="8"/>
      <c r="H559" s="17"/>
      <c r="I559" s="5" t="str">
        <f>IF(C559=0,"",IF(H559=0,"未记录生产日期",IFERROR(H559+IFERROR(VLOOKUP(C559,产品数据!$B:$F,5,FALSE),"未录入生产日期"),"未写入保质期")))</f>
        <v/>
      </c>
    </row>
    <row r="560" spans="1:9">
      <c r="A560" s="8">
        <f t="shared" si="55"/>
        <v>559</v>
      </c>
      <c r="B560" s="17"/>
      <c r="C560" s="16"/>
      <c r="D560" s="8" t="str">
        <f>IFERROR(VLOOKUP(C560,产品数据!$B:$D,2,FALSE),"")</f>
        <v/>
      </c>
      <c r="E560" s="8"/>
      <c r="F560" s="8" t="str">
        <f>IFERROR(VLOOKUP(C560,产品数据!$B:$D,3,FALSE),"")</f>
        <v/>
      </c>
      <c r="G560" s="8"/>
      <c r="H560" s="17"/>
      <c r="I560" s="5" t="str">
        <f>IF(C560=0,"",IF(H560=0,"未记录生产日期",IFERROR(H560+IFERROR(VLOOKUP(C560,产品数据!$B:$F,5,FALSE),"未录入生产日期"),"未写入保质期")))</f>
        <v/>
      </c>
    </row>
    <row r="561" spans="1:9">
      <c r="A561" s="8">
        <f t="shared" ref="A561:A570" si="56">ROW()-1</f>
        <v>560</v>
      </c>
      <c r="B561" s="17"/>
      <c r="C561" s="16"/>
      <c r="D561" s="8" t="str">
        <f>IFERROR(VLOOKUP(C561,产品数据!$B:$D,2,FALSE),"")</f>
        <v/>
      </c>
      <c r="E561" s="8"/>
      <c r="F561" s="8" t="str">
        <f>IFERROR(VLOOKUP(C561,产品数据!$B:$D,3,FALSE),"")</f>
        <v/>
      </c>
      <c r="G561" s="8"/>
      <c r="H561" s="17"/>
      <c r="I561" s="5" t="str">
        <f>IF(C561=0,"",IF(H561=0,"未记录生产日期",IFERROR(H561+IFERROR(VLOOKUP(C561,产品数据!$B:$F,5,FALSE),"未录入生产日期"),"未写入保质期")))</f>
        <v/>
      </c>
    </row>
    <row r="562" spans="1:9">
      <c r="A562" s="8">
        <f t="shared" si="56"/>
        <v>561</v>
      </c>
      <c r="B562" s="17"/>
      <c r="C562" s="16"/>
      <c r="D562" s="8" t="str">
        <f>IFERROR(VLOOKUP(C562,产品数据!$B:$D,2,FALSE),"")</f>
        <v/>
      </c>
      <c r="E562" s="8"/>
      <c r="F562" s="8" t="str">
        <f>IFERROR(VLOOKUP(C562,产品数据!$B:$D,3,FALSE),"")</f>
        <v/>
      </c>
      <c r="G562" s="8"/>
      <c r="H562" s="17"/>
      <c r="I562" s="5" t="str">
        <f>IF(C562=0,"",IF(H562=0,"未记录生产日期",IFERROR(H562+IFERROR(VLOOKUP(C562,产品数据!$B:$F,5,FALSE),"未录入生产日期"),"未写入保质期")))</f>
        <v/>
      </c>
    </row>
    <row r="563" spans="1:9">
      <c r="A563" s="8">
        <f t="shared" si="56"/>
        <v>562</v>
      </c>
      <c r="B563" s="17"/>
      <c r="C563" s="16"/>
      <c r="D563" s="8" t="str">
        <f>IFERROR(VLOOKUP(C563,产品数据!$B:$D,2,FALSE),"")</f>
        <v/>
      </c>
      <c r="E563" s="8"/>
      <c r="F563" s="8" t="str">
        <f>IFERROR(VLOOKUP(C563,产品数据!$B:$D,3,FALSE),"")</f>
        <v/>
      </c>
      <c r="G563" s="8"/>
      <c r="H563" s="17"/>
      <c r="I563" s="5" t="str">
        <f>IF(C563=0,"",IF(H563=0,"未记录生产日期",IFERROR(H563+IFERROR(VLOOKUP(C563,产品数据!$B:$F,5,FALSE),"未录入生产日期"),"未写入保质期")))</f>
        <v/>
      </c>
    </row>
    <row r="564" spans="1:9">
      <c r="A564" s="8">
        <f t="shared" si="56"/>
        <v>563</v>
      </c>
      <c r="B564" s="17"/>
      <c r="C564" s="16"/>
      <c r="D564" s="8" t="str">
        <f>IFERROR(VLOOKUP(C564,产品数据!$B:$D,2,FALSE),"")</f>
        <v/>
      </c>
      <c r="E564" s="8"/>
      <c r="F564" s="8" t="str">
        <f>IFERROR(VLOOKUP(C564,产品数据!$B:$D,3,FALSE),"")</f>
        <v/>
      </c>
      <c r="G564" s="8"/>
      <c r="H564" s="17"/>
      <c r="I564" s="5" t="str">
        <f>IF(C564=0,"",IF(H564=0,"未记录生产日期",IFERROR(H564+IFERROR(VLOOKUP(C564,产品数据!$B:$F,5,FALSE),"未录入生产日期"),"未写入保质期")))</f>
        <v/>
      </c>
    </row>
    <row r="565" spans="1:9">
      <c r="A565" s="8">
        <f t="shared" si="56"/>
        <v>564</v>
      </c>
      <c r="B565" s="17"/>
      <c r="C565" s="16"/>
      <c r="D565" s="8" t="str">
        <f>IFERROR(VLOOKUP(C565,产品数据!$B:$D,2,FALSE),"")</f>
        <v/>
      </c>
      <c r="E565" s="8"/>
      <c r="F565" s="8" t="str">
        <f>IFERROR(VLOOKUP(C565,产品数据!$B:$D,3,FALSE),"")</f>
        <v/>
      </c>
      <c r="G565" s="8"/>
      <c r="H565" s="17"/>
      <c r="I565" s="5" t="str">
        <f>IF(C565=0,"",IF(H565=0,"未记录生产日期",IFERROR(H565+IFERROR(VLOOKUP(C565,产品数据!$B:$F,5,FALSE),"未录入生产日期"),"未写入保质期")))</f>
        <v/>
      </c>
    </row>
    <row r="566" spans="1:9">
      <c r="A566" s="8">
        <f t="shared" si="56"/>
        <v>565</v>
      </c>
      <c r="B566" s="17"/>
      <c r="C566" s="16"/>
      <c r="D566" s="8" t="str">
        <f>IFERROR(VLOOKUP(C566,产品数据!$B:$D,2,FALSE),"")</f>
        <v/>
      </c>
      <c r="E566" s="8"/>
      <c r="F566" s="8" t="str">
        <f>IFERROR(VLOOKUP(C566,产品数据!$B:$D,3,FALSE),"")</f>
        <v/>
      </c>
      <c r="G566" s="8"/>
      <c r="H566" s="17"/>
      <c r="I566" s="5" t="str">
        <f>IF(C566=0,"",IF(H566=0,"未记录生产日期",IFERROR(H566+IFERROR(VLOOKUP(C566,产品数据!$B:$F,5,FALSE),"未录入生产日期"),"未写入保质期")))</f>
        <v/>
      </c>
    </row>
    <row r="567" spans="1:9">
      <c r="A567" s="8">
        <f t="shared" si="56"/>
        <v>566</v>
      </c>
      <c r="B567" s="17"/>
      <c r="C567" s="16"/>
      <c r="D567" s="8" t="str">
        <f>IFERROR(VLOOKUP(C567,产品数据!$B:$D,2,FALSE),"")</f>
        <v/>
      </c>
      <c r="E567" s="8"/>
      <c r="F567" s="8" t="str">
        <f>IFERROR(VLOOKUP(C567,产品数据!$B:$D,3,FALSE),"")</f>
        <v/>
      </c>
      <c r="G567" s="8"/>
      <c r="H567" s="17"/>
      <c r="I567" s="5" t="str">
        <f>IF(C567=0,"",IF(H567=0,"未记录生产日期",IFERROR(H567+IFERROR(VLOOKUP(C567,产品数据!$B:$F,5,FALSE),"未录入生产日期"),"未写入保质期")))</f>
        <v/>
      </c>
    </row>
    <row r="568" spans="1:9">
      <c r="A568" s="8">
        <f t="shared" si="56"/>
        <v>567</v>
      </c>
      <c r="B568" s="17"/>
      <c r="C568" s="16"/>
      <c r="D568" s="8" t="str">
        <f>IFERROR(VLOOKUP(C568,产品数据!$B:$D,2,FALSE),"")</f>
        <v/>
      </c>
      <c r="E568" s="8"/>
      <c r="F568" s="8" t="str">
        <f>IFERROR(VLOOKUP(C568,产品数据!$B:$D,3,FALSE),"")</f>
        <v/>
      </c>
      <c r="G568" s="8"/>
      <c r="H568" s="17"/>
      <c r="I568" s="5" t="str">
        <f>IF(C568=0,"",IF(H568=0,"未记录生产日期",IFERROR(H568+IFERROR(VLOOKUP(C568,产品数据!$B:$F,5,FALSE),"未录入生产日期"),"未写入保质期")))</f>
        <v/>
      </c>
    </row>
    <row r="569" spans="1:9">
      <c r="A569" s="8">
        <f t="shared" si="56"/>
        <v>568</v>
      </c>
      <c r="B569" s="17"/>
      <c r="C569" s="16"/>
      <c r="D569" s="8" t="str">
        <f>IFERROR(VLOOKUP(C569,产品数据!$B:$D,2,FALSE),"")</f>
        <v/>
      </c>
      <c r="E569" s="8"/>
      <c r="F569" s="8" t="str">
        <f>IFERROR(VLOOKUP(C569,产品数据!$B:$D,3,FALSE),"")</f>
        <v/>
      </c>
      <c r="G569" s="8"/>
      <c r="H569" s="17"/>
      <c r="I569" s="5" t="str">
        <f>IF(C569=0,"",IF(H569=0,"未记录生产日期",IFERROR(H569+IFERROR(VLOOKUP(C569,产品数据!$B:$F,5,FALSE),"未录入生产日期"),"未写入保质期")))</f>
        <v/>
      </c>
    </row>
    <row r="570" spans="1:9">
      <c r="A570" s="8">
        <f t="shared" si="56"/>
        <v>569</v>
      </c>
      <c r="B570" s="17"/>
      <c r="C570" s="16"/>
      <c r="D570" s="8" t="str">
        <f>IFERROR(VLOOKUP(C570,产品数据!$B:$D,2,FALSE),"")</f>
        <v/>
      </c>
      <c r="E570" s="8"/>
      <c r="F570" s="8" t="str">
        <f>IFERROR(VLOOKUP(C570,产品数据!$B:$D,3,FALSE),"")</f>
        <v/>
      </c>
      <c r="G570" s="8"/>
      <c r="H570" s="17"/>
      <c r="I570" s="5" t="str">
        <f>IF(C570=0,"",IF(H570=0,"未记录生产日期",IFERROR(H570+IFERROR(VLOOKUP(C570,产品数据!$B:$F,5,FALSE),"未录入生产日期"),"未写入保质期")))</f>
        <v/>
      </c>
    </row>
    <row r="571" spans="1:9">
      <c r="A571" s="8">
        <f t="shared" ref="A571:A580" si="57">ROW()-1</f>
        <v>570</v>
      </c>
      <c r="B571" s="17"/>
      <c r="C571" s="16"/>
      <c r="D571" s="8" t="str">
        <f>IFERROR(VLOOKUP(C571,产品数据!$B:$D,2,FALSE),"")</f>
        <v/>
      </c>
      <c r="E571" s="8"/>
      <c r="F571" s="8" t="str">
        <f>IFERROR(VLOOKUP(C571,产品数据!$B:$D,3,FALSE),"")</f>
        <v/>
      </c>
      <c r="G571" s="8"/>
      <c r="H571" s="17"/>
      <c r="I571" s="5" t="str">
        <f>IF(C571=0,"",IF(H571=0,"未记录生产日期",IFERROR(H571+IFERROR(VLOOKUP(C571,产品数据!$B:$F,5,FALSE),"未录入生产日期"),"未写入保质期")))</f>
        <v/>
      </c>
    </row>
    <row r="572" spans="1:9">
      <c r="A572" s="8">
        <f t="shared" si="57"/>
        <v>571</v>
      </c>
      <c r="B572" s="17"/>
      <c r="C572" s="16"/>
      <c r="D572" s="8" t="str">
        <f>IFERROR(VLOOKUP(C572,产品数据!$B:$D,2,FALSE),"")</f>
        <v/>
      </c>
      <c r="E572" s="8"/>
      <c r="F572" s="8" t="str">
        <f>IFERROR(VLOOKUP(C572,产品数据!$B:$D,3,FALSE),"")</f>
        <v/>
      </c>
      <c r="G572" s="8"/>
      <c r="H572" s="17"/>
      <c r="I572" s="5" t="str">
        <f>IF(C572=0,"",IF(H572=0,"未记录生产日期",IFERROR(H572+IFERROR(VLOOKUP(C572,产品数据!$B:$F,5,FALSE),"未录入生产日期"),"未写入保质期")))</f>
        <v/>
      </c>
    </row>
    <row r="573" spans="1:9">
      <c r="A573" s="8">
        <f t="shared" si="57"/>
        <v>572</v>
      </c>
      <c r="B573" s="17"/>
      <c r="C573" s="16"/>
      <c r="D573" s="8" t="str">
        <f>IFERROR(VLOOKUP(C573,产品数据!$B:$D,2,FALSE),"")</f>
        <v/>
      </c>
      <c r="E573" s="8"/>
      <c r="F573" s="8" t="str">
        <f>IFERROR(VLOOKUP(C573,产品数据!$B:$D,3,FALSE),"")</f>
        <v/>
      </c>
      <c r="G573" s="8"/>
      <c r="H573" s="17"/>
      <c r="I573" s="5" t="str">
        <f>IF(C573=0,"",IF(H573=0,"未记录生产日期",IFERROR(H573+IFERROR(VLOOKUP(C573,产品数据!$B:$F,5,FALSE),"未录入生产日期"),"未写入保质期")))</f>
        <v/>
      </c>
    </row>
    <row r="574" spans="1:9">
      <c r="A574" s="8">
        <f t="shared" si="57"/>
        <v>573</v>
      </c>
      <c r="B574" s="17"/>
      <c r="C574" s="16"/>
      <c r="D574" s="8" t="str">
        <f>IFERROR(VLOOKUP(C574,产品数据!$B:$D,2,FALSE),"")</f>
        <v/>
      </c>
      <c r="E574" s="8"/>
      <c r="F574" s="8" t="str">
        <f>IFERROR(VLOOKUP(C574,产品数据!$B:$D,3,FALSE),"")</f>
        <v/>
      </c>
      <c r="G574" s="8"/>
      <c r="H574" s="17"/>
      <c r="I574" s="5" t="str">
        <f>IF(C574=0,"",IF(H574=0,"未记录生产日期",IFERROR(H574+IFERROR(VLOOKUP(C574,产品数据!$B:$F,5,FALSE),"未录入生产日期"),"未写入保质期")))</f>
        <v/>
      </c>
    </row>
    <row r="575" spans="1:9">
      <c r="A575" s="8">
        <f t="shared" si="57"/>
        <v>574</v>
      </c>
      <c r="B575" s="17"/>
      <c r="C575" s="16"/>
      <c r="D575" s="8" t="str">
        <f>IFERROR(VLOOKUP(C575,产品数据!$B:$D,2,FALSE),"")</f>
        <v/>
      </c>
      <c r="E575" s="8"/>
      <c r="F575" s="8" t="str">
        <f>IFERROR(VLOOKUP(C575,产品数据!$B:$D,3,FALSE),"")</f>
        <v/>
      </c>
      <c r="G575" s="8"/>
      <c r="H575" s="17"/>
      <c r="I575" s="5" t="str">
        <f>IF(C575=0,"",IF(H575=0,"未记录生产日期",IFERROR(H575+IFERROR(VLOOKUP(C575,产品数据!$B:$F,5,FALSE),"未录入生产日期"),"未写入保质期")))</f>
        <v/>
      </c>
    </row>
    <row r="576" spans="1:9">
      <c r="A576" s="8">
        <f t="shared" si="57"/>
        <v>575</v>
      </c>
      <c r="B576" s="17"/>
      <c r="C576" s="16"/>
      <c r="D576" s="8" t="str">
        <f>IFERROR(VLOOKUP(C576,产品数据!$B:$D,2,FALSE),"")</f>
        <v/>
      </c>
      <c r="E576" s="8"/>
      <c r="F576" s="8" t="str">
        <f>IFERROR(VLOOKUP(C576,产品数据!$B:$D,3,FALSE),"")</f>
        <v/>
      </c>
      <c r="G576" s="8"/>
      <c r="H576" s="17"/>
      <c r="I576" s="5" t="str">
        <f>IF(C576=0,"",IF(H576=0,"未记录生产日期",IFERROR(H576+IFERROR(VLOOKUP(C576,产品数据!$B:$F,5,FALSE),"未录入生产日期"),"未写入保质期")))</f>
        <v/>
      </c>
    </row>
    <row r="577" spans="1:9">
      <c r="A577" s="8">
        <f t="shared" si="57"/>
        <v>576</v>
      </c>
      <c r="B577" s="17"/>
      <c r="C577" s="16"/>
      <c r="D577" s="8" t="str">
        <f>IFERROR(VLOOKUP(C577,产品数据!$B:$D,2,FALSE),"")</f>
        <v/>
      </c>
      <c r="E577" s="8"/>
      <c r="F577" s="8" t="str">
        <f>IFERROR(VLOOKUP(C577,产品数据!$B:$D,3,FALSE),"")</f>
        <v/>
      </c>
      <c r="G577" s="8"/>
      <c r="H577" s="17"/>
      <c r="I577" s="5" t="str">
        <f>IF(C577=0,"",IF(H577=0,"未记录生产日期",IFERROR(H577+IFERROR(VLOOKUP(C577,产品数据!$B:$F,5,FALSE),"未录入生产日期"),"未写入保质期")))</f>
        <v/>
      </c>
    </row>
    <row r="578" spans="1:9">
      <c r="A578" s="8">
        <f t="shared" si="57"/>
        <v>577</v>
      </c>
      <c r="B578" s="17"/>
      <c r="C578" s="16"/>
      <c r="D578" s="8" t="str">
        <f>IFERROR(VLOOKUP(C578,产品数据!$B:$D,2,FALSE),"")</f>
        <v/>
      </c>
      <c r="E578" s="8"/>
      <c r="F578" s="8" t="str">
        <f>IFERROR(VLOOKUP(C578,产品数据!$B:$D,3,FALSE),"")</f>
        <v/>
      </c>
      <c r="G578" s="8"/>
      <c r="H578" s="17"/>
      <c r="I578" s="5" t="str">
        <f>IF(C578=0,"",IF(H578=0,"未记录生产日期",IFERROR(H578+IFERROR(VLOOKUP(C578,产品数据!$B:$F,5,FALSE),"未录入生产日期"),"未写入保质期")))</f>
        <v/>
      </c>
    </row>
    <row r="579" spans="1:9">
      <c r="A579" s="8">
        <f t="shared" si="57"/>
        <v>578</v>
      </c>
      <c r="B579" s="17"/>
      <c r="C579" s="16"/>
      <c r="D579" s="8" t="str">
        <f>IFERROR(VLOOKUP(C579,产品数据!$B:$D,2,FALSE),"")</f>
        <v/>
      </c>
      <c r="E579" s="8"/>
      <c r="F579" s="8" t="str">
        <f>IFERROR(VLOOKUP(C579,产品数据!$B:$D,3,FALSE),"")</f>
        <v/>
      </c>
      <c r="G579" s="8"/>
      <c r="H579" s="17"/>
      <c r="I579" s="5" t="str">
        <f>IF(C579=0,"",IF(H579=0,"未记录生产日期",IFERROR(H579+IFERROR(VLOOKUP(C579,产品数据!$B:$F,5,FALSE),"未录入生产日期"),"未写入保质期")))</f>
        <v/>
      </c>
    </row>
    <row r="580" spans="1:9">
      <c r="A580" s="8">
        <f t="shared" si="57"/>
        <v>579</v>
      </c>
      <c r="B580" s="17"/>
      <c r="C580" s="16"/>
      <c r="D580" s="8" t="str">
        <f>IFERROR(VLOOKUP(C580,产品数据!$B:$D,2,FALSE),"")</f>
        <v/>
      </c>
      <c r="E580" s="8"/>
      <c r="F580" s="8" t="str">
        <f>IFERROR(VLOOKUP(C580,产品数据!$B:$D,3,FALSE),"")</f>
        <v/>
      </c>
      <c r="G580" s="8"/>
      <c r="H580" s="17"/>
      <c r="I580" s="5" t="str">
        <f>IF(C580=0,"",IF(H580=0,"未记录生产日期",IFERROR(H580+IFERROR(VLOOKUP(C580,产品数据!$B:$F,5,FALSE),"未录入生产日期"),"未写入保质期")))</f>
        <v/>
      </c>
    </row>
    <row r="581" spans="1:9">
      <c r="A581" s="8">
        <f t="shared" ref="A581:A590" si="58">ROW()-1</f>
        <v>580</v>
      </c>
      <c r="B581" s="17"/>
      <c r="C581" s="16"/>
      <c r="D581" s="8" t="str">
        <f>IFERROR(VLOOKUP(C581,产品数据!$B:$D,2,FALSE),"")</f>
        <v/>
      </c>
      <c r="E581" s="8"/>
      <c r="F581" s="8" t="str">
        <f>IFERROR(VLOOKUP(C581,产品数据!$B:$D,3,FALSE),"")</f>
        <v/>
      </c>
      <c r="G581" s="8"/>
      <c r="H581" s="17"/>
      <c r="I581" s="5" t="str">
        <f>IF(C581=0,"",IF(H581=0,"未记录生产日期",IFERROR(H581+IFERROR(VLOOKUP(C581,产品数据!$B:$F,5,FALSE),"未录入生产日期"),"未写入保质期")))</f>
        <v/>
      </c>
    </row>
    <row r="582" spans="1:9">
      <c r="A582" s="8">
        <f t="shared" si="58"/>
        <v>581</v>
      </c>
      <c r="B582" s="17"/>
      <c r="C582" s="16"/>
      <c r="D582" s="8" t="str">
        <f>IFERROR(VLOOKUP(C582,产品数据!$B:$D,2,FALSE),"")</f>
        <v/>
      </c>
      <c r="E582" s="8"/>
      <c r="F582" s="8" t="str">
        <f>IFERROR(VLOOKUP(C582,产品数据!$B:$D,3,FALSE),"")</f>
        <v/>
      </c>
      <c r="G582" s="8"/>
      <c r="H582" s="17"/>
      <c r="I582" s="5" t="str">
        <f>IF(C582=0,"",IF(H582=0,"未记录生产日期",IFERROR(H582+IFERROR(VLOOKUP(C582,产品数据!$B:$F,5,FALSE),"未录入生产日期"),"未写入保质期")))</f>
        <v/>
      </c>
    </row>
    <row r="583" spans="1:9">
      <c r="A583" s="8">
        <f t="shared" si="58"/>
        <v>582</v>
      </c>
      <c r="B583" s="17"/>
      <c r="C583" s="16"/>
      <c r="D583" s="8" t="str">
        <f>IFERROR(VLOOKUP(C583,产品数据!$B:$D,2,FALSE),"")</f>
        <v/>
      </c>
      <c r="E583" s="8"/>
      <c r="F583" s="8" t="str">
        <f>IFERROR(VLOOKUP(C583,产品数据!$B:$D,3,FALSE),"")</f>
        <v/>
      </c>
      <c r="G583" s="8"/>
      <c r="H583" s="17"/>
      <c r="I583" s="5" t="str">
        <f>IF(C583=0,"",IF(H583=0,"未记录生产日期",IFERROR(H583+IFERROR(VLOOKUP(C583,产品数据!$B:$F,5,FALSE),"未录入生产日期"),"未写入保质期")))</f>
        <v/>
      </c>
    </row>
    <row r="584" spans="1:9">
      <c r="A584" s="8">
        <f t="shared" si="58"/>
        <v>583</v>
      </c>
      <c r="B584" s="17"/>
      <c r="C584" s="16"/>
      <c r="D584" s="8" t="str">
        <f>IFERROR(VLOOKUP(C584,产品数据!$B:$D,2,FALSE),"")</f>
        <v/>
      </c>
      <c r="E584" s="8"/>
      <c r="F584" s="8" t="str">
        <f>IFERROR(VLOOKUP(C584,产品数据!$B:$D,3,FALSE),"")</f>
        <v/>
      </c>
      <c r="G584" s="8"/>
      <c r="H584" s="17"/>
      <c r="I584" s="5" t="str">
        <f>IF(C584=0,"",IF(H584=0,"未记录生产日期",IFERROR(H584+IFERROR(VLOOKUP(C584,产品数据!$B:$F,5,FALSE),"未录入生产日期"),"未写入保质期")))</f>
        <v/>
      </c>
    </row>
    <row r="585" spans="1:9">
      <c r="A585" s="8">
        <f t="shared" si="58"/>
        <v>584</v>
      </c>
      <c r="B585" s="17"/>
      <c r="C585" s="16"/>
      <c r="D585" s="8" t="str">
        <f>IFERROR(VLOOKUP(C585,产品数据!$B:$D,2,FALSE),"")</f>
        <v/>
      </c>
      <c r="E585" s="8"/>
      <c r="F585" s="8" t="str">
        <f>IFERROR(VLOOKUP(C585,产品数据!$B:$D,3,FALSE),"")</f>
        <v/>
      </c>
      <c r="G585" s="8"/>
      <c r="H585" s="17"/>
      <c r="I585" s="5" t="str">
        <f>IF(C585=0,"",IF(H585=0,"未记录生产日期",IFERROR(H585+IFERROR(VLOOKUP(C585,产品数据!$B:$F,5,FALSE),"未录入生产日期"),"未写入保质期")))</f>
        <v/>
      </c>
    </row>
    <row r="586" spans="1:9">
      <c r="A586" s="8">
        <f t="shared" si="58"/>
        <v>585</v>
      </c>
      <c r="B586" s="17"/>
      <c r="C586" s="16"/>
      <c r="D586" s="8" t="str">
        <f>IFERROR(VLOOKUP(C586,产品数据!$B:$D,2,FALSE),"")</f>
        <v/>
      </c>
      <c r="E586" s="8"/>
      <c r="F586" s="8" t="str">
        <f>IFERROR(VLOOKUP(C586,产品数据!$B:$D,3,FALSE),"")</f>
        <v/>
      </c>
      <c r="G586" s="8"/>
      <c r="H586" s="17"/>
      <c r="I586" s="5" t="str">
        <f>IF(C586=0,"",IF(H586=0,"未记录生产日期",IFERROR(H586+IFERROR(VLOOKUP(C586,产品数据!$B:$F,5,FALSE),"未录入生产日期"),"未写入保质期")))</f>
        <v/>
      </c>
    </row>
    <row r="587" spans="1:9">
      <c r="A587" s="8">
        <f t="shared" si="58"/>
        <v>586</v>
      </c>
      <c r="B587" s="17"/>
      <c r="C587" s="16"/>
      <c r="D587" s="8" t="str">
        <f>IFERROR(VLOOKUP(C587,产品数据!$B:$D,2,FALSE),"")</f>
        <v/>
      </c>
      <c r="E587" s="8"/>
      <c r="F587" s="8" t="str">
        <f>IFERROR(VLOOKUP(C587,产品数据!$B:$D,3,FALSE),"")</f>
        <v/>
      </c>
      <c r="G587" s="8"/>
      <c r="H587" s="17"/>
      <c r="I587" s="5" t="str">
        <f>IF(C587=0,"",IF(H587=0,"未记录生产日期",IFERROR(H587+IFERROR(VLOOKUP(C587,产品数据!$B:$F,5,FALSE),"未录入生产日期"),"未写入保质期")))</f>
        <v/>
      </c>
    </row>
    <row r="588" spans="1:9">
      <c r="A588" s="8">
        <f t="shared" si="58"/>
        <v>587</v>
      </c>
      <c r="B588" s="17"/>
      <c r="C588" s="16"/>
      <c r="D588" s="8" t="str">
        <f>IFERROR(VLOOKUP(C588,产品数据!$B:$D,2,FALSE),"")</f>
        <v/>
      </c>
      <c r="E588" s="8"/>
      <c r="F588" s="8" t="str">
        <f>IFERROR(VLOOKUP(C588,产品数据!$B:$D,3,FALSE),"")</f>
        <v/>
      </c>
      <c r="G588" s="8"/>
      <c r="H588" s="17"/>
      <c r="I588" s="5" t="str">
        <f>IF(C588=0,"",IF(H588=0,"未记录生产日期",IFERROR(H588+IFERROR(VLOOKUP(C588,产品数据!$B:$F,5,FALSE),"未录入生产日期"),"未写入保质期")))</f>
        <v/>
      </c>
    </row>
    <row r="589" spans="1:9">
      <c r="A589" s="8">
        <f t="shared" si="58"/>
        <v>588</v>
      </c>
      <c r="B589" s="17"/>
      <c r="C589" s="16"/>
      <c r="D589" s="8" t="str">
        <f>IFERROR(VLOOKUP(C589,产品数据!$B:$D,2,FALSE),"")</f>
        <v/>
      </c>
      <c r="E589" s="8"/>
      <c r="F589" s="8" t="str">
        <f>IFERROR(VLOOKUP(C589,产品数据!$B:$D,3,FALSE),"")</f>
        <v/>
      </c>
      <c r="G589" s="8"/>
      <c r="H589" s="17"/>
      <c r="I589" s="5" t="str">
        <f>IF(C589=0,"",IF(H589=0,"未记录生产日期",IFERROR(H589+IFERROR(VLOOKUP(C589,产品数据!$B:$F,5,FALSE),"未录入生产日期"),"未写入保质期")))</f>
        <v/>
      </c>
    </row>
    <row r="590" spans="1:9">
      <c r="A590" s="8">
        <f t="shared" si="58"/>
        <v>589</v>
      </c>
      <c r="B590" s="17"/>
      <c r="C590" s="16"/>
      <c r="D590" s="8" t="str">
        <f>IFERROR(VLOOKUP(C590,产品数据!$B:$D,2,FALSE),"")</f>
        <v/>
      </c>
      <c r="E590" s="8"/>
      <c r="F590" s="8" t="str">
        <f>IFERROR(VLOOKUP(C590,产品数据!$B:$D,3,FALSE),"")</f>
        <v/>
      </c>
      <c r="G590" s="8"/>
      <c r="H590" s="17"/>
      <c r="I590" s="5" t="str">
        <f>IF(C590=0,"",IF(H590=0,"未记录生产日期",IFERROR(H590+IFERROR(VLOOKUP(C590,产品数据!$B:$F,5,FALSE),"未录入生产日期"),"未写入保质期")))</f>
        <v/>
      </c>
    </row>
    <row r="591" spans="1:9">
      <c r="A591" s="8">
        <f t="shared" ref="A591:A600" si="59">ROW()-1</f>
        <v>590</v>
      </c>
      <c r="B591" s="17"/>
      <c r="C591" s="16"/>
      <c r="D591" s="8" t="str">
        <f>IFERROR(VLOOKUP(C591,产品数据!$B:$D,2,FALSE),"")</f>
        <v/>
      </c>
      <c r="E591" s="8"/>
      <c r="F591" s="8" t="str">
        <f>IFERROR(VLOOKUP(C591,产品数据!$B:$D,3,FALSE),"")</f>
        <v/>
      </c>
      <c r="G591" s="8"/>
      <c r="H591" s="17"/>
      <c r="I591" s="5" t="str">
        <f>IF(C591=0,"",IF(H591=0,"未记录生产日期",IFERROR(H591+IFERROR(VLOOKUP(C591,产品数据!$B:$F,5,FALSE),"未录入生产日期"),"未写入保质期")))</f>
        <v/>
      </c>
    </row>
    <row r="592" spans="1:9">
      <c r="A592" s="8">
        <f t="shared" si="59"/>
        <v>591</v>
      </c>
      <c r="B592" s="17"/>
      <c r="C592" s="16"/>
      <c r="D592" s="8" t="str">
        <f>IFERROR(VLOOKUP(C592,产品数据!$B:$D,2,FALSE),"")</f>
        <v/>
      </c>
      <c r="E592" s="8"/>
      <c r="F592" s="8" t="str">
        <f>IFERROR(VLOOKUP(C592,产品数据!$B:$D,3,FALSE),"")</f>
        <v/>
      </c>
      <c r="G592" s="8"/>
      <c r="H592" s="17"/>
      <c r="I592" s="5" t="str">
        <f>IF(C592=0,"",IF(H592=0,"未记录生产日期",IFERROR(H592+IFERROR(VLOOKUP(C592,产品数据!$B:$F,5,FALSE),"未录入生产日期"),"未写入保质期")))</f>
        <v/>
      </c>
    </row>
    <row r="593" spans="1:9">
      <c r="A593" s="8">
        <f t="shared" si="59"/>
        <v>592</v>
      </c>
      <c r="B593" s="17"/>
      <c r="C593" s="16"/>
      <c r="D593" s="8" t="str">
        <f>IFERROR(VLOOKUP(C593,产品数据!$B:$D,2,FALSE),"")</f>
        <v/>
      </c>
      <c r="E593" s="8"/>
      <c r="F593" s="8" t="str">
        <f>IFERROR(VLOOKUP(C593,产品数据!$B:$D,3,FALSE),"")</f>
        <v/>
      </c>
      <c r="G593" s="8"/>
      <c r="H593" s="17"/>
      <c r="I593" s="5" t="str">
        <f>IF(C593=0,"",IF(H593=0,"未记录生产日期",IFERROR(H593+IFERROR(VLOOKUP(C593,产品数据!$B:$F,5,FALSE),"未录入生产日期"),"未写入保质期")))</f>
        <v/>
      </c>
    </row>
    <row r="594" spans="1:9">
      <c r="A594" s="8">
        <f t="shared" si="59"/>
        <v>593</v>
      </c>
      <c r="B594" s="17"/>
      <c r="C594" s="16"/>
      <c r="D594" s="8" t="str">
        <f>IFERROR(VLOOKUP(C594,产品数据!$B:$D,2,FALSE),"")</f>
        <v/>
      </c>
      <c r="E594" s="8"/>
      <c r="F594" s="8" t="str">
        <f>IFERROR(VLOOKUP(C594,产品数据!$B:$D,3,FALSE),"")</f>
        <v/>
      </c>
      <c r="G594" s="8"/>
      <c r="H594" s="17"/>
      <c r="I594" s="5" t="str">
        <f>IF(C594=0,"",IF(H594=0,"未记录生产日期",IFERROR(H594+IFERROR(VLOOKUP(C594,产品数据!$B:$F,5,FALSE),"未录入生产日期"),"未写入保质期")))</f>
        <v/>
      </c>
    </row>
    <row r="595" spans="1:9">
      <c r="A595" s="8">
        <f t="shared" si="59"/>
        <v>594</v>
      </c>
      <c r="B595" s="17"/>
      <c r="C595" s="16"/>
      <c r="D595" s="8" t="str">
        <f>IFERROR(VLOOKUP(C595,产品数据!$B:$D,2,FALSE),"")</f>
        <v/>
      </c>
      <c r="E595" s="8"/>
      <c r="F595" s="8" t="str">
        <f>IFERROR(VLOOKUP(C595,产品数据!$B:$D,3,FALSE),"")</f>
        <v/>
      </c>
      <c r="G595" s="8"/>
      <c r="H595" s="17"/>
      <c r="I595" s="5" t="str">
        <f>IF(C595=0,"",IF(H595=0,"未记录生产日期",IFERROR(H595+IFERROR(VLOOKUP(C595,产品数据!$B:$F,5,FALSE),"未录入生产日期"),"未写入保质期")))</f>
        <v/>
      </c>
    </row>
    <row r="596" spans="1:9">
      <c r="A596" s="8">
        <f t="shared" si="59"/>
        <v>595</v>
      </c>
      <c r="B596" s="17"/>
      <c r="C596" s="16"/>
      <c r="D596" s="8" t="str">
        <f>IFERROR(VLOOKUP(C596,产品数据!$B:$D,2,FALSE),"")</f>
        <v/>
      </c>
      <c r="E596" s="8"/>
      <c r="F596" s="8" t="str">
        <f>IFERROR(VLOOKUP(C596,产品数据!$B:$D,3,FALSE),"")</f>
        <v/>
      </c>
      <c r="G596" s="8"/>
      <c r="H596" s="17"/>
      <c r="I596" s="5" t="str">
        <f>IF(C596=0,"",IF(H596=0,"未记录生产日期",IFERROR(H596+IFERROR(VLOOKUP(C596,产品数据!$B:$F,5,FALSE),"未录入生产日期"),"未写入保质期")))</f>
        <v/>
      </c>
    </row>
    <row r="597" spans="1:9">
      <c r="A597" s="8">
        <f t="shared" si="59"/>
        <v>596</v>
      </c>
      <c r="B597" s="17"/>
      <c r="C597" s="16"/>
      <c r="D597" s="8" t="str">
        <f>IFERROR(VLOOKUP(C597,产品数据!$B:$D,2,FALSE),"")</f>
        <v/>
      </c>
      <c r="E597" s="8"/>
      <c r="F597" s="8" t="str">
        <f>IFERROR(VLOOKUP(C597,产品数据!$B:$D,3,FALSE),"")</f>
        <v/>
      </c>
      <c r="G597" s="8"/>
      <c r="H597" s="17"/>
      <c r="I597" s="5" t="str">
        <f>IF(C597=0,"",IF(H597=0,"未记录生产日期",IFERROR(H597+IFERROR(VLOOKUP(C597,产品数据!$B:$F,5,FALSE),"未录入生产日期"),"未写入保质期")))</f>
        <v/>
      </c>
    </row>
    <row r="598" spans="1:9">
      <c r="A598" s="8">
        <f t="shared" si="59"/>
        <v>597</v>
      </c>
      <c r="B598" s="17"/>
      <c r="C598" s="16"/>
      <c r="D598" s="8" t="str">
        <f>IFERROR(VLOOKUP(C598,产品数据!$B:$D,2,FALSE),"")</f>
        <v/>
      </c>
      <c r="E598" s="8"/>
      <c r="F598" s="8" t="str">
        <f>IFERROR(VLOOKUP(C598,产品数据!$B:$D,3,FALSE),"")</f>
        <v/>
      </c>
      <c r="G598" s="8"/>
      <c r="H598" s="17"/>
      <c r="I598" s="5" t="str">
        <f>IF(C598=0,"",IF(H598=0,"未记录生产日期",IFERROR(H598+IFERROR(VLOOKUP(C598,产品数据!$B:$F,5,FALSE),"未录入生产日期"),"未写入保质期")))</f>
        <v/>
      </c>
    </row>
    <row r="599" spans="1:9">
      <c r="A599" s="8">
        <f t="shared" si="59"/>
        <v>598</v>
      </c>
      <c r="B599" s="17"/>
      <c r="C599" s="16"/>
      <c r="D599" s="8" t="str">
        <f>IFERROR(VLOOKUP(C599,产品数据!$B:$D,2,FALSE),"")</f>
        <v/>
      </c>
      <c r="E599" s="8"/>
      <c r="F599" s="8" t="str">
        <f>IFERROR(VLOOKUP(C599,产品数据!$B:$D,3,FALSE),"")</f>
        <v/>
      </c>
      <c r="G599" s="8"/>
      <c r="H599" s="17"/>
      <c r="I599" s="5" t="str">
        <f>IF(C599=0,"",IF(H599=0,"未记录生产日期",IFERROR(H599+IFERROR(VLOOKUP(C599,产品数据!$B:$F,5,FALSE),"未录入生产日期"),"未写入保质期")))</f>
        <v/>
      </c>
    </row>
    <row r="600" spans="1:9">
      <c r="A600" s="8">
        <f t="shared" si="59"/>
        <v>599</v>
      </c>
      <c r="B600" s="17"/>
      <c r="C600" s="16"/>
      <c r="D600" s="8" t="str">
        <f>IFERROR(VLOOKUP(C600,产品数据!$B:$D,2,FALSE),"")</f>
        <v/>
      </c>
      <c r="E600" s="8"/>
      <c r="F600" s="8" t="str">
        <f>IFERROR(VLOOKUP(C600,产品数据!$B:$D,3,FALSE),"")</f>
        <v/>
      </c>
      <c r="G600" s="8"/>
      <c r="H600" s="17"/>
      <c r="I600" s="5" t="str">
        <f>IF(C600=0,"",IF(H600=0,"未记录生产日期",IFERROR(H600+IFERROR(VLOOKUP(C600,产品数据!$B:$F,5,FALSE),"未录入生产日期"),"未写入保质期")))</f>
        <v/>
      </c>
    </row>
    <row r="601" spans="1:9">
      <c r="A601" s="8">
        <f t="shared" ref="A601:A610" si="60">ROW()-1</f>
        <v>600</v>
      </c>
      <c r="B601" s="17"/>
      <c r="C601" s="16"/>
      <c r="D601" s="8" t="str">
        <f>IFERROR(VLOOKUP(C601,产品数据!$B:$D,2,FALSE),"")</f>
        <v/>
      </c>
      <c r="E601" s="8"/>
      <c r="F601" s="8" t="str">
        <f>IFERROR(VLOOKUP(C601,产品数据!$B:$D,3,FALSE),"")</f>
        <v/>
      </c>
      <c r="G601" s="8"/>
      <c r="H601" s="17"/>
      <c r="I601" s="5" t="str">
        <f>IF(C601=0,"",IF(H601=0,"未记录生产日期",IFERROR(H601+IFERROR(VLOOKUP(C601,产品数据!$B:$F,5,FALSE),"未录入生产日期"),"未写入保质期")))</f>
        <v/>
      </c>
    </row>
    <row r="602" spans="1:9">
      <c r="A602" s="8">
        <f t="shared" si="60"/>
        <v>601</v>
      </c>
      <c r="B602" s="17"/>
      <c r="C602" s="16"/>
      <c r="D602" s="8" t="str">
        <f>IFERROR(VLOOKUP(C602,产品数据!$B:$D,2,FALSE),"")</f>
        <v/>
      </c>
      <c r="E602" s="8"/>
      <c r="F602" s="8" t="str">
        <f>IFERROR(VLOOKUP(C602,产品数据!$B:$D,3,FALSE),"")</f>
        <v/>
      </c>
      <c r="G602" s="8"/>
      <c r="H602" s="17"/>
      <c r="I602" s="5" t="str">
        <f>IF(C602=0,"",IF(H602=0,"未记录生产日期",IFERROR(H602+IFERROR(VLOOKUP(C602,产品数据!$B:$F,5,FALSE),"未录入生产日期"),"未写入保质期")))</f>
        <v/>
      </c>
    </row>
    <row r="603" spans="1:9">
      <c r="A603" s="8">
        <f t="shared" si="60"/>
        <v>602</v>
      </c>
      <c r="B603" s="17"/>
      <c r="C603" s="16"/>
      <c r="D603" s="8" t="str">
        <f>IFERROR(VLOOKUP(C603,产品数据!$B:$D,2,FALSE),"")</f>
        <v/>
      </c>
      <c r="E603" s="8"/>
      <c r="F603" s="8" t="str">
        <f>IFERROR(VLOOKUP(C603,产品数据!$B:$D,3,FALSE),"")</f>
        <v/>
      </c>
      <c r="G603" s="8"/>
      <c r="H603" s="17"/>
      <c r="I603" s="5" t="str">
        <f>IF(C603=0,"",IF(H603=0,"未记录生产日期",IFERROR(H603+IFERROR(VLOOKUP(C603,产品数据!$B:$F,5,FALSE),"未录入生产日期"),"未写入保质期")))</f>
        <v/>
      </c>
    </row>
    <row r="604" spans="1:9">
      <c r="A604" s="8">
        <f t="shared" si="60"/>
        <v>603</v>
      </c>
      <c r="B604" s="17"/>
      <c r="C604" s="16"/>
      <c r="D604" s="8" t="str">
        <f>IFERROR(VLOOKUP(C604,产品数据!$B:$D,2,FALSE),"")</f>
        <v/>
      </c>
      <c r="E604" s="8"/>
      <c r="F604" s="8" t="str">
        <f>IFERROR(VLOOKUP(C604,产品数据!$B:$D,3,FALSE),"")</f>
        <v/>
      </c>
      <c r="G604" s="8"/>
      <c r="H604" s="17"/>
      <c r="I604" s="5" t="str">
        <f>IF(C604=0,"",IF(H604=0,"未记录生产日期",IFERROR(H604+IFERROR(VLOOKUP(C604,产品数据!$B:$F,5,FALSE),"未录入生产日期"),"未写入保质期")))</f>
        <v/>
      </c>
    </row>
    <row r="605" spans="1:9">
      <c r="A605" s="8">
        <f t="shared" si="60"/>
        <v>604</v>
      </c>
      <c r="B605" s="17"/>
      <c r="C605" s="16"/>
      <c r="D605" s="8" t="str">
        <f>IFERROR(VLOOKUP(C605,产品数据!$B:$D,2,FALSE),"")</f>
        <v/>
      </c>
      <c r="E605" s="8"/>
      <c r="F605" s="8" t="str">
        <f>IFERROR(VLOOKUP(C605,产品数据!$B:$D,3,FALSE),"")</f>
        <v/>
      </c>
      <c r="G605" s="8"/>
      <c r="H605" s="17"/>
      <c r="I605" s="5" t="str">
        <f>IF(C605=0,"",IF(H605=0,"未记录生产日期",IFERROR(H605+IFERROR(VLOOKUP(C605,产品数据!$B:$F,5,FALSE),"未录入生产日期"),"未写入保质期")))</f>
        <v/>
      </c>
    </row>
    <row r="606" spans="1:9">
      <c r="A606" s="8">
        <f t="shared" si="60"/>
        <v>605</v>
      </c>
      <c r="B606" s="17"/>
      <c r="C606" s="16"/>
      <c r="D606" s="8" t="str">
        <f>IFERROR(VLOOKUP(C606,产品数据!$B:$D,2,FALSE),"")</f>
        <v/>
      </c>
      <c r="E606" s="8"/>
      <c r="F606" s="8" t="str">
        <f>IFERROR(VLOOKUP(C606,产品数据!$B:$D,3,FALSE),"")</f>
        <v/>
      </c>
      <c r="G606" s="8"/>
      <c r="H606" s="17"/>
      <c r="I606" s="5" t="str">
        <f>IF(C606=0,"",IF(H606=0,"未记录生产日期",IFERROR(H606+IFERROR(VLOOKUP(C606,产品数据!$B:$F,5,FALSE),"未录入生产日期"),"未写入保质期")))</f>
        <v/>
      </c>
    </row>
    <row r="607" spans="1:9">
      <c r="A607" s="8">
        <f t="shared" si="60"/>
        <v>606</v>
      </c>
      <c r="B607" s="17"/>
      <c r="C607" s="16"/>
      <c r="D607" s="8" t="str">
        <f>IFERROR(VLOOKUP(C607,产品数据!$B:$D,2,FALSE),"")</f>
        <v/>
      </c>
      <c r="E607" s="8"/>
      <c r="F607" s="8" t="str">
        <f>IFERROR(VLOOKUP(C607,产品数据!$B:$D,3,FALSE),"")</f>
        <v/>
      </c>
      <c r="G607" s="8"/>
      <c r="H607" s="17"/>
      <c r="I607" s="5" t="str">
        <f>IF(C607=0,"",IF(H607=0,"未记录生产日期",IFERROR(H607+IFERROR(VLOOKUP(C607,产品数据!$B:$F,5,FALSE),"未录入生产日期"),"未写入保质期")))</f>
        <v/>
      </c>
    </row>
    <row r="608" spans="1:9">
      <c r="A608" s="8">
        <f t="shared" si="60"/>
        <v>607</v>
      </c>
      <c r="B608" s="17"/>
      <c r="C608" s="16"/>
      <c r="D608" s="8" t="str">
        <f>IFERROR(VLOOKUP(C608,产品数据!$B:$D,2,FALSE),"")</f>
        <v/>
      </c>
      <c r="E608" s="8"/>
      <c r="F608" s="8" t="str">
        <f>IFERROR(VLOOKUP(C608,产品数据!$B:$D,3,FALSE),"")</f>
        <v/>
      </c>
      <c r="G608" s="8"/>
      <c r="H608" s="17"/>
      <c r="I608" s="5" t="str">
        <f>IF(C608=0,"",IF(H608=0,"未记录生产日期",IFERROR(H608+IFERROR(VLOOKUP(C608,产品数据!$B:$F,5,FALSE),"未录入生产日期"),"未写入保质期")))</f>
        <v/>
      </c>
    </row>
    <row r="609" spans="1:9">
      <c r="A609" s="8">
        <f t="shared" si="60"/>
        <v>608</v>
      </c>
      <c r="B609" s="17"/>
      <c r="C609" s="16"/>
      <c r="D609" s="8" t="str">
        <f>IFERROR(VLOOKUP(C609,产品数据!$B:$D,2,FALSE),"")</f>
        <v/>
      </c>
      <c r="E609" s="8"/>
      <c r="F609" s="8" t="str">
        <f>IFERROR(VLOOKUP(C609,产品数据!$B:$D,3,FALSE),"")</f>
        <v/>
      </c>
      <c r="G609" s="8"/>
      <c r="H609" s="17"/>
      <c r="I609" s="5" t="str">
        <f>IF(C609=0,"",IF(H609=0,"未记录生产日期",IFERROR(H609+IFERROR(VLOOKUP(C609,产品数据!$B:$F,5,FALSE),"未录入生产日期"),"未写入保质期")))</f>
        <v/>
      </c>
    </row>
    <row r="610" spans="1:9">
      <c r="A610" s="8">
        <f t="shared" si="60"/>
        <v>609</v>
      </c>
      <c r="B610" s="17"/>
      <c r="C610" s="16"/>
      <c r="D610" s="8" t="str">
        <f>IFERROR(VLOOKUP(C610,产品数据!$B:$D,2,FALSE),"")</f>
        <v/>
      </c>
      <c r="E610" s="8"/>
      <c r="F610" s="8" t="str">
        <f>IFERROR(VLOOKUP(C610,产品数据!$B:$D,3,FALSE),"")</f>
        <v/>
      </c>
      <c r="G610" s="8"/>
      <c r="H610" s="17"/>
      <c r="I610" s="5" t="str">
        <f>IF(C610=0,"",IF(H610=0,"未记录生产日期",IFERROR(H610+IFERROR(VLOOKUP(C610,产品数据!$B:$F,5,FALSE),"未录入生产日期"),"未写入保质期")))</f>
        <v/>
      </c>
    </row>
    <row r="611" spans="1:9">
      <c r="A611" s="8">
        <f t="shared" ref="A611:A620" si="61">ROW()-1</f>
        <v>610</v>
      </c>
      <c r="B611" s="17"/>
      <c r="C611" s="16"/>
      <c r="D611" s="8" t="str">
        <f>IFERROR(VLOOKUP(C611,产品数据!$B:$D,2,FALSE),"")</f>
        <v/>
      </c>
      <c r="E611" s="8"/>
      <c r="F611" s="8" t="str">
        <f>IFERROR(VLOOKUP(C611,产品数据!$B:$D,3,FALSE),"")</f>
        <v/>
      </c>
      <c r="G611" s="8"/>
      <c r="H611" s="17"/>
      <c r="I611" s="5" t="str">
        <f>IF(C611=0,"",IF(H611=0,"未记录生产日期",IFERROR(H611+IFERROR(VLOOKUP(C611,产品数据!$B:$F,5,FALSE),"未录入生产日期"),"未写入保质期")))</f>
        <v/>
      </c>
    </row>
    <row r="612" spans="1:9">
      <c r="A612" s="8">
        <f t="shared" si="61"/>
        <v>611</v>
      </c>
      <c r="B612" s="17"/>
      <c r="C612" s="16"/>
      <c r="D612" s="8" t="str">
        <f>IFERROR(VLOOKUP(C612,产品数据!$B:$D,2,FALSE),"")</f>
        <v/>
      </c>
      <c r="E612" s="8"/>
      <c r="F612" s="8" t="str">
        <f>IFERROR(VLOOKUP(C612,产品数据!$B:$D,3,FALSE),"")</f>
        <v/>
      </c>
      <c r="G612" s="8"/>
      <c r="H612" s="17"/>
      <c r="I612" s="5" t="str">
        <f>IF(C612=0,"",IF(H612=0,"未记录生产日期",IFERROR(H612+IFERROR(VLOOKUP(C612,产品数据!$B:$F,5,FALSE),"未录入生产日期"),"未写入保质期")))</f>
        <v/>
      </c>
    </row>
    <row r="613" spans="1:9">
      <c r="A613" s="8">
        <f t="shared" si="61"/>
        <v>612</v>
      </c>
      <c r="B613" s="17"/>
      <c r="C613" s="16"/>
      <c r="D613" s="8" t="str">
        <f>IFERROR(VLOOKUP(C613,产品数据!$B:$D,2,FALSE),"")</f>
        <v/>
      </c>
      <c r="E613" s="8"/>
      <c r="F613" s="8" t="str">
        <f>IFERROR(VLOOKUP(C613,产品数据!$B:$D,3,FALSE),"")</f>
        <v/>
      </c>
      <c r="G613" s="8"/>
      <c r="H613" s="17"/>
      <c r="I613" s="5" t="str">
        <f>IF(C613=0,"",IF(H613=0,"未记录生产日期",IFERROR(H613+IFERROR(VLOOKUP(C613,产品数据!$B:$F,5,FALSE),"未录入生产日期"),"未写入保质期")))</f>
        <v/>
      </c>
    </row>
    <row r="614" spans="1:9">
      <c r="A614" s="8">
        <f t="shared" si="61"/>
        <v>613</v>
      </c>
      <c r="B614" s="17"/>
      <c r="C614" s="16"/>
      <c r="D614" s="8" t="str">
        <f>IFERROR(VLOOKUP(C614,产品数据!$B:$D,2,FALSE),"")</f>
        <v/>
      </c>
      <c r="E614" s="8"/>
      <c r="F614" s="8" t="str">
        <f>IFERROR(VLOOKUP(C614,产品数据!$B:$D,3,FALSE),"")</f>
        <v/>
      </c>
      <c r="G614" s="8"/>
      <c r="H614" s="17"/>
      <c r="I614" s="5" t="str">
        <f>IF(C614=0,"",IF(H614=0,"未记录生产日期",IFERROR(H614+IFERROR(VLOOKUP(C614,产品数据!$B:$F,5,FALSE),"未录入生产日期"),"未写入保质期")))</f>
        <v/>
      </c>
    </row>
    <row r="615" spans="1:9">
      <c r="A615" s="8">
        <f t="shared" si="61"/>
        <v>614</v>
      </c>
      <c r="B615" s="17"/>
      <c r="C615" s="16"/>
      <c r="D615" s="8" t="str">
        <f>IFERROR(VLOOKUP(C615,产品数据!$B:$D,2,FALSE),"")</f>
        <v/>
      </c>
      <c r="E615" s="8"/>
      <c r="F615" s="8" t="str">
        <f>IFERROR(VLOOKUP(C615,产品数据!$B:$D,3,FALSE),"")</f>
        <v/>
      </c>
      <c r="G615" s="8"/>
      <c r="H615" s="17"/>
      <c r="I615" s="5" t="str">
        <f>IF(C615=0,"",IF(H615=0,"未记录生产日期",IFERROR(H615+IFERROR(VLOOKUP(C615,产品数据!$B:$F,5,FALSE),"未录入生产日期"),"未写入保质期")))</f>
        <v/>
      </c>
    </row>
    <row r="616" spans="1:9">
      <c r="A616" s="8">
        <f t="shared" si="61"/>
        <v>615</v>
      </c>
      <c r="B616" s="17"/>
      <c r="C616" s="16"/>
      <c r="D616" s="8" t="str">
        <f>IFERROR(VLOOKUP(C616,产品数据!$B:$D,2,FALSE),"")</f>
        <v/>
      </c>
      <c r="E616" s="8"/>
      <c r="F616" s="8" t="str">
        <f>IFERROR(VLOOKUP(C616,产品数据!$B:$D,3,FALSE),"")</f>
        <v/>
      </c>
      <c r="G616" s="8"/>
      <c r="H616" s="17"/>
      <c r="I616" s="5" t="str">
        <f>IF(C616=0,"",IF(H616=0,"未记录生产日期",IFERROR(H616+IFERROR(VLOOKUP(C616,产品数据!$B:$F,5,FALSE),"未录入生产日期"),"未写入保质期")))</f>
        <v/>
      </c>
    </row>
    <row r="617" spans="1:9">
      <c r="A617" s="8">
        <f t="shared" si="61"/>
        <v>616</v>
      </c>
      <c r="B617" s="17"/>
      <c r="C617" s="16"/>
      <c r="D617" s="8" t="str">
        <f>IFERROR(VLOOKUP(C617,产品数据!$B:$D,2,FALSE),"")</f>
        <v/>
      </c>
      <c r="E617" s="8"/>
      <c r="F617" s="8" t="str">
        <f>IFERROR(VLOOKUP(C617,产品数据!$B:$D,3,FALSE),"")</f>
        <v/>
      </c>
      <c r="G617" s="8"/>
      <c r="H617" s="17"/>
      <c r="I617" s="5" t="str">
        <f>IF(C617=0,"",IF(H617=0,"未记录生产日期",IFERROR(H617+IFERROR(VLOOKUP(C617,产品数据!$B:$F,5,FALSE),"未录入生产日期"),"未写入保质期")))</f>
        <v/>
      </c>
    </row>
    <row r="618" spans="1:9">
      <c r="A618" s="8">
        <f t="shared" si="61"/>
        <v>617</v>
      </c>
      <c r="B618" s="17"/>
      <c r="C618" s="16"/>
      <c r="D618" s="8" t="str">
        <f>IFERROR(VLOOKUP(C618,产品数据!$B:$D,2,FALSE),"")</f>
        <v/>
      </c>
      <c r="E618" s="8"/>
      <c r="F618" s="8" t="str">
        <f>IFERROR(VLOOKUP(C618,产品数据!$B:$D,3,FALSE),"")</f>
        <v/>
      </c>
      <c r="G618" s="8"/>
      <c r="H618" s="17"/>
      <c r="I618" s="5" t="str">
        <f>IF(C618=0,"",IF(H618=0,"未记录生产日期",IFERROR(H618+IFERROR(VLOOKUP(C618,产品数据!$B:$F,5,FALSE),"未录入生产日期"),"未写入保质期")))</f>
        <v/>
      </c>
    </row>
    <row r="619" spans="1:9">
      <c r="A619" s="8">
        <f t="shared" si="61"/>
        <v>618</v>
      </c>
      <c r="B619" s="17"/>
      <c r="C619" s="16"/>
      <c r="D619" s="8" t="str">
        <f>IFERROR(VLOOKUP(C619,产品数据!$B:$D,2,FALSE),"")</f>
        <v/>
      </c>
      <c r="E619" s="8"/>
      <c r="F619" s="8" t="str">
        <f>IFERROR(VLOOKUP(C619,产品数据!$B:$D,3,FALSE),"")</f>
        <v/>
      </c>
      <c r="G619" s="8"/>
      <c r="H619" s="17"/>
      <c r="I619" s="5" t="str">
        <f>IF(C619=0,"",IF(H619=0,"未记录生产日期",IFERROR(H619+IFERROR(VLOOKUP(C619,产品数据!$B:$F,5,FALSE),"未录入生产日期"),"未写入保质期")))</f>
        <v/>
      </c>
    </row>
    <row r="620" spans="1:9">
      <c r="A620" s="8">
        <f t="shared" si="61"/>
        <v>619</v>
      </c>
      <c r="B620" s="17"/>
      <c r="C620" s="16"/>
      <c r="D620" s="8" t="str">
        <f>IFERROR(VLOOKUP(C620,产品数据!$B:$D,2,FALSE),"")</f>
        <v/>
      </c>
      <c r="E620" s="8"/>
      <c r="F620" s="8" t="str">
        <f>IFERROR(VLOOKUP(C620,产品数据!$B:$D,3,FALSE),"")</f>
        <v/>
      </c>
      <c r="G620" s="8"/>
      <c r="H620" s="17"/>
      <c r="I620" s="5" t="str">
        <f>IF(C620=0,"",IF(H620=0,"未记录生产日期",IFERROR(H620+IFERROR(VLOOKUP(C620,产品数据!$B:$F,5,FALSE),"未录入生产日期"),"未写入保质期")))</f>
        <v/>
      </c>
    </row>
    <row r="621" spans="1:9">
      <c r="A621" s="8">
        <f t="shared" ref="A621:A630" si="62">ROW()-1</f>
        <v>620</v>
      </c>
      <c r="B621" s="17"/>
      <c r="C621" s="16"/>
      <c r="D621" s="8" t="str">
        <f>IFERROR(VLOOKUP(C621,产品数据!$B:$D,2,FALSE),"")</f>
        <v/>
      </c>
      <c r="E621" s="8"/>
      <c r="F621" s="8" t="str">
        <f>IFERROR(VLOOKUP(C621,产品数据!$B:$D,3,FALSE),"")</f>
        <v/>
      </c>
      <c r="G621" s="8"/>
      <c r="H621" s="17"/>
      <c r="I621" s="5" t="str">
        <f>IF(C621=0,"",IF(H621=0,"未记录生产日期",IFERROR(H621+IFERROR(VLOOKUP(C621,产品数据!$B:$F,5,FALSE),"未录入生产日期"),"未写入保质期")))</f>
        <v/>
      </c>
    </row>
    <row r="622" spans="1:9">
      <c r="A622" s="8">
        <f t="shared" si="62"/>
        <v>621</v>
      </c>
      <c r="B622" s="17"/>
      <c r="C622" s="16"/>
      <c r="D622" s="8" t="str">
        <f>IFERROR(VLOOKUP(C622,产品数据!$B:$D,2,FALSE),"")</f>
        <v/>
      </c>
      <c r="E622" s="8"/>
      <c r="F622" s="8" t="str">
        <f>IFERROR(VLOOKUP(C622,产品数据!$B:$D,3,FALSE),"")</f>
        <v/>
      </c>
      <c r="G622" s="8"/>
      <c r="H622" s="17"/>
      <c r="I622" s="5" t="str">
        <f>IF(C622=0,"",IF(H622=0,"未记录生产日期",IFERROR(H622+IFERROR(VLOOKUP(C622,产品数据!$B:$F,5,FALSE),"未录入生产日期"),"未写入保质期")))</f>
        <v/>
      </c>
    </row>
    <row r="623" spans="1:9">
      <c r="A623" s="8">
        <f t="shared" si="62"/>
        <v>622</v>
      </c>
      <c r="B623" s="17"/>
      <c r="C623" s="16"/>
      <c r="D623" s="8" t="str">
        <f>IFERROR(VLOOKUP(C623,产品数据!$B:$D,2,FALSE),"")</f>
        <v/>
      </c>
      <c r="E623" s="8"/>
      <c r="F623" s="8" t="str">
        <f>IFERROR(VLOOKUP(C623,产品数据!$B:$D,3,FALSE),"")</f>
        <v/>
      </c>
      <c r="G623" s="8"/>
      <c r="H623" s="17"/>
      <c r="I623" s="5" t="str">
        <f>IF(C623=0,"",IF(H623=0,"未记录生产日期",IFERROR(H623+IFERROR(VLOOKUP(C623,产品数据!$B:$F,5,FALSE),"未录入生产日期"),"未写入保质期")))</f>
        <v/>
      </c>
    </row>
    <row r="624" spans="1:9">
      <c r="A624" s="8">
        <f t="shared" si="62"/>
        <v>623</v>
      </c>
      <c r="B624" s="17"/>
      <c r="C624" s="16"/>
      <c r="D624" s="8" t="str">
        <f>IFERROR(VLOOKUP(C624,产品数据!$B:$D,2,FALSE),"")</f>
        <v/>
      </c>
      <c r="E624" s="8"/>
      <c r="F624" s="8" t="str">
        <f>IFERROR(VLOOKUP(C624,产品数据!$B:$D,3,FALSE),"")</f>
        <v/>
      </c>
      <c r="G624" s="8"/>
      <c r="H624" s="17"/>
      <c r="I624" s="5" t="str">
        <f>IF(C624=0,"",IF(H624=0,"未记录生产日期",IFERROR(H624+IFERROR(VLOOKUP(C624,产品数据!$B:$F,5,FALSE),"未录入生产日期"),"未写入保质期")))</f>
        <v/>
      </c>
    </row>
    <row r="625" spans="1:9">
      <c r="A625" s="8">
        <f t="shared" si="62"/>
        <v>624</v>
      </c>
      <c r="B625" s="17"/>
      <c r="C625" s="16"/>
      <c r="D625" s="8" t="str">
        <f>IFERROR(VLOOKUP(C625,产品数据!$B:$D,2,FALSE),"")</f>
        <v/>
      </c>
      <c r="E625" s="8"/>
      <c r="F625" s="8" t="str">
        <f>IFERROR(VLOOKUP(C625,产品数据!$B:$D,3,FALSE),"")</f>
        <v/>
      </c>
      <c r="G625" s="8"/>
      <c r="H625" s="17"/>
      <c r="I625" s="5" t="str">
        <f>IF(C625=0,"",IF(H625=0,"未记录生产日期",IFERROR(H625+IFERROR(VLOOKUP(C625,产品数据!$B:$F,5,FALSE),"未录入生产日期"),"未写入保质期")))</f>
        <v/>
      </c>
    </row>
    <row r="626" spans="1:9">
      <c r="A626" s="8">
        <f t="shared" si="62"/>
        <v>625</v>
      </c>
      <c r="B626" s="17"/>
      <c r="C626" s="16"/>
      <c r="D626" s="8" t="str">
        <f>IFERROR(VLOOKUP(C626,产品数据!$B:$D,2,FALSE),"")</f>
        <v/>
      </c>
      <c r="E626" s="8"/>
      <c r="F626" s="8" t="str">
        <f>IFERROR(VLOOKUP(C626,产品数据!$B:$D,3,FALSE),"")</f>
        <v/>
      </c>
      <c r="G626" s="8"/>
      <c r="H626" s="17"/>
      <c r="I626" s="5" t="str">
        <f>IF(C626=0,"",IF(H626=0,"未记录生产日期",IFERROR(H626+IFERROR(VLOOKUP(C626,产品数据!$B:$F,5,FALSE),"未录入生产日期"),"未写入保质期")))</f>
        <v/>
      </c>
    </row>
    <row r="627" spans="1:9">
      <c r="A627" s="8">
        <f t="shared" si="62"/>
        <v>626</v>
      </c>
      <c r="B627" s="17"/>
      <c r="C627" s="16"/>
      <c r="D627" s="8" t="str">
        <f>IFERROR(VLOOKUP(C627,产品数据!$B:$D,2,FALSE),"")</f>
        <v/>
      </c>
      <c r="E627" s="8"/>
      <c r="F627" s="8" t="str">
        <f>IFERROR(VLOOKUP(C627,产品数据!$B:$D,3,FALSE),"")</f>
        <v/>
      </c>
      <c r="G627" s="8"/>
      <c r="H627" s="17"/>
      <c r="I627" s="5" t="str">
        <f>IF(C627=0,"",IF(H627=0,"未记录生产日期",IFERROR(H627+IFERROR(VLOOKUP(C627,产品数据!$B:$F,5,FALSE),"未录入生产日期"),"未写入保质期")))</f>
        <v/>
      </c>
    </row>
    <row r="628" spans="1:9">
      <c r="A628" s="8">
        <f t="shared" si="62"/>
        <v>627</v>
      </c>
      <c r="B628" s="17"/>
      <c r="C628" s="16"/>
      <c r="D628" s="8" t="str">
        <f>IFERROR(VLOOKUP(C628,产品数据!$B:$D,2,FALSE),"")</f>
        <v/>
      </c>
      <c r="E628" s="8"/>
      <c r="F628" s="8" t="str">
        <f>IFERROR(VLOOKUP(C628,产品数据!$B:$D,3,FALSE),"")</f>
        <v/>
      </c>
      <c r="G628" s="8"/>
      <c r="H628" s="17"/>
      <c r="I628" s="5" t="str">
        <f>IF(C628=0,"",IF(H628=0,"未记录生产日期",IFERROR(H628+IFERROR(VLOOKUP(C628,产品数据!$B:$F,5,FALSE),"未录入生产日期"),"未写入保质期")))</f>
        <v/>
      </c>
    </row>
    <row r="629" spans="1:9">
      <c r="A629" s="8">
        <f t="shared" si="62"/>
        <v>628</v>
      </c>
      <c r="B629" s="17"/>
      <c r="C629" s="16"/>
      <c r="D629" s="8" t="str">
        <f>IFERROR(VLOOKUP(C629,产品数据!$B:$D,2,FALSE),"")</f>
        <v/>
      </c>
      <c r="E629" s="8"/>
      <c r="F629" s="8" t="str">
        <f>IFERROR(VLOOKUP(C629,产品数据!$B:$D,3,FALSE),"")</f>
        <v/>
      </c>
      <c r="G629" s="8"/>
      <c r="H629" s="17"/>
      <c r="I629" s="5" t="str">
        <f>IF(C629=0,"",IF(H629=0,"未记录生产日期",IFERROR(H629+IFERROR(VLOOKUP(C629,产品数据!$B:$F,5,FALSE),"未录入生产日期"),"未写入保质期")))</f>
        <v/>
      </c>
    </row>
    <row r="630" spans="1:9">
      <c r="A630" s="8">
        <f t="shared" si="62"/>
        <v>629</v>
      </c>
      <c r="B630" s="17"/>
      <c r="C630" s="16"/>
      <c r="D630" s="8" t="str">
        <f>IFERROR(VLOOKUP(C630,产品数据!$B:$D,2,FALSE),"")</f>
        <v/>
      </c>
      <c r="E630" s="8"/>
      <c r="F630" s="8" t="str">
        <f>IFERROR(VLOOKUP(C630,产品数据!$B:$D,3,FALSE),"")</f>
        <v/>
      </c>
      <c r="G630" s="8"/>
      <c r="H630" s="17"/>
      <c r="I630" s="5" t="str">
        <f>IF(C630=0,"",IF(H630=0,"未记录生产日期",IFERROR(H630+IFERROR(VLOOKUP(C630,产品数据!$B:$F,5,FALSE),"未录入生产日期"),"未写入保质期")))</f>
        <v/>
      </c>
    </row>
    <row r="631" spans="1:9">
      <c r="A631" s="8">
        <f t="shared" ref="A631:A640" si="63">ROW()-1</f>
        <v>630</v>
      </c>
      <c r="B631" s="17"/>
      <c r="C631" s="16"/>
      <c r="D631" s="8" t="str">
        <f>IFERROR(VLOOKUP(C631,产品数据!$B:$D,2,FALSE),"")</f>
        <v/>
      </c>
      <c r="E631" s="8"/>
      <c r="F631" s="8" t="str">
        <f>IFERROR(VLOOKUP(C631,产品数据!$B:$D,3,FALSE),"")</f>
        <v/>
      </c>
      <c r="G631" s="8"/>
      <c r="H631" s="17"/>
      <c r="I631" s="5" t="str">
        <f>IF(C631=0,"",IF(H631=0,"未记录生产日期",IFERROR(H631+IFERROR(VLOOKUP(C631,产品数据!$B:$F,5,FALSE),"未录入生产日期"),"未写入保质期")))</f>
        <v/>
      </c>
    </row>
    <row r="632" spans="1:9">
      <c r="A632" s="8">
        <f t="shared" si="63"/>
        <v>631</v>
      </c>
      <c r="B632" s="17"/>
      <c r="C632" s="16"/>
      <c r="D632" s="8" t="str">
        <f>IFERROR(VLOOKUP(C632,产品数据!$B:$D,2,FALSE),"")</f>
        <v/>
      </c>
      <c r="E632" s="8"/>
      <c r="F632" s="8" t="str">
        <f>IFERROR(VLOOKUP(C632,产品数据!$B:$D,3,FALSE),"")</f>
        <v/>
      </c>
      <c r="G632" s="8"/>
      <c r="H632" s="17"/>
      <c r="I632" s="5" t="str">
        <f>IF(C632=0,"",IF(H632=0,"未记录生产日期",IFERROR(H632+IFERROR(VLOOKUP(C632,产品数据!$B:$F,5,FALSE),"未录入生产日期"),"未写入保质期")))</f>
        <v/>
      </c>
    </row>
    <row r="633" spans="1:9">
      <c r="A633" s="8">
        <f t="shared" si="63"/>
        <v>632</v>
      </c>
      <c r="B633" s="17"/>
      <c r="C633" s="16"/>
      <c r="D633" s="8" t="str">
        <f>IFERROR(VLOOKUP(C633,产品数据!$B:$D,2,FALSE),"")</f>
        <v/>
      </c>
      <c r="E633" s="8"/>
      <c r="F633" s="8" t="str">
        <f>IFERROR(VLOOKUP(C633,产品数据!$B:$D,3,FALSE),"")</f>
        <v/>
      </c>
      <c r="G633" s="8"/>
      <c r="H633" s="17"/>
      <c r="I633" s="5" t="str">
        <f>IF(C633=0,"",IF(H633=0,"未记录生产日期",IFERROR(H633+IFERROR(VLOOKUP(C633,产品数据!$B:$F,5,FALSE),"未录入生产日期"),"未写入保质期")))</f>
        <v/>
      </c>
    </row>
    <row r="634" spans="1:9">
      <c r="A634" s="8">
        <f t="shared" si="63"/>
        <v>633</v>
      </c>
      <c r="B634" s="17"/>
      <c r="C634" s="16"/>
      <c r="D634" s="8" t="str">
        <f>IFERROR(VLOOKUP(C634,产品数据!$B:$D,2,FALSE),"")</f>
        <v/>
      </c>
      <c r="E634" s="8"/>
      <c r="F634" s="8" t="str">
        <f>IFERROR(VLOOKUP(C634,产品数据!$B:$D,3,FALSE),"")</f>
        <v/>
      </c>
      <c r="G634" s="8"/>
      <c r="H634" s="17"/>
      <c r="I634" s="5" t="str">
        <f>IF(C634=0,"",IF(H634=0,"未记录生产日期",IFERROR(H634+IFERROR(VLOOKUP(C634,产品数据!$B:$F,5,FALSE),"未录入生产日期"),"未写入保质期")))</f>
        <v/>
      </c>
    </row>
    <row r="635" spans="1:9">
      <c r="A635" s="8">
        <f t="shared" si="63"/>
        <v>634</v>
      </c>
      <c r="B635" s="17"/>
      <c r="C635" s="16"/>
      <c r="D635" s="8" t="str">
        <f>IFERROR(VLOOKUP(C635,产品数据!$B:$D,2,FALSE),"")</f>
        <v/>
      </c>
      <c r="E635" s="8"/>
      <c r="F635" s="8" t="str">
        <f>IFERROR(VLOOKUP(C635,产品数据!$B:$D,3,FALSE),"")</f>
        <v/>
      </c>
      <c r="G635" s="8"/>
      <c r="H635" s="17"/>
      <c r="I635" s="5" t="str">
        <f>IF(C635=0,"",IF(H635=0,"未记录生产日期",IFERROR(H635+IFERROR(VLOOKUP(C635,产品数据!$B:$F,5,FALSE),"未录入生产日期"),"未写入保质期")))</f>
        <v/>
      </c>
    </row>
    <row r="636" spans="1:9">
      <c r="A636" s="8">
        <f t="shared" si="63"/>
        <v>635</v>
      </c>
      <c r="B636" s="17"/>
      <c r="C636" s="16"/>
      <c r="D636" s="8" t="str">
        <f>IFERROR(VLOOKUP(C636,产品数据!$B:$D,2,FALSE),"")</f>
        <v/>
      </c>
      <c r="E636" s="8"/>
      <c r="F636" s="8" t="str">
        <f>IFERROR(VLOOKUP(C636,产品数据!$B:$D,3,FALSE),"")</f>
        <v/>
      </c>
      <c r="G636" s="8"/>
      <c r="H636" s="17"/>
      <c r="I636" s="5" t="str">
        <f>IF(C636=0,"",IF(H636=0,"未记录生产日期",IFERROR(H636+IFERROR(VLOOKUP(C636,产品数据!$B:$F,5,FALSE),"未录入生产日期"),"未写入保质期")))</f>
        <v/>
      </c>
    </row>
    <row r="637" spans="1:9">
      <c r="A637" s="8">
        <f t="shared" si="63"/>
        <v>636</v>
      </c>
      <c r="B637" s="17"/>
      <c r="C637" s="16"/>
      <c r="D637" s="8" t="str">
        <f>IFERROR(VLOOKUP(C637,产品数据!$B:$D,2,FALSE),"")</f>
        <v/>
      </c>
      <c r="E637" s="8"/>
      <c r="F637" s="8" t="str">
        <f>IFERROR(VLOOKUP(C637,产品数据!$B:$D,3,FALSE),"")</f>
        <v/>
      </c>
      <c r="G637" s="8"/>
      <c r="H637" s="17"/>
      <c r="I637" s="5" t="str">
        <f>IF(C637=0,"",IF(H637=0,"未记录生产日期",IFERROR(H637+IFERROR(VLOOKUP(C637,产品数据!$B:$F,5,FALSE),"未录入生产日期"),"未写入保质期")))</f>
        <v/>
      </c>
    </row>
    <row r="638" spans="1:9">
      <c r="A638" s="8">
        <f t="shared" si="63"/>
        <v>637</v>
      </c>
      <c r="B638" s="17"/>
      <c r="C638" s="16"/>
      <c r="D638" s="8" t="str">
        <f>IFERROR(VLOOKUP(C638,产品数据!$B:$D,2,FALSE),"")</f>
        <v/>
      </c>
      <c r="E638" s="8"/>
      <c r="F638" s="8" t="str">
        <f>IFERROR(VLOOKUP(C638,产品数据!$B:$D,3,FALSE),"")</f>
        <v/>
      </c>
      <c r="G638" s="8"/>
      <c r="H638" s="17"/>
      <c r="I638" s="5" t="str">
        <f>IF(C638=0,"",IF(H638=0,"未记录生产日期",IFERROR(H638+IFERROR(VLOOKUP(C638,产品数据!$B:$F,5,FALSE),"未录入生产日期"),"未写入保质期")))</f>
        <v/>
      </c>
    </row>
    <row r="639" spans="1:9">
      <c r="A639" s="8">
        <f t="shared" si="63"/>
        <v>638</v>
      </c>
      <c r="B639" s="17"/>
      <c r="C639" s="16"/>
      <c r="D639" s="8" t="str">
        <f>IFERROR(VLOOKUP(C639,产品数据!$B:$D,2,FALSE),"")</f>
        <v/>
      </c>
      <c r="E639" s="8"/>
      <c r="F639" s="8" t="str">
        <f>IFERROR(VLOOKUP(C639,产品数据!$B:$D,3,FALSE),"")</f>
        <v/>
      </c>
      <c r="G639" s="8"/>
      <c r="H639" s="17"/>
      <c r="I639" s="5" t="str">
        <f>IF(C639=0,"",IF(H639=0,"未记录生产日期",IFERROR(H639+IFERROR(VLOOKUP(C639,产品数据!$B:$F,5,FALSE),"未录入生产日期"),"未写入保质期")))</f>
        <v/>
      </c>
    </row>
    <row r="640" spans="1:9">
      <c r="A640" s="8">
        <f t="shared" si="63"/>
        <v>639</v>
      </c>
      <c r="B640" s="17"/>
      <c r="C640" s="16"/>
      <c r="D640" s="8" t="str">
        <f>IFERROR(VLOOKUP(C640,产品数据!$B:$D,2,FALSE),"")</f>
        <v/>
      </c>
      <c r="E640" s="8"/>
      <c r="F640" s="8" t="str">
        <f>IFERROR(VLOOKUP(C640,产品数据!$B:$D,3,FALSE),"")</f>
        <v/>
      </c>
      <c r="G640" s="8"/>
      <c r="H640" s="17"/>
      <c r="I640" s="5" t="str">
        <f>IF(C640=0,"",IF(H640=0,"未记录生产日期",IFERROR(H640+IFERROR(VLOOKUP(C640,产品数据!$B:$F,5,FALSE),"未录入生产日期"),"未写入保质期")))</f>
        <v/>
      </c>
    </row>
    <row r="641" spans="1:9">
      <c r="A641" s="8">
        <f t="shared" ref="A641:A650" si="64">ROW()-1</f>
        <v>640</v>
      </c>
      <c r="B641" s="17"/>
      <c r="C641" s="16"/>
      <c r="D641" s="8" t="str">
        <f>IFERROR(VLOOKUP(C641,产品数据!$B:$D,2,FALSE),"")</f>
        <v/>
      </c>
      <c r="E641" s="8"/>
      <c r="F641" s="8" t="str">
        <f>IFERROR(VLOOKUP(C641,产品数据!$B:$D,3,FALSE),"")</f>
        <v/>
      </c>
      <c r="G641" s="8"/>
      <c r="H641" s="17"/>
      <c r="I641" s="5" t="str">
        <f>IF(C641=0,"",IF(H641=0,"未记录生产日期",IFERROR(H641+IFERROR(VLOOKUP(C641,产品数据!$B:$F,5,FALSE),"未录入生产日期"),"未写入保质期")))</f>
        <v/>
      </c>
    </row>
    <row r="642" spans="1:9">
      <c r="A642" s="8">
        <f t="shared" si="64"/>
        <v>641</v>
      </c>
      <c r="B642" s="17"/>
      <c r="C642" s="16"/>
      <c r="D642" s="8" t="str">
        <f>IFERROR(VLOOKUP(C642,产品数据!$B:$D,2,FALSE),"")</f>
        <v/>
      </c>
      <c r="E642" s="8"/>
      <c r="F642" s="8" t="str">
        <f>IFERROR(VLOOKUP(C642,产品数据!$B:$D,3,FALSE),"")</f>
        <v/>
      </c>
      <c r="G642" s="8"/>
      <c r="H642" s="17"/>
      <c r="I642" s="5" t="str">
        <f>IF(C642=0,"",IF(H642=0,"未记录生产日期",IFERROR(H642+IFERROR(VLOOKUP(C642,产品数据!$B:$F,5,FALSE),"未录入生产日期"),"未写入保质期")))</f>
        <v/>
      </c>
    </row>
    <row r="643" spans="1:9">
      <c r="A643" s="8">
        <f t="shared" si="64"/>
        <v>642</v>
      </c>
      <c r="B643" s="17"/>
      <c r="C643" s="16"/>
      <c r="D643" s="8" t="str">
        <f>IFERROR(VLOOKUP(C643,产品数据!$B:$D,2,FALSE),"")</f>
        <v/>
      </c>
      <c r="E643" s="8"/>
      <c r="F643" s="8" t="str">
        <f>IFERROR(VLOOKUP(C643,产品数据!$B:$D,3,FALSE),"")</f>
        <v/>
      </c>
      <c r="G643" s="8"/>
      <c r="H643" s="17"/>
      <c r="I643" s="5" t="str">
        <f>IF(C643=0,"",IF(H643=0,"未记录生产日期",IFERROR(H643+IFERROR(VLOOKUP(C643,产品数据!$B:$F,5,FALSE),"未录入生产日期"),"未写入保质期")))</f>
        <v/>
      </c>
    </row>
    <row r="644" spans="1:9">
      <c r="A644" s="8">
        <f t="shared" si="64"/>
        <v>643</v>
      </c>
      <c r="B644" s="17"/>
      <c r="C644" s="16"/>
      <c r="D644" s="8" t="str">
        <f>IFERROR(VLOOKUP(C644,产品数据!$B:$D,2,FALSE),"")</f>
        <v/>
      </c>
      <c r="E644" s="8"/>
      <c r="F644" s="8" t="str">
        <f>IFERROR(VLOOKUP(C644,产品数据!$B:$D,3,FALSE),"")</f>
        <v/>
      </c>
      <c r="G644" s="8"/>
      <c r="H644" s="17"/>
      <c r="I644" s="5" t="str">
        <f>IF(C644=0,"",IF(H644=0,"未记录生产日期",IFERROR(H644+IFERROR(VLOOKUP(C644,产品数据!$B:$F,5,FALSE),"未录入生产日期"),"未写入保质期")))</f>
        <v/>
      </c>
    </row>
    <row r="645" spans="1:9">
      <c r="A645" s="8">
        <f t="shared" si="64"/>
        <v>644</v>
      </c>
      <c r="B645" s="17"/>
      <c r="C645" s="16"/>
      <c r="D645" s="8" t="str">
        <f>IFERROR(VLOOKUP(C645,产品数据!$B:$D,2,FALSE),"")</f>
        <v/>
      </c>
      <c r="E645" s="8"/>
      <c r="F645" s="8" t="str">
        <f>IFERROR(VLOOKUP(C645,产品数据!$B:$D,3,FALSE),"")</f>
        <v/>
      </c>
      <c r="G645" s="8"/>
      <c r="H645" s="17"/>
      <c r="I645" s="5" t="str">
        <f>IF(C645=0,"",IF(H645=0,"未记录生产日期",IFERROR(H645+IFERROR(VLOOKUP(C645,产品数据!$B:$F,5,FALSE),"未录入生产日期"),"未写入保质期")))</f>
        <v/>
      </c>
    </row>
    <row r="646" spans="1:9">
      <c r="A646" s="8">
        <f t="shared" si="64"/>
        <v>645</v>
      </c>
      <c r="B646" s="17"/>
      <c r="C646" s="16"/>
      <c r="D646" s="8" t="str">
        <f>IFERROR(VLOOKUP(C646,产品数据!$B:$D,2,FALSE),"")</f>
        <v/>
      </c>
      <c r="E646" s="8"/>
      <c r="F646" s="8" t="str">
        <f>IFERROR(VLOOKUP(C646,产品数据!$B:$D,3,FALSE),"")</f>
        <v/>
      </c>
      <c r="G646" s="8"/>
      <c r="H646" s="17"/>
      <c r="I646" s="5" t="str">
        <f>IF(C646=0,"",IF(H646=0,"未记录生产日期",IFERROR(H646+IFERROR(VLOOKUP(C646,产品数据!$B:$F,5,FALSE),"未录入生产日期"),"未写入保质期")))</f>
        <v/>
      </c>
    </row>
    <row r="647" spans="1:9">
      <c r="A647" s="8">
        <f t="shared" si="64"/>
        <v>646</v>
      </c>
      <c r="B647" s="17"/>
      <c r="C647" s="16"/>
      <c r="D647" s="8" t="str">
        <f>IFERROR(VLOOKUP(C647,产品数据!$B:$D,2,FALSE),"")</f>
        <v/>
      </c>
      <c r="E647" s="8"/>
      <c r="F647" s="8" t="str">
        <f>IFERROR(VLOOKUP(C647,产品数据!$B:$D,3,FALSE),"")</f>
        <v/>
      </c>
      <c r="G647" s="8"/>
      <c r="H647" s="17"/>
      <c r="I647" s="5" t="str">
        <f>IF(C647=0,"",IF(H647=0,"未记录生产日期",IFERROR(H647+IFERROR(VLOOKUP(C647,产品数据!$B:$F,5,FALSE),"未录入生产日期"),"未写入保质期")))</f>
        <v/>
      </c>
    </row>
    <row r="648" spans="1:9">
      <c r="A648" s="8">
        <f t="shared" si="64"/>
        <v>647</v>
      </c>
      <c r="B648" s="17"/>
      <c r="C648" s="16"/>
      <c r="D648" s="8" t="str">
        <f>IFERROR(VLOOKUP(C648,产品数据!$B:$D,2,FALSE),"")</f>
        <v/>
      </c>
      <c r="E648" s="8"/>
      <c r="F648" s="8" t="str">
        <f>IFERROR(VLOOKUP(C648,产品数据!$B:$D,3,FALSE),"")</f>
        <v/>
      </c>
      <c r="G648" s="8"/>
      <c r="H648" s="17"/>
      <c r="I648" s="5" t="str">
        <f>IF(C648=0,"",IF(H648=0,"未记录生产日期",IFERROR(H648+IFERROR(VLOOKUP(C648,产品数据!$B:$F,5,FALSE),"未录入生产日期"),"未写入保质期")))</f>
        <v/>
      </c>
    </row>
    <row r="649" spans="1:9">
      <c r="A649" s="8">
        <f t="shared" si="64"/>
        <v>648</v>
      </c>
      <c r="B649" s="17"/>
      <c r="C649" s="16"/>
      <c r="D649" s="8" t="str">
        <f>IFERROR(VLOOKUP(C649,产品数据!$B:$D,2,FALSE),"")</f>
        <v/>
      </c>
      <c r="E649" s="8"/>
      <c r="F649" s="8" t="str">
        <f>IFERROR(VLOOKUP(C649,产品数据!$B:$D,3,FALSE),"")</f>
        <v/>
      </c>
      <c r="G649" s="8"/>
      <c r="H649" s="17"/>
      <c r="I649" s="5" t="str">
        <f>IF(C649=0,"",IF(H649=0,"未记录生产日期",IFERROR(H649+IFERROR(VLOOKUP(C649,产品数据!$B:$F,5,FALSE),"未录入生产日期"),"未写入保质期")))</f>
        <v/>
      </c>
    </row>
    <row r="650" spans="1:9">
      <c r="A650" s="8">
        <f t="shared" si="64"/>
        <v>649</v>
      </c>
      <c r="B650" s="17"/>
      <c r="C650" s="16"/>
      <c r="D650" s="8" t="str">
        <f>IFERROR(VLOOKUP(C650,产品数据!$B:$D,2,FALSE),"")</f>
        <v/>
      </c>
      <c r="E650" s="8"/>
      <c r="F650" s="8" t="str">
        <f>IFERROR(VLOOKUP(C650,产品数据!$B:$D,3,FALSE),"")</f>
        <v/>
      </c>
      <c r="G650" s="8"/>
      <c r="H650" s="17"/>
      <c r="I650" s="5" t="str">
        <f>IF(C650=0,"",IF(H650=0,"未记录生产日期",IFERROR(H650+IFERROR(VLOOKUP(C650,产品数据!$B:$F,5,FALSE),"未录入生产日期"),"未写入保质期")))</f>
        <v/>
      </c>
    </row>
    <row r="651" spans="1:9">
      <c r="A651" s="8">
        <f t="shared" ref="A651:A665" si="65">ROW()-1</f>
        <v>650</v>
      </c>
      <c r="B651" s="17"/>
      <c r="C651" s="16"/>
      <c r="D651" s="8" t="str">
        <f>IFERROR(VLOOKUP(C651,产品数据!$B:$D,2,FALSE),"")</f>
        <v/>
      </c>
      <c r="E651" s="8"/>
      <c r="F651" s="8" t="str">
        <f>IFERROR(VLOOKUP(C651,产品数据!$B:$D,3,FALSE),"")</f>
        <v/>
      </c>
      <c r="G651" s="8"/>
      <c r="H651" s="17"/>
      <c r="I651" s="5" t="str">
        <f>IF(C651=0,"",IF(H651=0,"未记录生产日期",IFERROR(H651+IFERROR(VLOOKUP(C651,产品数据!$B:$F,5,FALSE),"未录入生产日期"),"未写入保质期")))</f>
        <v/>
      </c>
    </row>
    <row r="652" spans="1:9">
      <c r="A652" s="8">
        <f t="shared" si="65"/>
        <v>651</v>
      </c>
      <c r="B652" s="17"/>
      <c r="C652" s="16"/>
      <c r="D652" s="8" t="str">
        <f>IFERROR(VLOOKUP(C652,产品数据!$B:$D,2,FALSE),"")</f>
        <v/>
      </c>
      <c r="E652" s="8"/>
      <c r="F652" s="8" t="str">
        <f>IFERROR(VLOOKUP(C652,产品数据!$B:$D,3,FALSE),"")</f>
        <v/>
      </c>
      <c r="G652" s="8"/>
      <c r="H652" s="17"/>
      <c r="I652" s="5" t="str">
        <f>IF(C652=0,"",IF(H652=0,"未记录生产日期",IFERROR(H652+IFERROR(VLOOKUP(C652,产品数据!$B:$F,5,FALSE),"未录入生产日期"),"未写入保质期")))</f>
        <v/>
      </c>
    </row>
    <row r="653" spans="1:9">
      <c r="A653" s="8">
        <f t="shared" si="65"/>
        <v>652</v>
      </c>
      <c r="B653" s="17"/>
      <c r="C653" s="16"/>
      <c r="D653" s="8" t="str">
        <f>IFERROR(VLOOKUP(C653,产品数据!$B:$D,2,FALSE),"")</f>
        <v/>
      </c>
      <c r="E653" s="8"/>
      <c r="F653" s="8" t="str">
        <f>IFERROR(VLOOKUP(C653,产品数据!$B:$D,3,FALSE),"")</f>
        <v/>
      </c>
      <c r="G653" s="8"/>
      <c r="H653" s="17"/>
      <c r="I653" s="5" t="str">
        <f>IF(C653=0,"",IF(H653=0,"未记录生产日期",IFERROR(H653+IFERROR(VLOOKUP(C653,产品数据!$B:$F,5,FALSE),"未录入生产日期"),"未写入保质期")))</f>
        <v/>
      </c>
    </row>
    <row r="654" spans="1:9">
      <c r="A654" s="8">
        <f t="shared" si="65"/>
        <v>653</v>
      </c>
      <c r="B654" s="17"/>
      <c r="C654" s="16"/>
      <c r="D654" s="8" t="str">
        <f>IFERROR(VLOOKUP(C654,产品数据!$B:$D,2,FALSE),"")</f>
        <v/>
      </c>
      <c r="E654" s="8"/>
      <c r="F654" s="8" t="str">
        <f>IFERROR(VLOOKUP(C654,产品数据!$B:$D,3,FALSE),"")</f>
        <v/>
      </c>
      <c r="G654" s="8"/>
      <c r="H654" s="17"/>
      <c r="I654" s="5" t="str">
        <f>IF(C654=0,"",IF(H654=0,"未记录生产日期",IFERROR(H654+IFERROR(VLOOKUP(C654,产品数据!$B:$F,5,FALSE),"未录入生产日期"),"未写入保质期")))</f>
        <v/>
      </c>
    </row>
    <row r="655" spans="1:9">
      <c r="A655" s="8">
        <f t="shared" si="65"/>
        <v>654</v>
      </c>
      <c r="B655" s="17"/>
      <c r="C655" s="16"/>
      <c r="D655" s="8" t="str">
        <f>IFERROR(VLOOKUP(C655,产品数据!$B:$D,2,FALSE),"")</f>
        <v/>
      </c>
      <c r="E655" s="8"/>
      <c r="F655" s="8" t="str">
        <f>IFERROR(VLOOKUP(C655,产品数据!$B:$D,3,FALSE),"")</f>
        <v/>
      </c>
      <c r="G655" s="8"/>
      <c r="H655" s="17"/>
      <c r="I655" s="5" t="str">
        <f>IF(C655=0,"",IF(H655=0,"未记录生产日期",IFERROR(H655+IFERROR(VLOOKUP(C655,产品数据!$B:$F,5,FALSE),"未录入生产日期"),"未写入保质期")))</f>
        <v/>
      </c>
    </row>
    <row r="656" spans="1:9">
      <c r="A656" s="8">
        <f t="shared" si="65"/>
        <v>655</v>
      </c>
      <c r="B656" s="17"/>
      <c r="C656" s="16"/>
      <c r="D656" s="8" t="str">
        <f>IFERROR(VLOOKUP(C656,产品数据!$B:$D,2,FALSE),"")</f>
        <v/>
      </c>
      <c r="E656" s="8"/>
      <c r="F656" s="8" t="str">
        <f>IFERROR(VLOOKUP(C656,产品数据!$B:$D,3,FALSE),"")</f>
        <v/>
      </c>
      <c r="G656" s="8"/>
      <c r="H656" s="17"/>
      <c r="I656" s="5" t="str">
        <f>IF(C656=0,"",IF(H656=0,"未记录生产日期",IFERROR(H656+IFERROR(VLOOKUP(C656,产品数据!$B:$F,5,FALSE),"未录入生产日期"),"未写入保质期")))</f>
        <v/>
      </c>
    </row>
    <row r="657" spans="1:9">
      <c r="A657" s="8">
        <f t="shared" si="65"/>
        <v>656</v>
      </c>
      <c r="B657" s="17"/>
      <c r="C657" s="16"/>
      <c r="D657" s="8" t="str">
        <f>IFERROR(VLOOKUP(C657,产品数据!$B:$D,2,FALSE),"")</f>
        <v/>
      </c>
      <c r="E657" s="8"/>
      <c r="F657" s="8" t="str">
        <f>IFERROR(VLOOKUP(C657,产品数据!$B:$D,3,FALSE),"")</f>
        <v/>
      </c>
      <c r="G657" s="8"/>
      <c r="H657" s="17"/>
      <c r="I657" s="5" t="str">
        <f>IF(C657=0,"",IF(H657=0,"未记录生产日期",IFERROR(H657+IFERROR(VLOOKUP(C657,产品数据!$B:$F,5,FALSE),"未录入生产日期"),"未写入保质期")))</f>
        <v/>
      </c>
    </row>
    <row r="658" spans="1:9">
      <c r="A658" s="8">
        <f t="shared" si="65"/>
        <v>657</v>
      </c>
      <c r="B658" s="17"/>
      <c r="C658" s="16"/>
      <c r="D658" s="8" t="str">
        <f>IFERROR(VLOOKUP(C658,产品数据!$B:$D,2,FALSE),"")</f>
        <v/>
      </c>
      <c r="E658" s="8"/>
      <c r="F658" s="8" t="str">
        <f>IFERROR(VLOOKUP(C658,产品数据!$B:$D,3,FALSE),"")</f>
        <v/>
      </c>
      <c r="G658" s="8"/>
      <c r="H658" s="17"/>
      <c r="I658" s="5" t="str">
        <f>IF(C658=0,"",IF(H658=0,"未记录生产日期",IFERROR(H658+IFERROR(VLOOKUP(C658,产品数据!$B:$F,5,FALSE),"未录入生产日期"),"未写入保质期")))</f>
        <v/>
      </c>
    </row>
    <row r="659" spans="1:9">
      <c r="A659" s="8">
        <f t="shared" si="65"/>
        <v>658</v>
      </c>
      <c r="B659" s="17"/>
      <c r="C659" s="16"/>
      <c r="D659" s="8" t="str">
        <f>IFERROR(VLOOKUP(C659,产品数据!$B:$D,2,FALSE),"")</f>
        <v/>
      </c>
      <c r="E659" s="8"/>
      <c r="F659" s="8" t="str">
        <f>IFERROR(VLOOKUP(C659,产品数据!$B:$D,3,FALSE),"")</f>
        <v/>
      </c>
      <c r="G659" s="8"/>
      <c r="H659" s="17"/>
      <c r="I659" s="5" t="str">
        <f>IF(C659=0,"",IF(H659=0,"未记录生产日期",IFERROR(H659+IFERROR(VLOOKUP(C659,产品数据!$B:$F,5,FALSE),"未录入生产日期"),"未写入保质期")))</f>
        <v/>
      </c>
    </row>
    <row r="660" spans="1:9">
      <c r="A660" s="8">
        <f t="shared" si="65"/>
        <v>659</v>
      </c>
      <c r="B660" s="17"/>
      <c r="C660" s="16"/>
      <c r="D660" s="8" t="str">
        <f>IFERROR(VLOOKUP(C660,产品数据!$B:$D,2,FALSE),"")</f>
        <v/>
      </c>
      <c r="E660" s="8"/>
      <c r="F660" s="8" t="str">
        <f>IFERROR(VLOOKUP(C660,产品数据!$B:$D,3,FALSE),"")</f>
        <v/>
      </c>
      <c r="G660" s="8"/>
      <c r="H660" s="17"/>
      <c r="I660" s="5" t="str">
        <f>IF(C660=0,"",IF(H660=0,"未记录生产日期",IFERROR(H660+IFERROR(VLOOKUP(C660,产品数据!$B:$F,5,FALSE),"未录入生产日期"),"未写入保质期")))</f>
        <v/>
      </c>
    </row>
    <row r="661" spans="1:9">
      <c r="A661" s="8">
        <f t="shared" si="65"/>
        <v>660</v>
      </c>
      <c r="B661" s="17"/>
      <c r="C661" s="16"/>
      <c r="D661" s="8" t="str">
        <f>IFERROR(VLOOKUP(C661,产品数据!$B:$D,2,FALSE),"")</f>
        <v/>
      </c>
      <c r="E661" s="8"/>
      <c r="F661" s="8" t="str">
        <f>IFERROR(VLOOKUP(C661,产品数据!$B:$D,3,FALSE),"")</f>
        <v/>
      </c>
      <c r="G661" s="8"/>
      <c r="H661" s="17"/>
      <c r="I661" s="5" t="str">
        <f>IF(C661=0,"",IF(H661=0,"未记录生产日期",IFERROR(H661+IFERROR(VLOOKUP(C661,产品数据!$B:$F,5,FALSE),"未录入生产日期"),"未写入保质期")))</f>
        <v/>
      </c>
    </row>
    <row r="662" spans="1:9">
      <c r="A662" s="8">
        <f t="shared" si="65"/>
        <v>661</v>
      </c>
      <c r="B662" s="17"/>
      <c r="C662" s="16"/>
      <c r="D662" s="8" t="str">
        <f>IFERROR(VLOOKUP(C662,产品数据!$B:$D,2,FALSE),"")</f>
        <v/>
      </c>
      <c r="E662" s="8"/>
      <c r="F662" s="8" t="str">
        <f>IFERROR(VLOOKUP(C662,产品数据!$B:$D,3,FALSE),"")</f>
        <v/>
      </c>
      <c r="G662" s="8"/>
      <c r="H662" s="17"/>
      <c r="I662" s="5" t="str">
        <f>IF(C662=0,"",IF(H662=0,"未记录生产日期",IFERROR(H662+IFERROR(VLOOKUP(C662,产品数据!$B:$F,5,FALSE),"未录入生产日期"),"未写入保质期")))</f>
        <v/>
      </c>
    </row>
    <row r="663" spans="1:9">
      <c r="A663" s="8">
        <f t="shared" si="65"/>
        <v>662</v>
      </c>
      <c r="B663" s="17"/>
      <c r="C663" s="16"/>
      <c r="D663" s="8" t="str">
        <f>IFERROR(VLOOKUP(C663,产品数据!$B:$D,2,FALSE),"")</f>
        <v/>
      </c>
      <c r="E663" s="8"/>
      <c r="F663" s="8" t="str">
        <f>IFERROR(VLOOKUP(C663,产品数据!$B:$D,3,FALSE),"")</f>
        <v/>
      </c>
      <c r="G663" s="8"/>
      <c r="H663" s="17"/>
      <c r="I663" s="5" t="str">
        <f>IF(C663=0,"",IF(H663=0,"未记录生产日期",IFERROR(H663+IFERROR(VLOOKUP(C663,产品数据!$B:$F,5,FALSE),"未录入生产日期"),"未写入保质期")))</f>
        <v/>
      </c>
    </row>
    <row r="664" spans="1:9">
      <c r="A664" s="8">
        <f t="shared" si="65"/>
        <v>663</v>
      </c>
      <c r="B664" s="17"/>
      <c r="C664" s="16"/>
      <c r="D664" s="8" t="str">
        <f>IFERROR(VLOOKUP(C664,产品数据!$B:$D,2,FALSE),"")</f>
        <v/>
      </c>
      <c r="E664" s="8"/>
      <c r="F664" s="8" t="str">
        <f>IFERROR(VLOOKUP(C664,产品数据!$B:$D,3,FALSE),"")</f>
        <v/>
      </c>
      <c r="G664" s="8"/>
      <c r="H664" s="17"/>
      <c r="I664" s="5" t="str">
        <f>IF(C664=0,"",IF(H664=0,"未记录生产日期",IFERROR(H664+IFERROR(VLOOKUP(C664,产品数据!$B:$F,5,FALSE),"未录入生产日期"),"未写入保质期")))</f>
        <v/>
      </c>
    </row>
    <row r="665" spans="1:9">
      <c r="A665" s="8">
        <f t="shared" si="65"/>
        <v>664</v>
      </c>
      <c r="B665" s="17"/>
      <c r="C665" s="16"/>
      <c r="D665" s="8" t="str">
        <f>IFERROR(VLOOKUP(C665,产品数据!$B:$D,2,FALSE),"")</f>
        <v/>
      </c>
      <c r="E665" s="8"/>
      <c r="F665" s="8" t="str">
        <f>IFERROR(VLOOKUP(C665,产品数据!$B:$D,3,FALSE),"")</f>
        <v/>
      </c>
      <c r="G665" s="8"/>
      <c r="H665" s="17"/>
      <c r="I665" s="5" t="str">
        <f>IF(C665=0,"",IF(H665=0,"未记录生产日期",IFERROR(H665+IFERROR(VLOOKUP(C665,产品数据!$B:$F,5,FALSE),"未录入生产日期"),"未写入保质期")))</f>
        <v/>
      </c>
    </row>
    <row r="666" spans="1:9">
      <c r="A666" s="8"/>
      <c r="B666" s="17"/>
      <c r="C666" s="16"/>
      <c r="D666" s="8"/>
      <c r="E666" s="8"/>
      <c r="F666" s="8"/>
      <c r="G666" s="8"/>
      <c r="H666" s="17"/>
      <c r="I666" s="17"/>
    </row>
    <row r="667" spans="1:9">
      <c r="A667" s="8"/>
      <c r="B667" s="17"/>
      <c r="C667" s="16"/>
      <c r="D667" s="8"/>
      <c r="E667" s="8"/>
      <c r="F667" s="8"/>
      <c r="G667" s="8"/>
      <c r="H667" s="17"/>
      <c r="I667" s="17"/>
    </row>
    <row r="668" spans="1:9">
      <c r="A668" s="8"/>
      <c r="B668" s="17"/>
      <c r="C668" s="16"/>
      <c r="D668" s="8"/>
      <c r="E668" s="8"/>
      <c r="F668" s="8"/>
      <c r="G668" s="8"/>
      <c r="H668" s="17"/>
      <c r="I668" s="17"/>
    </row>
    <row r="669" spans="1:9">
      <c r="A669" s="8"/>
      <c r="B669" s="17"/>
      <c r="C669" s="16"/>
      <c r="D669" s="8"/>
      <c r="E669" s="8"/>
      <c r="F669" s="8"/>
      <c r="G669" s="8"/>
      <c r="H669" s="17"/>
      <c r="I669" s="17"/>
    </row>
    <row r="670" spans="1:9">
      <c r="A670" s="8"/>
      <c r="B670" s="17"/>
      <c r="C670" s="16"/>
      <c r="D670" s="8"/>
      <c r="E670" s="8"/>
      <c r="F670" s="8"/>
      <c r="G670" s="8"/>
      <c r="H670" s="17"/>
      <c r="I670" s="17"/>
    </row>
    <row r="671" spans="1:9">
      <c r="A671" s="8"/>
      <c r="B671" s="17"/>
      <c r="C671" s="16"/>
      <c r="D671" s="8"/>
      <c r="E671" s="8"/>
      <c r="F671" s="8"/>
      <c r="G671" s="8"/>
      <c r="H671" s="17"/>
      <c r="I671" s="17"/>
    </row>
    <row r="672" spans="1:9">
      <c r="A672" s="8"/>
      <c r="B672" s="17"/>
      <c r="C672" s="16"/>
      <c r="D672" s="8"/>
      <c r="E672" s="8"/>
      <c r="F672" s="8"/>
      <c r="G672" s="8"/>
      <c r="H672" s="17"/>
      <c r="I672" s="17"/>
    </row>
    <row r="673" spans="1:9">
      <c r="A673" s="8"/>
      <c r="B673" s="17"/>
      <c r="C673" s="16"/>
      <c r="D673" s="8"/>
      <c r="E673" s="8"/>
      <c r="F673" s="8"/>
      <c r="G673" s="8"/>
      <c r="H673" s="17"/>
      <c r="I673" s="17"/>
    </row>
    <row r="674" spans="1:9">
      <c r="A674" s="8"/>
      <c r="B674" s="17"/>
      <c r="C674" s="16"/>
      <c r="D674" s="8"/>
      <c r="E674" s="8"/>
      <c r="F674" s="8"/>
      <c r="G674" s="8"/>
      <c r="H674" s="17"/>
      <c r="I674" s="17"/>
    </row>
    <row r="675" spans="1:9">
      <c r="A675" s="8"/>
      <c r="B675" s="17"/>
      <c r="C675" s="16"/>
      <c r="D675" s="8"/>
      <c r="E675" s="8"/>
      <c r="F675" s="8"/>
      <c r="G675" s="8"/>
      <c r="H675" s="17"/>
      <c r="I675" s="17"/>
    </row>
    <row r="676" spans="1:9">
      <c r="A676" s="8"/>
      <c r="B676" s="17"/>
      <c r="C676" s="16"/>
      <c r="D676" s="8"/>
      <c r="E676" s="8"/>
      <c r="F676" s="8"/>
      <c r="G676" s="8"/>
      <c r="H676" s="17"/>
      <c r="I676" s="17"/>
    </row>
    <row r="677" spans="1:9">
      <c r="A677" s="8"/>
      <c r="B677" s="17"/>
      <c r="C677" s="16"/>
      <c r="D677" s="8"/>
      <c r="E677" s="8"/>
      <c r="F677" s="8"/>
      <c r="G677" s="8"/>
      <c r="H677" s="17"/>
      <c r="I677" s="17"/>
    </row>
    <row r="678" spans="1:9">
      <c r="A678" s="8"/>
      <c r="B678" s="17"/>
      <c r="C678" s="16"/>
      <c r="D678" s="8"/>
      <c r="E678" s="8"/>
      <c r="F678" s="8"/>
      <c r="G678" s="8"/>
      <c r="H678" s="17"/>
      <c r="I678" s="17"/>
    </row>
    <row r="679" spans="1:9">
      <c r="A679" s="8"/>
      <c r="B679" s="17"/>
      <c r="C679" s="16"/>
      <c r="D679" s="8"/>
      <c r="E679" s="8"/>
      <c r="F679" s="8"/>
      <c r="G679" s="8"/>
      <c r="H679" s="17"/>
      <c r="I679" s="17"/>
    </row>
    <row r="680" spans="1:9">
      <c r="A680" s="8"/>
      <c r="B680" s="17"/>
      <c r="C680" s="16"/>
      <c r="D680" s="8"/>
      <c r="E680" s="8"/>
      <c r="F680" s="8"/>
      <c r="G680" s="8"/>
      <c r="H680" s="17"/>
      <c r="I680" s="17"/>
    </row>
    <row r="681" spans="1:9">
      <c r="A681" s="8"/>
      <c r="B681" s="17"/>
      <c r="C681" s="16"/>
      <c r="D681" s="8"/>
      <c r="E681" s="8"/>
      <c r="F681" s="8"/>
      <c r="G681" s="8"/>
      <c r="H681" s="17"/>
      <c r="I681" s="17"/>
    </row>
    <row r="682" spans="1:9">
      <c r="A682" s="8"/>
      <c r="B682" s="17"/>
      <c r="C682" s="16"/>
      <c r="D682" s="8"/>
      <c r="E682" s="8"/>
      <c r="F682" s="8"/>
      <c r="G682" s="8"/>
      <c r="H682" s="17"/>
      <c r="I682" s="17"/>
    </row>
    <row r="683" spans="1:9">
      <c r="A683" s="8"/>
      <c r="B683" s="17"/>
      <c r="C683" s="16"/>
      <c r="D683" s="8"/>
      <c r="E683" s="8"/>
      <c r="F683" s="8"/>
      <c r="G683" s="8"/>
      <c r="H683" s="17"/>
      <c r="I683" s="17"/>
    </row>
    <row r="684" spans="1:9">
      <c r="A684" s="8"/>
      <c r="B684" s="17"/>
      <c r="C684" s="16"/>
      <c r="D684" s="8"/>
      <c r="E684" s="8"/>
      <c r="F684" s="8"/>
      <c r="G684" s="8"/>
      <c r="H684" s="17"/>
      <c r="I684" s="17"/>
    </row>
    <row r="685" spans="1:9">
      <c r="A685" s="8"/>
      <c r="B685" s="17"/>
      <c r="C685" s="16"/>
      <c r="D685" s="8"/>
      <c r="E685" s="8"/>
      <c r="F685" s="8"/>
      <c r="G685" s="8"/>
      <c r="H685" s="17"/>
      <c r="I685" s="17"/>
    </row>
    <row r="686" spans="1:9">
      <c r="A686" s="8"/>
      <c r="B686" s="17"/>
      <c r="C686" s="16"/>
      <c r="D686" s="8"/>
      <c r="E686" s="8"/>
      <c r="F686" s="8"/>
      <c r="G686" s="8"/>
      <c r="H686" s="17"/>
      <c r="I686" s="17"/>
    </row>
    <row r="687" spans="1:9">
      <c r="A687" s="8"/>
      <c r="B687" s="17"/>
      <c r="C687" s="16"/>
      <c r="D687" s="8"/>
      <c r="E687" s="8"/>
      <c r="F687" s="8"/>
      <c r="G687" s="8"/>
      <c r="H687" s="17"/>
      <c r="I687" s="17"/>
    </row>
    <row r="688" spans="1:9">
      <c r="A688" s="8"/>
      <c r="B688" s="17"/>
      <c r="C688" s="16"/>
      <c r="D688" s="8"/>
      <c r="E688" s="8"/>
      <c r="F688" s="8"/>
      <c r="G688" s="8"/>
      <c r="H688" s="17"/>
      <c r="I688" s="17"/>
    </row>
    <row r="689" spans="1:9">
      <c r="A689" s="8"/>
      <c r="B689" s="17"/>
      <c r="C689" s="16"/>
      <c r="D689" s="8"/>
      <c r="E689" s="8"/>
      <c r="F689" s="8"/>
      <c r="G689" s="8"/>
      <c r="H689" s="17"/>
      <c r="I689" s="17"/>
    </row>
    <row r="690" spans="1:9">
      <c r="A690" s="8"/>
      <c r="B690" s="17"/>
      <c r="C690" s="16"/>
      <c r="D690" s="8"/>
      <c r="E690" s="8"/>
      <c r="F690" s="8"/>
      <c r="G690" s="8"/>
      <c r="H690" s="17"/>
      <c r="I690" s="17"/>
    </row>
    <row r="691" spans="1:9">
      <c r="A691" s="8"/>
      <c r="B691" s="17"/>
      <c r="C691" s="16"/>
      <c r="D691" s="8"/>
      <c r="E691" s="8"/>
      <c r="F691" s="8"/>
      <c r="G691" s="8"/>
      <c r="H691" s="17"/>
      <c r="I691" s="17"/>
    </row>
    <row r="692" spans="1:9">
      <c r="A692" s="8"/>
      <c r="B692" s="17"/>
      <c r="C692" s="16"/>
      <c r="D692" s="8"/>
      <c r="E692" s="8"/>
      <c r="F692" s="8"/>
      <c r="G692" s="8"/>
      <c r="H692" s="17"/>
      <c r="I692" s="17"/>
    </row>
    <row r="693" spans="1:9">
      <c r="A693" s="8"/>
      <c r="B693" s="17"/>
      <c r="C693" s="16"/>
      <c r="D693" s="8"/>
      <c r="E693" s="8"/>
      <c r="F693" s="8"/>
      <c r="G693" s="8"/>
      <c r="H693" s="17"/>
      <c r="I693" s="17"/>
    </row>
    <row r="694" spans="1:9">
      <c r="A694" s="8"/>
      <c r="B694" s="17"/>
      <c r="C694" s="16"/>
      <c r="D694" s="8"/>
      <c r="E694" s="8"/>
      <c r="F694" s="8"/>
      <c r="G694" s="8"/>
      <c r="H694" s="17"/>
      <c r="I694" s="17"/>
    </row>
    <row r="695" spans="1:9">
      <c r="A695" s="8"/>
      <c r="B695" s="17"/>
      <c r="C695" s="16"/>
      <c r="D695" s="8"/>
      <c r="E695" s="8"/>
      <c r="F695" s="8"/>
      <c r="G695" s="8"/>
      <c r="H695" s="17"/>
      <c r="I695" s="17"/>
    </row>
    <row r="696" spans="1:9">
      <c r="A696" s="8"/>
      <c r="B696" s="17"/>
      <c r="C696" s="16"/>
      <c r="D696" s="8"/>
      <c r="E696" s="8"/>
      <c r="F696" s="8"/>
      <c r="G696" s="8"/>
      <c r="H696" s="17"/>
      <c r="I696" s="17"/>
    </row>
    <row r="697" spans="1:9">
      <c r="A697" s="8"/>
      <c r="B697" s="17"/>
      <c r="C697" s="16"/>
      <c r="D697" s="8"/>
      <c r="E697" s="8"/>
      <c r="F697" s="8"/>
      <c r="G697" s="8"/>
      <c r="H697" s="17"/>
      <c r="I697" s="17"/>
    </row>
    <row r="698" spans="1:9">
      <c r="A698" s="8"/>
      <c r="B698" s="17"/>
      <c r="C698" s="16"/>
      <c r="D698" s="8"/>
      <c r="E698" s="8"/>
      <c r="F698" s="8"/>
      <c r="G698" s="8"/>
      <c r="H698" s="17"/>
      <c r="I698" s="17"/>
    </row>
    <row r="699" spans="1:9">
      <c r="A699" s="8"/>
      <c r="B699" s="17"/>
      <c r="C699" s="16"/>
      <c r="D699" s="8"/>
      <c r="E699" s="8"/>
      <c r="F699" s="8"/>
      <c r="G699" s="8"/>
      <c r="H699" s="17"/>
      <c r="I699" s="17"/>
    </row>
    <row r="700" spans="1:9">
      <c r="A700" s="8"/>
      <c r="B700" s="17"/>
      <c r="C700" s="16"/>
      <c r="D700" s="8"/>
      <c r="E700" s="8"/>
      <c r="F700" s="8"/>
      <c r="G700" s="8"/>
      <c r="H700" s="17"/>
      <c r="I700" s="17"/>
    </row>
    <row r="701" spans="1:9">
      <c r="A701" s="8"/>
      <c r="B701" s="17"/>
      <c r="C701" s="16"/>
      <c r="D701" s="8"/>
      <c r="E701" s="8"/>
      <c r="F701" s="8"/>
      <c r="G701" s="8"/>
      <c r="H701" s="17"/>
      <c r="I701" s="17"/>
    </row>
    <row r="702" spans="1:9">
      <c r="A702" s="8"/>
      <c r="B702" s="17"/>
      <c r="C702" s="16"/>
      <c r="D702" s="8"/>
      <c r="E702" s="8"/>
      <c r="F702" s="8"/>
      <c r="G702" s="8"/>
      <c r="H702" s="17"/>
      <c r="I702" s="17"/>
    </row>
    <row r="703" spans="1:9">
      <c r="A703" s="8"/>
      <c r="B703" s="17"/>
      <c r="C703" s="16"/>
      <c r="D703" s="8"/>
      <c r="E703" s="8"/>
      <c r="F703" s="8"/>
      <c r="G703" s="8"/>
      <c r="H703" s="17"/>
      <c r="I703" s="17"/>
    </row>
    <row r="704" spans="1:9">
      <c r="A704" s="8"/>
      <c r="B704" s="17"/>
      <c r="C704" s="16"/>
      <c r="D704" s="8"/>
      <c r="E704" s="8"/>
      <c r="F704" s="8"/>
      <c r="G704" s="8"/>
      <c r="H704" s="17"/>
      <c r="I704" s="17"/>
    </row>
    <row r="705" spans="1:9">
      <c r="A705" s="8"/>
      <c r="B705" s="17"/>
      <c r="C705" s="16"/>
      <c r="D705" s="8"/>
      <c r="E705" s="8"/>
      <c r="F705" s="8"/>
      <c r="G705" s="8"/>
      <c r="H705" s="17"/>
      <c r="I705" s="17"/>
    </row>
    <row r="706" spans="1:9">
      <c r="A706" s="8"/>
      <c r="B706" s="17"/>
      <c r="C706" s="16"/>
      <c r="D706" s="8"/>
      <c r="E706" s="8"/>
      <c r="F706" s="8"/>
      <c r="G706" s="8"/>
      <c r="H706" s="17"/>
      <c r="I706" s="17"/>
    </row>
    <row r="707" spans="1:9">
      <c r="A707" s="8"/>
      <c r="B707" s="17"/>
      <c r="C707" s="16"/>
      <c r="D707" s="8"/>
      <c r="E707" s="8"/>
      <c r="F707" s="8"/>
      <c r="G707" s="8"/>
      <c r="H707" s="17"/>
      <c r="I707" s="17"/>
    </row>
    <row r="708" spans="1:9">
      <c r="A708" s="8"/>
      <c r="B708" s="17"/>
      <c r="C708" s="16"/>
      <c r="D708" s="8"/>
      <c r="E708" s="8"/>
      <c r="F708" s="8"/>
      <c r="G708" s="8"/>
      <c r="H708" s="17"/>
      <c r="I708" s="17"/>
    </row>
    <row r="709" spans="1:9">
      <c r="A709" s="8"/>
      <c r="B709" s="17"/>
      <c r="C709" s="16"/>
      <c r="D709" s="8"/>
      <c r="E709" s="8"/>
      <c r="F709" s="8"/>
      <c r="G709" s="8"/>
      <c r="H709" s="17"/>
      <c r="I709" s="17"/>
    </row>
    <row r="710" spans="1:9">
      <c r="A710" s="8"/>
      <c r="B710" s="17"/>
      <c r="C710" s="16"/>
      <c r="D710" s="8"/>
      <c r="E710" s="8"/>
      <c r="F710" s="8"/>
      <c r="G710" s="8"/>
      <c r="H710" s="17"/>
      <c r="I710" s="17"/>
    </row>
    <row r="711" spans="1:9">
      <c r="A711" s="8"/>
      <c r="B711" s="17"/>
      <c r="C711" s="16"/>
      <c r="D711" s="8"/>
      <c r="E711" s="8"/>
      <c r="F711" s="8"/>
      <c r="G711" s="8"/>
      <c r="H711" s="17"/>
      <c r="I711" s="17"/>
    </row>
    <row r="712" spans="1:9">
      <c r="A712" s="8"/>
      <c r="B712" s="17"/>
      <c r="C712" s="16"/>
      <c r="D712" s="8"/>
      <c r="E712" s="8"/>
      <c r="F712" s="8"/>
      <c r="G712" s="8"/>
      <c r="H712" s="17"/>
      <c r="I712" s="17"/>
    </row>
    <row r="713" spans="1:9">
      <c r="A713" s="8"/>
      <c r="B713" s="17"/>
      <c r="C713" s="16"/>
      <c r="D713" s="8"/>
      <c r="E713" s="8"/>
      <c r="F713" s="8"/>
      <c r="G713" s="8"/>
      <c r="H713" s="17"/>
      <c r="I713" s="17"/>
    </row>
    <row r="714" spans="1:9">
      <c r="A714" s="8"/>
      <c r="B714" s="17"/>
      <c r="C714" s="16"/>
      <c r="D714" s="8"/>
      <c r="E714" s="8"/>
      <c r="F714" s="8"/>
      <c r="G714" s="8"/>
      <c r="H714" s="17"/>
      <c r="I714" s="17"/>
    </row>
    <row r="715" spans="1:9">
      <c r="A715" s="8"/>
      <c r="B715" s="17"/>
      <c r="C715" s="16"/>
      <c r="D715" s="8"/>
      <c r="E715" s="8"/>
      <c r="F715" s="8"/>
      <c r="G715" s="8"/>
      <c r="H715" s="17"/>
      <c r="I715" s="17"/>
    </row>
    <row r="716" spans="1:9">
      <c r="A716" s="8"/>
      <c r="B716" s="17"/>
      <c r="C716" s="16"/>
      <c r="D716" s="8"/>
      <c r="E716" s="8"/>
      <c r="F716" s="8"/>
      <c r="G716" s="8"/>
      <c r="H716" s="17"/>
      <c r="I716" s="17"/>
    </row>
    <row r="717" spans="1:9">
      <c r="A717" s="8"/>
      <c r="B717" s="17"/>
      <c r="C717" s="16"/>
      <c r="D717" s="8"/>
      <c r="E717" s="8"/>
      <c r="F717" s="8"/>
      <c r="G717" s="8"/>
      <c r="H717" s="17"/>
      <c r="I717" s="17"/>
    </row>
    <row r="718" spans="1:9">
      <c r="A718" s="8"/>
      <c r="B718" s="17"/>
      <c r="C718" s="16"/>
      <c r="D718" s="8"/>
      <c r="E718" s="8"/>
      <c r="F718" s="8"/>
      <c r="G718" s="8"/>
      <c r="H718" s="17"/>
      <c r="I718" s="17"/>
    </row>
    <row r="719" spans="1:9">
      <c r="A719" s="8"/>
      <c r="B719" s="17"/>
      <c r="C719" s="16"/>
      <c r="D719" s="8"/>
      <c r="E719" s="8"/>
      <c r="F719" s="8"/>
      <c r="G719" s="8"/>
      <c r="H719" s="17"/>
      <c r="I719" s="17"/>
    </row>
    <row r="720" spans="1:9">
      <c r="A720" s="8"/>
      <c r="B720" s="17"/>
      <c r="C720" s="16"/>
      <c r="D720" s="8"/>
      <c r="E720" s="8"/>
      <c r="F720" s="8"/>
      <c r="G720" s="8"/>
      <c r="H720" s="17"/>
      <c r="I720" s="17"/>
    </row>
    <row r="721" spans="1:9">
      <c r="A721" s="8"/>
      <c r="B721" s="17"/>
      <c r="C721" s="16"/>
      <c r="D721" s="8"/>
      <c r="E721" s="8"/>
      <c r="F721" s="8"/>
      <c r="G721" s="8"/>
      <c r="H721" s="17"/>
      <c r="I721" s="17"/>
    </row>
    <row r="722" spans="1:9">
      <c r="A722" s="8"/>
      <c r="B722" s="17"/>
      <c r="C722" s="16"/>
      <c r="D722" s="8"/>
      <c r="E722" s="8"/>
      <c r="F722" s="8"/>
      <c r="G722" s="8"/>
      <c r="H722" s="17"/>
      <c r="I722" s="17"/>
    </row>
    <row r="723" spans="1:9">
      <c r="A723" s="8"/>
      <c r="B723" s="17"/>
      <c r="C723" s="16"/>
      <c r="D723" s="8"/>
      <c r="E723" s="8"/>
      <c r="F723" s="8"/>
      <c r="G723" s="8"/>
      <c r="H723" s="17"/>
      <c r="I723" s="17"/>
    </row>
    <row r="724" spans="1:9">
      <c r="A724" s="8"/>
      <c r="B724" s="17"/>
      <c r="C724" s="16"/>
      <c r="D724" s="8"/>
      <c r="E724" s="8"/>
      <c r="F724" s="8"/>
      <c r="G724" s="8"/>
      <c r="H724" s="17"/>
      <c r="I724" s="17"/>
    </row>
    <row r="725" spans="1:9">
      <c r="A725" s="8"/>
      <c r="B725" s="17"/>
      <c r="C725" s="16"/>
      <c r="D725" s="8"/>
      <c r="E725" s="8"/>
      <c r="F725" s="8"/>
      <c r="G725" s="8"/>
      <c r="H725" s="17"/>
      <c r="I725" s="17"/>
    </row>
    <row r="726" spans="1:9">
      <c r="A726" s="8"/>
      <c r="B726" s="17"/>
      <c r="C726" s="16"/>
      <c r="D726" s="8"/>
      <c r="E726" s="8"/>
      <c r="F726" s="8"/>
      <c r="G726" s="8"/>
      <c r="H726" s="17"/>
      <c r="I726" s="17"/>
    </row>
    <row r="727" spans="1:9">
      <c r="A727" s="8"/>
      <c r="B727" s="17"/>
      <c r="C727" s="16"/>
      <c r="D727" s="8"/>
      <c r="E727" s="8"/>
      <c r="F727" s="8"/>
      <c r="G727" s="8"/>
      <c r="H727" s="17"/>
      <c r="I727" s="17"/>
    </row>
    <row r="728" spans="1:9">
      <c r="A728" s="8"/>
      <c r="B728" s="17"/>
      <c r="C728" s="16"/>
      <c r="D728" s="8"/>
      <c r="E728" s="8"/>
      <c r="F728" s="8"/>
      <c r="G728" s="8"/>
      <c r="H728" s="17"/>
      <c r="I728" s="17"/>
    </row>
    <row r="729" spans="1:9">
      <c r="A729" s="8"/>
      <c r="B729" s="17"/>
      <c r="C729" s="16"/>
      <c r="D729" s="8"/>
      <c r="E729" s="8"/>
      <c r="F729" s="8"/>
      <c r="G729" s="8"/>
      <c r="H729" s="17"/>
      <c r="I729" s="17"/>
    </row>
    <row r="730" spans="1:9">
      <c r="A730" s="8"/>
      <c r="B730" s="17"/>
      <c r="C730" s="16"/>
      <c r="D730" s="8"/>
      <c r="E730" s="8"/>
      <c r="F730" s="8"/>
      <c r="G730" s="8"/>
      <c r="H730" s="17"/>
      <c r="I730" s="17"/>
    </row>
    <row r="731" spans="1:9">
      <c r="A731" s="8"/>
      <c r="B731" s="17"/>
      <c r="C731" s="16"/>
      <c r="D731" s="8"/>
      <c r="E731" s="8"/>
      <c r="F731" s="8"/>
      <c r="G731" s="8"/>
      <c r="H731" s="17"/>
      <c r="I731" s="17"/>
    </row>
    <row r="732" spans="1:9">
      <c r="A732" s="8"/>
      <c r="B732" s="17"/>
      <c r="C732" s="16"/>
      <c r="D732" s="8"/>
      <c r="E732" s="8"/>
      <c r="F732" s="8"/>
      <c r="G732" s="8"/>
      <c r="H732" s="17"/>
      <c r="I732" s="17"/>
    </row>
    <row r="733" spans="1:9">
      <c r="A733" s="8"/>
      <c r="B733" s="17"/>
      <c r="C733" s="16"/>
      <c r="D733" s="8"/>
      <c r="E733" s="8"/>
      <c r="F733" s="8"/>
      <c r="G733" s="8"/>
      <c r="H733" s="17"/>
      <c r="I733" s="17"/>
    </row>
    <row r="734" spans="1:9">
      <c r="A734" s="8"/>
      <c r="B734" s="17"/>
      <c r="C734" s="16"/>
      <c r="D734" s="8"/>
      <c r="E734" s="8"/>
      <c r="F734" s="8"/>
      <c r="G734" s="8"/>
      <c r="H734" s="17"/>
      <c r="I734" s="17"/>
    </row>
    <row r="735" spans="1:9">
      <c r="A735" s="8"/>
      <c r="B735" s="17"/>
      <c r="C735" s="16"/>
      <c r="D735" s="8"/>
      <c r="E735" s="8"/>
      <c r="F735" s="8"/>
      <c r="G735" s="8"/>
      <c r="H735" s="17"/>
      <c r="I735" s="17"/>
    </row>
    <row r="736" spans="1:9">
      <c r="A736" s="8"/>
      <c r="B736" s="17"/>
      <c r="C736" s="16"/>
      <c r="D736" s="8"/>
      <c r="E736" s="8"/>
      <c r="F736" s="8"/>
      <c r="G736" s="8"/>
      <c r="H736" s="17"/>
      <c r="I736" s="17"/>
    </row>
    <row r="737" spans="1:9">
      <c r="A737" s="8"/>
      <c r="B737" s="17"/>
      <c r="C737" s="16"/>
      <c r="D737" s="8"/>
      <c r="E737" s="8"/>
      <c r="F737" s="8"/>
      <c r="G737" s="8"/>
      <c r="H737" s="17"/>
      <c r="I737" s="17"/>
    </row>
    <row r="738" spans="1:9">
      <c r="A738" s="8"/>
      <c r="B738" s="17"/>
      <c r="C738" s="16"/>
      <c r="D738" s="8"/>
      <c r="E738" s="8"/>
      <c r="F738" s="8"/>
      <c r="G738" s="8"/>
      <c r="H738" s="17"/>
      <c r="I738" s="17"/>
    </row>
    <row r="739" spans="1:9">
      <c r="A739" s="8"/>
      <c r="B739" s="17"/>
      <c r="C739" s="16"/>
      <c r="D739" s="8"/>
      <c r="E739" s="8"/>
      <c r="F739" s="8"/>
      <c r="G739" s="8"/>
      <c r="H739" s="17"/>
      <c r="I739" s="17"/>
    </row>
    <row r="740" spans="1:9">
      <c r="A740" s="8"/>
      <c r="B740" s="17"/>
      <c r="C740" s="16"/>
      <c r="D740" s="8"/>
      <c r="E740" s="8"/>
      <c r="F740" s="8"/>
      <c r="G740" s="8"/>
      <c r="H740" s="17"/>
      <c r="I740" s="17"/>
    </row>
    <row r="741" spans="1:9">
      <c r="A741" s="8"/>
      <c r="B741" s="17"/>
      <c r="C741" s="16"/>
      <c r="D741" s="8"/>
      <c r="E741" s="8"/>
      <c r="F741" s="8"/>
      <c r="G741" s="8"/>
      <c r="H741" s="17"/>
      <c r="I741" s="17"/>
    </row>
    <row r="742" spans="1:9">
      <c r="A742" s="8"/>
      <c r="B742" s="17"/>
      <c r="C742" s="16"/>
      <c r="D742" s="8"/>
      <c r="E742" s="8"/>
      <c r="F742" s="8"/>
      <c r="G742" s="8"/>
      <c r="H742" s="17"/>
      <c r="I742" s="17"/>
    </row>
    <row r="743" spans="1:9">
      <c r="A743" s="8"/>
      <c r="B743" s="17"/>
      <c r="C743" s="16"/>
      <c r="D743" s="8"/>
      <c r="E743" s="8"/>
      <c r="F743" s="8"/>
      <c r="G743" s="8"/>
      <c r="H743" s="17"/>
      <c r="I743" s="17"/>
    </row>
    <row r="744" spans="1:9">
      <c r="A744" s="8"/>
      <c r="B744" s="17"/>
      <c r="C744" s="16"/>
      <c r="D744" s="8"/>
      <c r="E744" s="8"/>
      <c r="F744" s="8"/>
      <c r="G744" s="8"/>
      <c r="H744" s="17"/>
      <c r="I744" s="17"/>
    </row>
    <row r="745" spans="1:9">
      <c r="A745" s="8"/>
      <c r="B745" s="17"/>
      <c r="C745" s="16"/>
      <c r="D745" s="8"/>
      <c r="E745" s="8"/>
      <c r="F745" s="8"/>
      <c r="G745" s="8"/>
      <c r="H745" s="17"/>
      <c r="I745" s="17"/>
    </row>
    <row r="746" spans="1:9">
      <c r="A746" s="8"/>
      <c r="B746" s="17"/>
      <c r="C746" s="16"/>
      <c r="D746" s="8"/>
      <c r="E746" s="8"/>
      <c r="F746" s="8"/>
      <c r="G746" s="8"/>
      <c r="H746" s="17"/>
      <c r="I746" s="17"/>
    </row>
    <row r="747" spans="1:9">
      <c r="A747" s="8"/>
      <c r="B747" s="17"/>
      <c r="C747" s="16"/>
      <c r="D747" s="8"/>
      <c r="E747" s="8"/>
      <c r="F747" s="8"/>
      <c r="G747" s="8"/>
      <c r="H747" s="17"/>
      <c r="I747" s="17"/>
    </row>
    <row r="748" spans="1:9">
      <c r="A748" s="8"/>
      <c r="B748" s="17"/>
      <c r="C748" s="16"/>
      <c r="D748" s="8"/>
      <c r="E748" s="8"/>
      <c r="F748" s="8"/>
      <c r="G748" s="8"/>
      <c r="H748" s="17"/>
      <c r="I748" s="17"/>
    </row>
    <row r="749" spans="1:9">
      <c r="A749" s="8"/>
      <c r="B749" s="17"/>
      <c r="C749" s="16"/>
      <c r="D749" s="8"/>
      <c r="E749" s="8"/>
      <c r="F749" s="8"/>
      <c r="G749" s="8"/>
      <c r="H749" s="17"/>
      <c r="I749" s="17"/>
    </row>
    <row r="750" spans="1:9">
      <c r="A750" s="8"/>
      <c r="B750" s="17"/>
      <c r="C750" s="16"/>
      <c r="D750" s="8"/>
      <c r="E750" s="8"/>
      <c r="F750" s="8"/>
      <c r="G750" s="8"/>
      <c r="H750" s="17"/>
      <c r="I750" s="17"/>
    </row>
    <row r="751" spans="1:9">
      <c r="A751" s="8"/>
      <c r="B751" s="17"/>
      <c r="C751" s="16"/>
      <c r="D751" s="8"/>
      <c r="E751" s="8"/>
      <c r="F751" s="8"/>
      <c r="G751" s="8"/>
      <c r="H751" s="17"/>
      <c r="I751" s="17"/>
    </row>
    <row r="752" spans="1:9">
      <c r="A752" s="8"/>
      <c r="B752" s="17"/>
      <c r="C752" s="16"/>
      <c r="D752" s="8"/>
      <c r="E752" s="8"/>
      <c r="F752" s="8"/>
      <c r="G752" s="8"/>
      <c r="H752" s="17"/>
      <c r="I752" s="17"/>
    </row>
    <row r="753" spans="1:9">
      <c r="A753" s="8"/>
      <c r="B753" s="17"/>
      <c r="C753" s="16"/>
      <c r="D753" s="8"/>
      <c r="E753" s="8"/>
      <c r="F753" s="8"/>
      <c r="G753" s="8"/>
      <c r="H753" s="17"/>
      <c r="I753" s="17"/>
    </row>
    <row r="754" spans="1:9">
      <c r="A754" s="8"/>
      <c r="B754" s="17"/>
      <c r="C754" s="16"/>
      <c r="D754" s="8"/>
      <c r="E754" s="8"/>
      <c r="F754" s="8"/>
      <c r="G754" s="8"/>
      <c r="H754" s="17"/>
      <c r="I754" s="17"/>
    </row>
    <row r="755" spans="1:9">
      <c r="A755" s="8"/>
      <c r="B755" s="17"/>
      <c r="C755" s="16"/>
      <c r="D755" s="8"/>
      <c r="E755" s="8"/>
      <c r="F755" s="8"/>
      <c r="G755" s="8"/>
      <c r="H755" s="17"/>
      <c r="I755" s="17"/>
    </row>
    <row r="756" spans="1:9">
      <c r="A756" s="8"/>
      <c r="B756" s="17"/>
      <c r="C756" s="16"/>
      <c r="D756" s="8"/>
      <c r="E756" s="8"/>
      <c r="F756" s="8"/>
      <c r="G756" s="8"/>
      <c r="H756" s="17"/>
      <c r="I756" s="17"/>
    </row>
    <row r="757" spans="1:9">
      <c r="A757" s="8"/>
      <c r="B757" s="17"/>
      <c r="C757" s="16"/>
      <c r="D757" s="8"/>
      <c r="E757" s="8"/>
      <c r="F757" s="8"/>
      <c r="G757" s="8"/>
      <c r="H757" s="17"/>
      <c r="I757" s="17"/>
    </row>
    <row r="758" spans="1:9">
      <c r="A758" s="8"/>
      <c r="B758" s="17"/>
      <c r="C758" s="16"/>
      <c r="D758" s="8"/>
      <c r="E758" s="8"/>
      <c r="F758" s="8"/>
      <c r="G758" s="8"/>
      <c r="H758" s="17"/>
      <c r="I758" s="17"/>
    </row>
    <row r="759" spans="1:9">
      <c r="A759" s="8"/>
      <c r="B759" s="17"/>
      <c r="C759" s="16"/>
      <c r="D759" s="8"/>
      <c r="E759" s="8"/>
      <c r="F759" s="8"/>
      <c r="G759" s="8"/>
      <c r="H759" s="17"/>
      <c r="I759" s="17"/>
    </row>
    <row r="760" spans="1:9">
      <c r="A760" s="8"/>
      <c r="B760" s="17"/>
      <c r="C760" s="16"/>
      <c r="D760" s="8"/>
      <c r="E760" s="8"/>
      <c r="F760" s="8"/>
      <c r="G760" s="8"/>
      <c r="H760" s="17"/>
      <c r="I760" s="17"/>
    </row>
    <row r="761" spans="1:9">
      <c r="A761" s="8"/>
      <c r="B761" s="17"/>
      <c r="C761" s="16"/>
      <c r="D761" s="8"/>
      <c r="E761" s="8"/>
      <c r="F761" s="8"/>
      <c r="G761" s="8"/>
      <c r="H761" s="17"/>
      <c r="I761" s="17"/>
    </row>
    <row r="762" spans="1:9">
      <c r="A762" s="8"/>
      <c r="B762" s="17"/>
      <c r="C762" s="16"/>
      <c r="D762" s="8"/>
      <c r="E762" s="8"/>
      <c r="F762" s="8"/>
      <c r="G762" s="8"/>
      <c r="H762" s="17"/>
      <c r="I762" s="17"/>
    </row>
    <row r="763" spans="1:9">
      <c r="A763" s="8"/>
      <c r="B763" s="17"/>
      <c r="C763" s="16"/>
      <c r="D763" s="8"/>
      <c r="E763" s="8"/>
      <c r="F763" s="8"/>
      <c r="G763" s="8"/>
      <c r="H763" s="17"/>
      <c r="I763" s="17"/>
    </row>
    <row r="764" spans="1:9">
      <c r="A764" s="8"/>
      <c r="B764" s="17"/>
      <c r="C764" s="16"/>
      <c r="D764" s="8"/>
      <c r="E764" s="8"/>
      <c r="F764" s="8"/>
      <c r="G764" s="8"/>
      <c r="H764" s="17"/>
      <c r="I764" s="17"/>
    </row>
    <row r="765" spans="1:9">
      <c r="A765" s="8"/>
      <c r="B765" s="17"/>
      <c r="C765" s="16"/>
      <c r="D765" s="8"/>
      <c r="E765" s="8"/>
      <c r="F765" s="8"/>
      <c r="G765" s="8"/>
      <c r="H765" s="17"/>
      <c r="I765" s="17"/>
    </row>
    <row r="766" spans="1:9">
      <c r="A766" s="8"/>
      <c r="B766" s="17"/>
      <c r="C766" s="16"/>
      <c r="D766" s="8"/>
      <c r="E766" s="8"/>
      <c r="F766" s="8"/>
      <c r="G766" s="8"/>
      <c r="H766" s="17"/>
      <c r="I766" s="17"/>
    </row>
    <row r="767" spans="1:9">
      <c r="A767" s="8"/>
      <c r="B767" s="17"/>
      <c r="C767" s="16"/>
      <c r="D767" s="8"/>
      <c r="E767" s="8"/>
      <c r="F767" s="8"/>
      <c r="G767" s="8"/>
      <c r="H767" s="17"/>
      <c r="I767" s="17"/>
    </row>
    <row r="768" spans="1:9">
      <c r="A768" s="8"/>
      <c r="B768" s="17"/>
      <c r="C768" s="16"/>
      <c r="D768" s="8"/>
      <c r="E768" s="8"/>
      <c r="F768" s="8"/>
      <c r="G768" s="8"/>
      <c r="H768" s="17"/>
      <c r="I768" s="17"/>
    </row>
    <row r="769" spans="1:9">
      <c r="A769" s="8"/>
      <c r="B769" s="17"/>
      <c r="C769" s="16"/>
      <c r="D769" s="8"/>
      <c r="E769" s="8"/>
      <c r="F769" s="8"/>
      <c r="G769" s="8"/>
      <c r="H769" s="17"/>
      <c r="I769" s="17"/>
    </row>
    <row r="770" spans="1:9">
      <c r="A770" s="8"/>
      <c r="B770" s="17"/>
      <c r="C770" s="16"/>
      <c r="D770" s="8"/>
      <c r="E770" s="8"/>
      <c r="F770" s="8"/>
      <c r="G770" s="8"/>
      <c r="H770" s="17"/>
      <c r="I770" s="17"/>
    </row>
    <row r="771" spans="1:9">
      <c r="A771" s="8"/>
      <c r="B771" s="17"/>
      <c r="C771" s="16"/>
      <c r="D771" s="8"/>
      <c r="E771" s="8"/>
      <c r="F771" s="8"/>
      <c r="G771" s="8"/>
      <c r="H771" s="17"/>
      <c r="I771" s="17"/>
    </row>
    <row r="772" spans="1:9">
      <c r="A772" s="8"/>
      <c r="B772" s="17"/>
      <c r="C772" s="16"/>
      <c r="D772" s="8"/>
      <c r="E772" s="8"/>
      <c r="F772" s="8"/>
      <c r="G772" s="8"/>
      <c r="H772" s="17"/>
      <c r="I772" s="17"/>
    </row>
    <row r="773" spans="1:9">
      <c r="A773" s="8"/>
      <c r="B773" s="17"/>
      <c r="C773" s="16"/>
      <c r="D773" s="8"/>
      <c r="E773" s="8"/>
      <c r="F773" s="8"/>
      <c r="G773" s="8"/>
      <c r="H773" s="17"/>
      <c r="I773" s="17"/>
    </row>
    <row r="774" spans="1:9">
      <c r="A774" s="8"/>
      <c r="B774" s="17"/>
      <c r="C774" s="16"/>
      <c r="D774" s="8"/>
      <c r="E774" s="8"/>
      <c r="F774" s="8"/>
      <c r="G774" s="8"/>
      <c r="H774" s="17"/>
      <c r="I774" s="17"/>
    </row>
    <row r="775" spans="1:9">
      <c r="A775" s="8"/>
      <c r="B775" s="17"/>
      <c r="C775" s="16"/>
      <c r="D775" s="8"/>
      <c r="E775" s="8"/>
      <c r="F775" s="8"/>
      <c r="G775" s="8"/>
      <c r="H775" s="17"/>
      <c r="I775" s="17"/>
    </row>
    <row r="776" spans="1:9">
      <c r="A776" s="8"/>
      <c r="B776" s="17"/>
      <c r="C776" s="16"/>
      <c r="D776" s="8"/>
      <c r="E776" s="8"/>
      <c r="F776" s="8"/>
      <c r="G776" s="8"/>
      <c r="H776" s="17"/>
      <c r="I776" s="17"/>
    </row>
    <row r="777" spans="1:9">
      <c r="A777" s="8"/>
      <c r="B777" s="17"/>
      <c r="C777" s="16"/>
      <c r="D777" s="8"/>
      <c r="E777" s="8"/>
      <c r="F777" s="8"/>
      <c r="G777" s="8"/>
      <c r="H777" s="17"/>
      <c r="I777" s="17"/>
    </row>
    <row r="778" spans="1:9">
      <c r="A778" s="8"/>
      <c r="B778" s="17"/>
      <c r="C778" s="16"/>
      <c r="D778" s="8"/>
      <c r="E778" s="8"/>
      <c r="F778" s="8"/>
      <c r="G778" s="8"/>
      <c r="H778" s="17"/>
      <c r="I778" s="17"/>
    </row>
    <row r="779" spans="1:9">
      <c r="A779" s="8"/>
      <c r="B779" s="17"/>
      <c r="C779" s="16"/>
      <c r="D779" s="8"/>
      <c r="E779" s="8"/>
      <c r="F779" s="8"/>
      <c r="G779" s="8"/>
      <c r="H779" s="17"/>
      <c r="I779" s="17"/>
    </row>
    <row r="780" spans="1:9">
      <c r="A780" s="8"/>
      <c r="B780" s="17"/>
      <c r="C780" s="16"/>
      <c r="D780" s="8"/>
      <c r="E780" s="8"/>
      <c r="F780" s="8"/>
      <c r="G780" s="8"/>
      <c r="H780" s="17"/>
      <c r="I780" s="17"/>
    </row>
    <row r="781" spans="1:9">
      <c r="A781" s="8"/>
      <c r="B781" s="17"/>
      <c r="C781" s="16"/>
      <c r="D781" s="8"/>
      <c r="E781" s="8"/>
      <c r="F781" s="8"/>
      <c r="G781" s="8"/>
      <c r="H781" s="17"/>
      <c r="I781" s="17"/>
    </row>
    <row r="782" spans="1:9">
      <c r="A782" s="8"/>
      <c r="B782" s="17"/>
      <c r="C782" s="16"/>
      <c r="D782" s="8"/>
      <c r="E782" s="8"/>
      <c r="F782" s="8"/>
      <c r="G782" s="8"/>
      <c r="H782" s="17"/>
      <c r="I782" s="17"/>
    </row>
    <row r="783" spans="1:9">
      <c r="A783" s="8"/>
      <c r="B783" s="17"/>
      <c r="C783" s="16"/>
      <c r="D783" s="8"/>
      <c r="E783" s="8"/>
      <c r="F783" s="8"/>
      <c r="G783" s="8"/>
      <c r="H783" s="17"/>
      <c r="I783" s="17"/>
    </row>
    <row r="784" spans="1:9">
      <c r="A784" s="8"/>
      <c r="B784" s="17"/>
      <c r="C784" s="16"/>
      <c r="D784" s="8"/>
      <c r="E784" s="8"/>
      <c r="F784" s="8"/>
      <c r="G784" s="8"/>
      <c r="H784" s="17"/>
      <c r="I784" s="17"/>
    </row>
    <row r="785" spans="1:9">
      <c r="A785" s="8"/>
      <c r="B785" s="17"/>
      <c r="C785" s="16"/>
      <c r="D785" s="8"/>
      <c r="E785" s="8"/>
      <c r="F785" s="8"/>
      <c r="G785" s="8"/>
      <c r="H785" s="17"/>
      <c r="I785" s="17"/>
    </row>
    <row r="786" spans="1:9">
      <c r="A786" s="8"/>
      <c r="B786" s="17"/>
      <c r="C786" s="16"/>
      <c r="D786" s="8"/>
      <c r="E786" s="8"/>
      <c r="F786" s="8"/>
      <c r="G786" s="8"/>
      <c r="H786" s="17"/>
      <c r="I786" s="17"/>
    </row>
    <row r="787" spans="1:9">
      <c r="A787" s="8"/>
      <c r="B787" s="17"/>
      <c r="C787" s="16"/>
      <c r="D787" s="8"/>
      <c r="E787" s="8"/>
      <c r="F787" s="8"/>
      <c r="G787" s="8"/>
      <c r="H787" s="17"/>
      <c r="I787" s="17"/>
    </row>
    <row r="788" spans="1:9">
      <c r="A788" s="8"/>
      <c r="B788" s="17"/>
      <c r="C788" s="16"/>
      <c r="D788" s="8"/>
      <c r="E788" s="8"/>
      <c r="F788" s="8"/>
      <c r="G788" s="8"/>
      <c r="H788" s="17"/>
      <c r="I788" s="17"/>
    </row>
    <row r="789" spans="1:9">
      <c r="A789" s="8"/>
      <c r="B789" s="17"/>
      <c r="C789" s="16"/>
      <c r="D789" s="8"/>
      <c r="E789" s="8"/>
      <c r="F789" s="8"/>
      <c r="G789" s="8"/>
      <c r="H789" s="17"/>
      <c r="I789" s="17"/>
    </row>
    <row r="790" spans="1:9">
      <c r="A790" s="8"/>
      <c r="B790" s="17"/>
      <c r="C790" s="16"/>
      <c r="D790" s="8"/>
      <c r="E790" s="8"/>
      <c r="F790" s="8"/>
      <c r="G790" s="8"/>
      <c r="H790" s="17"/>
      <c r="I790" s="17"/>
    </row>
    <row r="791" spans="1:9">
      <c r="A791" s="8"/>
      <c r="B791" s="17"/>
      <c r="C791" s="16"/>
      <c r="D791" s="8"/>
      <c r="E791" s="8"/>
      <c r="F791" s="8"/>
      <c r="G791" s="8"/>
      <c r="H791" s="17"/>
      <c r="I791" s="17"/>
    </row>
    <row r="792" spans="1:9">
      <c r="A792" s="8"/>
      <c r="B792" s="17"/>
      <c r="C792" s="16"/>
      <c r="D792" s="8"/>
      <c r="E792" s="8"/>
      <c r="F792" s="8"/>
      <c r="G792" s="8"/>
      <c r="H792" s="17"/>
      <c r="I792" s="17"/>
    </row>
    <row r="793" spans="1:9">
      <c r="A793" s="8"/>
      <c r="B793" s="17"/>
      <c r="C793" s="16"/>
      <c r="D793" s="8"/>
      <c r="E793" s="8"/>
      <c r="F793" s="8"/>
      <c r="G793" s="8"/>
      <c r="H793" s="17"/>
      <c r="I793" s="17"/>
    </row>
    <row r="794" spans="1:9">
      <c r="A794" s="8"/>
      <c r="B794" s="17"/>
      <c r="C794" s="16"/>
      <c r="D794" s="8"/>
      <c r="E794" s="8"/>
      <c r="F794" s="8"/>
      <c r="G794" s="8"/>
      <c r="H794" s="17"/>
      <c r="I794" s="17"/>
    </row>
    <row r="795" spans="1:9">
      <c r="A795" s="8"/>
      <c r="B795" s="17"/>
      <c r="C795" s="16"/>
      <c r="D795" s="8"/>
      <c r="E795" s="8"/>
      <c r="F795" s="8"/>
      <c r="G795" s="8"/>
      <c r="H795" s="17"/>
      <c r="I795" s="17"/>
    </row>
    <row r="796" spans="1:9">
      <c r="A796" s="8"/>
      <c r="B796" s="17"/>
      <c r="C796" s="16"/>
      <c r="D796" s="8"/>
      <c r="E796" s="8"/>
      <c r="F796" s="8"/>
      <c r="G796" s="8"/>
      <c r="H796" s="17"/>
      <c r="I796" s="17"/>
    </row>
    <row r="797" spans="1:9">
      <c r="A797" s="8"/>
      <c r="B797" s="17"/>
      <c r="C797" s="16"/>
      <c r="D797" s="8"/>
      <c r="E797" s="8"/>
      <c r="F797" s="8"/>
      <c r="G797" s="8"/>
      <c r="H797" s="17"/>
      <c r="I797" s="17"/>
    </row>
    <row r="798" spans="1:9">
      <c r="A798" s="8"/>
      <c r="B798" s="17"/>
      <c r="C798" s="16"/>
      <c r="D798" s="8"/>
      <c r="E798" s="8"/>
      <c r="F798" s="8"/>
      <c r="G798" s="8"/>
      <c r="H798" s="17"/>
      <c r="I798" s="17"/>
    </row>
    <row r="799" spans="1:9">
      <c r="A799" s="8"/>
      <c r="B799" s="17"/>
      <c r="C799" s="16"/>
      <c r="D799" s="8"/>
      <c r="E799" s="8"/>
      <c r="F799" s="8"/>
      <c r="G799" s="8"/>
      <c r="H799" s="17"/>
      <c r="I799" s="17"/>
    </row>
    <row r="800" spans="1:9">
      <c r="A800" s="8"/>
      <c r="B800" s="17"/>
      <c r="C800" s="16"/>
      <c r="D800" s="8"/>
      <c r="E800" s="8"/>
      <c r="F800" s="8"/>
      <c r="G800" s="8"/>
      <c r="H800" s="17"/>
      <c r="I800" s="17"/>
    </row>
    <row r="801" spans="1:9">
      <c r="A801" s="8"/>
      <c r="B801" s="17"/>
      <c r="C801" s="16"/>
      <c r="D801" s="8"/>
      <c r="E801" s="8"/>
      <c r="F801" s="8"/>
      <c r="G801" s="8"/>
      <c r="H801" s="17"/>
      <c r="I801" s="17"/>
    </row>
    <row r="802" spans="1:9">
      <c r="A802" s="8"/>
      <c r="B802" s="17"/>
      <c r="C802" s="16"/>
      <c r="D802" s="8"/>
      <c r="E802" s="8"/>
      <c r="F802" s="8"/>
      <c r="G802" s="8"/>
      <c r="H802" s="17"/>
      <c r="I802" s="17"/>
    </row>
    <row r="803" spans="1:9">
      <c r="A803" s="8"/>
      <c r="B803" s="17"/>
      <c r="C803" s="16"/>
      <c r="D803" s="8"/>
      <c r="E803" s="8"/>
      <c r="F803" s="8"/>
      <c r="G803" s="8"/>
      <c r="H803" s="17"/>
      <c r="I803" s="17"/>
    </row>
    <row r="804" spans="1:9">
      <c r="A804" s="8"/>
      <c r="B804" s="17"/>
      <c r="C804" s="16"/>
      <c r="D804" s="8"/>
      <c r="E804" s="8"/>
      <c r="F804" s="8"/>
      <c r="G804" s="8"/>
      <c r="H804" s="17"/>
      <c r="I804" s="17"/>
    </row>
    <row r="805" spans="1:9">
      <c r="A805" s="8"/>
      <c r="B805" s="17"/>
      <c r="C805" s="16"/>
      <c r="D805" s="8"/>
      <c r="E805" s="8"/>
      <c r="F805" s="8"/>
      <c r="G805" s="8"/>
      <c r="H805" s="17"/>
      <c r="I805" s="17"/>
    </row>
    <row r="806" spans="1:9">
      <c r="A806" s="8"/>
      <c r="B806" s="17"/>
      <c r="C806" s="16"/>
      <c r="D806" s="8"/>
      <c r="E806" s="8"/>
      <c r="F806" s="8"/>
      <c r="G806" s="8"/>
      <c r="H806" s="17"/>
      <c r="I806" s="17"/>
    </row>
    <row r="807" spans="1:9">
      <c r="A807" s="8"/>
      <c r="B807" s="17"/>
      <c r="C807" s="16"/>
      <c r="D807" s="8"/>
      <c r="E807" s="8"/>
      <c r="F807" s="8"/>
      <c r="G807" s="8"/>
      <c r="H807" s="17"/>
      <c r="I807" s="17"/>
    </row>
    <row r="808" spans="1:9">
      <c r="A808" s="8"/>
      <c r="B808" s="17"/>
      <c r="C808" s="16"/>
      <c r="D808" s="8"/>
      <c r="E808" s="8"/>
      <c r="F808" s="8"/>
      <c r="G808" s="8"/>
      <c r="H808" s="17"/>
      <c r="I808" s="17"/>
    </row>
    <row r="809" spans="1:9">
      <c r="A809" s="8"/>
      <c r="B809" s="17"/>
      <c r="C809" s="16"/>
      <c r="D809" s="8"/>
      <c r="E809" s="8"/>
      <c r="F809" s="8"/>
      <c r="G809" s="8"/>
      <c r="H809" s="17"/>
      <c r="I809" s="17"/>
    </row>
    <row r="810" spans="1:9">
      <c r="A810" s="8"/>
      <c r="B810" s="17"/>
      <c r="C810" s="16"/>
      <c r="D810" s="8"/>
      <c r="E810" s="8"/>
      <c r="F810" s="8"/>
      <c r="G810" s="8"/>
      <c r="H810" s="17"/>
      <c r="I810" s="17"/>
    </row>
    <row r="811" spans="1:9">
      <c r="A811" s="8"/>
      <c r="B811" s="17"/>
      <c r="C811" s="16"/>
      <c r="D811" s="8"/>
      <c r="E811" s="8"/>
      <c r="F811" s="8"/>
      <c r="G811" s="8"/>
      <c r="H811" s="17"/>
      <c r="I811" s="17"/>
    </row>
    <row r="812" spans="1:9">
      <c r="A812" s="8"/>
      <c r="B812" s="17"/>
      <c r="C812" s="16"/>
      <c r="D812" s="8"/>
      <c r="E812" s="8"/>
      <c r="F812" s="8"/>
      <c r="G812" s="8"/>
      <c r="H812" s="17"/>
      <c r="I812" s="17"/>
    </row>
    <row r="813" spans="1:9">
      <c r="A813" s="8"/>
      <c r="B813" s="17"/>
      <c r="C813" s="16"/>
      <c r="D813" s="8"/>
      <c r="E813" s="8"/>
      <c r="F813" s="8"/>
      <c r="G813" s="8"/>
      <c r="H813" s="17"/>
      <c r="I813" s="17"/>
    </row>
    <row r="814" spans="1:9">
      <c r="A814" s="8"/>
      <c r="B814" s="17"/>
      <c r="C814" s="16"/>
      <c r="D814" s="8"/>
      <c r="E814" s="8"/>
      <c r="F814" s="8"/>
      <c r="G814" s="8"/>
      <c r="H814" s="17"/>
      <c r="I814" s="17"/>
    </row>
    <row r="815" spans="1:9">
      <c r="A815" s="8"/>
      <c r="B815" s="17"/>
      <c r="C815" s="16"/>
      <c r="D815" s="8"/>
      <c r="E815" s="8"/>
      <c r="F815" s="8"/>
      <c r="G815" s="8"/>
      <c r="H815" s="17"/>
      <c r="I815" s="17"/>
    </row>
    <row r="816" spans="1:9">
      <c r="A816" s="8"/>
      <c r="B816" s="17"/>
      <c r="C816" s="16"/>
      <c r="D816" s="8"/>
      <c r="E816" s="8"/>
      <c r="F816" s="8"/>
      <c r="G816" s="8"/>
      <c r="H816" s="17"/>
      <c r="I816" s="17"/>
    </row>
    <row r="817" spans="1:9">
      <c r="A817" s="8"/>
      <c r="B817" s="17"/>
      <c r="C817" s="16"/>
      <c r="D817" s="8"/>
      <c r="E817" s="8"/>
      <c r="F817" s="8"/>
      <c r="G817" s="8"/>
      <c r="H817" s="17"/>
      <c r="I817" s="17"/>
    </row>
    <row r="818" spans="1:9">
      <c r="A818" s="8"/>
      <c r="B818" s="17"/>
      <c r="C818" s="16"/>
      <c r="D818" s="8"/>
      <c r="E818" s="8"/>
      <c r="F818" s="8"/>
      <c r="G818" s="8"/>
      <c r="H818" s="17"/>
      <c r="I818" s="17"/>
    </row>
    <row r="819" spans="1:9">
      <c r="A819" s="8"/>
      <c r="B819" s="17"/>
      <c r="C819" s="16"/>
      <c r="D819" s="8"/>
      <c r="E819" s="8"/>
      <c r="F819" s="8"/>
      <c r="G819" s="8"/>
      <c r="H819" s="17"/>
      <c r="I819" s="17"/>
    </row>
    <row r="820" spans="1:9">
      <c r="A820" s="8"/>
      <c r="B820" s="17"/>
      <c r="C820" s="16"/>
      <c r="D820" s="8"/>
      <c r="E820" s="8"/>
      <c r="F820" s="8"/>
      <c r="G820" s="8"/>
      <c r="H820" s="17"/>
      <c r="I820" s="17"/>
    </row>
    <row r="821" spans="1:9">
      <c r="A821" s="8"/>
      <c r="B821" s="17"/>
      <c r="C821" s="16"/>
      <c r="D821" s="8"/>
      <c r="E821" s="8"/>
      <c r="F821" s="8"/>
      <c r="G821" s="8"/>
      <c r="H821" s="17"/>
      <c r="I821" s="17"/>
    </row>
    <row r="822" spans="1:9">
      <c r="A822" s="8"/>
      <c r="B822" s="17"/>
      <c r="C822" s="16"/>
      <c r="D822" s="8"/>
      <c r="E822" s="8"/>
      <c r="F822" s="8"/>
      <c r="G822" s="8"/>
      <c r="H822" s="17"/>
      <c r="I822" s="17"/>
    </row>
    <row r="823" spans="1:9">
      <c r="A823" s="8"/>
      <c r="B823" s="17"/>
      <c r="C823" s="16"/>
      <c r="D823" s="8"/>
      <c r="E823" s="8"/>
      <c r="F823" s="8"/>
      <c r="G823" s="8"/>
      <c r="H823" s="17"/>
      <c r="I823" s="17"/>
    </row>
    <row r="824" spans="1:9">
      <c r="A824" s="8"/>
      <c r="B824" s="17"/>
      <c r="C824" s="16"/>
      <c r="D824" s="8"/>
      <c r="E824" s="8"/>
      <c r="F824" s="8"/>
      <c r="G824" s="8"/>
      <c r="H824" s="17"/>
      <c r="I824" s="17"/>
    </row>
    <row r="825" spans="1:9">
      <c r="A825" s="8"/>
      <c r="B825" s="17"/>
      <c r="C825" s="16"/>
      <c r="D825" s="8"/>
      <c r="E825" s="8"/>
      <c r="F825" s="8"/>
      <c r="G825" s="8"/>
      <c r="H825" s="17"/>
      <c r="I825" s="17"/>
    </row>
    <row r="826" spans="1:9">
      <c r="A826" s="8"/>
      <c r="B826" s="17"/>
      <c r="C826" s="16"/>
      <c r="D826" s="8"/>
      <c r="E826" s="8"/>
      <c r="F826" s="8"/>
      <c r="G826" s="8"/>
      <c r="H826" s="17"/>
      <c r="I826" s="17"/>
    </row>
    <row r="827" spans="1:9">
      <c r="A827" s="8"/>
      <c r="B827" s="17"/>
      <c r="C827" s="16"/>
      <c r="D827" s="8"/>
      <c r="E827" s="8"/>
      <c r="F827" s="8"/>
      <c r="G827" s="8"/>
      <c r="H827" s="17"/>
      <c r="I827" s="17"/>
    </row>
    <row r="828" spans="1:9">
      <c r="A828" s="8"/>
      <c r="B828" s="17"/>
      <c r="C828" s="16"/>
      <c r="D828" s="8"/>
      <c r="E828" s="8"/>
      <c r="F828" s="8"/>
      <c r="G828" s="8"/>
      <c r="H828" s="17"/>
      <c r="I828" s="17"/>
    </row>
    <row r="829" spans="1:9">
      <c r="A829" s="8"/>
      <c r="B829" s="17"/>
      <c r="C829" s="16"/>
      <c r="D829" s="8"/>
      <c r="E829" s="8"/>
      <c r="F829" s="8"/>
      <c r="G829" s="8"/>
      <c r="H829" s="17"/>
      <c r="I829" s="17"/>
    </row>
    <row r="830" spans="1:9">
      <c r="A830" s="8"/>
      <c r="B830" s="17"/>
      <c r="C830" s="16"/>
      <c r="D830" s="8"/>
      <c r="E830" s="8"/>
      <c r="F830" s="8"/>
      <c r="G830" s="8"/>
      <c r="H830" s="17"/>
      <c r="I830" s="17"/>
    </row>
    <row r="831" spans="1:9">
      <c r="A831" s="8"/>
      <c r="B831" s="17"/>
      <c r="C831" s="16"/>
      <c r="D831" s="8"/>
      <c r="E831" s="8"/>
      <c r="F831" s="8"/>
      <c r="G831" s="8"/>
      <c r="H831" s="17"/>
      <c r="I831" s="17"/>
    </row>
    <row r="832" spans="1:9">
      <c r="A832" s="8"/>
      <c r="B832" s="17"/>
      <c r="C832" s="16"/>
      <c r="D832" s="8"/>
      <c r="E832" s="8"/>
      <c r="F832" s="8"/>
      <c r="G832" s="8"/>
      <c r="H832" s="17"/>
      <c r="I832" s="17"/>
    </row>
    <row r="833" spans="1:9">
      <c r="A833" s="8"/>
      <c r="B833" s="17"/>
      <c r="C833" s="16"/>
      <c r="D833" s="8"/>
      <c r="E833" s="8"/>
      <c r="F833" s="8"/>
      <c r="G833" s="8"/>
      <c r="H833" s="17"/>
      <c r="I833" s="17"/>
    </row>
    <row r="834" spans="1:9">
      <c r="A834" s="8"/>
      <c r="B834" s="17"/>
      <c r="C834" s="16"/>
      <c r="D834" s="8"/>
      <c r="E834" s="8"/>
      <c r="F834" s="8"/>
      <c r="G834" s="8"/>
      <c r="H834" s="17"/>
      <c r="I834" s="17"/>
    </row>
    <row r="835" spans="1:9">
      <c r="A835" s="8"/>
      <c r="B835" s="17"/>
      <c r="C835" s="16"/>
      <c r="D835" s="8"/>
      <c r="E835" s="8"/>
      <c r="F835" s="8"/>
      <c r="G835" s="8"/>
      <c r="H835" s="17"/>
      <c r="I835" s="17"/>
    </row>
    <row r="836" spans="1:9">
      <c r="A836" s="8"/>
      <c r="B836" s="17"/>
      <c r="C836" s="16"/>
      <c r="D836" s="8"/>
      <c r="E836" s="8"/>
      <c r="F836" s="8"/>
      <c r="G836" s="8"/>
      <c r="H836" s="17"/>
      <c r="I836" s="17"/>
    </row>
    <row r="837" spans="1:9">
      <c r="A837" s="8"/>
      <c r="B837" s="17"/>
      <c r="C837" s="16"/>
      <c r="D837" s="8"/>
      <c r="E837" s="8"/>
      <c r="F837" s="8"/>
      <c r="G837" s="8"/>
      <c r="H837" s="17"/>
      <c r="I837" s="17"/>
    </row>
    <row r="838" spans="1:9">
      <c r="A838" s="8"/>
      <c r="B838" s="17"/>
      <c r="C838" s="16"/>
      <c r="D838" s="8"/>
      <c r="E838" s="8"/>
      <c r="F838" s="8"/>
      <c r="G838" s="8"/>
      <c r="H838" s="17"/>
      <c r="I838" s="17"/>
    </row>
    <row r="839" spans="1:9">
      <c r="A839" s="8"/>
      <c r="B839" s="17"/>
      <c r="C839" s="16"/>
      <c r="D839" s="8"/>
      <c r="E839" s="8"/>
      <c r="F839" s="8"/>
      <c r="G839" s="8"/>
      <c r="H839" s="17"/>
      <c r="I839" s="17"/>
    </row>
    <row r="840" spans="1:9">
      <c r="A840" s="8"/>
      <c r="B840" s="17"/>
      <c r="C840" s="16"/>
      <c r="D840" s="8"/>
      <c r="E840" s="8"/>
      <c r="F840" s="8"/>
      <c r="G840" s="8"/>
      <c r="H840" s="17"/>
      <c r="I840" s="17"/>
    </row>
    <row r="841" spans="1:9">
      <c r="A841" s="8"/>
      <c r="B841" s="17"/>
      <c r="C841" s="16"/>
      <c r="D841" s="8"/>
      <c r="E841" s="8"/>
      <c r="F841" s="8"/>
      <c r="G841" s="8"/>
      <c r="H841" s="17"/>
      <c r="I841" s="17"/>
    </row>
    <row r="842" spans="1:9">
      <c r="A842" s="8"/>
      <c r="B842" s="17"/>
      <c r="C842" s="16"/>
      <c r="D842" s="8"/>
      <c r="E842" s="8"/>
      <c r="F842" s="8"/>
      <c r="G842" s="8"/>
      <c r="H842" s="17"/>
      <c r="I842" s="17"/>
    </row>
    <row r="843" spans="1:9">
      <c r="A843" s="8"/>
      <c r="B843" s="17"/>
      <c r="C843" s="16"/>
      <c r="D843" s="8"/>
      <c r="E843" s="8"/>
      <c r="F843" s="8"/>
      <c r="G843" s="8"/>
      <c r="H843" s="17"/>
      <c r="I843" s="17"/>
    </row>
    <row r="844" spans="1:9">
      <c r="A844" s="8"/>
      <c r="B844" s="17"/>
      <c r="C844" s="16"/>
      <c r="D844" s="8"/>
      <c r="E844" s="8"/>
      <c r="F844" s="8"/>
      <c r="G844" s="8"/>
      <c r="H844" s="17"/>
      <c r="I844" s="17"/>
    </row>
    <row r="845" spans="1:9">
      <c r="A845" s="8"/>
      <c r="B845" s="17"/>
      <c r="C845" s="16"/>
      <c r="D845" s="8"/>
      <c r="E845" s="8"/>
      <c r="F845" s="8"/>
      <c r="G845" s="8"/>
      <c r="H845" s="17"/>
      <c r="I845" s="17"/>
    </row>
    <row r="846" spans="1:9">
      <c r="A846" s="8"/>
      <c r="B846" s="17"/>
      <c r="C846" s="16"/>
      <c r="D846" s="8"/>
      <c r="E846" s="8"/>
      <c r="F846" s="8"/>
      <c r="G846" s="8"/>
      <c r="H846" s="17"/>
      <c r="I846" s="17"/>
    </row>
    <row r="847" spans="1:9">
      <c r="A847" s="8"/>
      <c r="B847" s="17"/>
      <c r="C847" s="16"/>
      <c r="D847" s="8"/>
      <c r="E847" s="8"/>
      <c r="F847" s="8"/>
      <c r="G847" s="8"/>
      <c r="H847" s="17"/>
      <c r="I847" s="17"/>
    </row>
    <row r="848" spans="1:9">
      <c r="A848" s="8"/>
      <c r="B848" s="17"/>
      <c r="C848" s="16"/>
      <c r="D848" s="8"/>
      <c r="E848" s="8"/>
      <c r="F848" s="8"/>
      <c r="G848" s="8"/>
      <c r="H848" s="17"/>
      <c r="I848" s="17"/>
    </row>
    <row r="849" spans="1:9">
      <c r="A849" s="8"/>
      <c r="B849" s="17"/>
      <c r="C849" s="16"/>
      <c r="D849" s="8"/>
      <c r="E849" s="8"/>
      <c r="F849" s="8"/>
      <c r="G849" s="8"/>
      <c r="H849" s="17"/>
      <c r="I849" s="17"/>
    </row>
    <row r="850" spans="1:9">
      <c r="A850" s="8"/>
      <c r="B850" s="17"/>
      <c r="C850" s="16"/>
      <c r="D850" s="8"/>
      <c r="E850" s="8"/>
      <c r="F850" s="8"/>
      <c r="G850" s="8"/>
      <c r="H850" s="17"/>
      <c r="I850" s="17"/>
    </row>
    <row r="851" spans="1:9">
      <c r="A851" s="8"/>
      <c r="B851" s="17"/>
      <c r="C851" s="16"/>
      <c r="D851" s="8"/>
      <c r="E851" s="8"/>
      <c r="F851" s="8"/>
      <c r="G851" s="8"/>
      <c r="H851" s="17"/>
      <c r="I851" s="17"/>
    </row>
    <row r="852" spans="1:9">
      <c r="A852" s="8"/>
      <c r="B852" s="17"/>
      <c r="C852" s="16"/>
      <c r="D852" s="8"/>
      <c r="E852" s="8"/>
      <c r="F852" s="8"/>
      <c r="G852" s="8"/>
      <c r="H852" s="17"/>
      <c r="I852" s="17"/>
    </row>
    <row r="853" spans="1:9">
      <c r="A853" s="8"/>
      <c r="B853" s="17"/>
      <c r="C853" s="16"/>
      <c r="D853" s="8"/>
      <c r="E853" s="8"/>
      <c r="F853" s="8"/>
      <c r="G853" s="8"/>
      <c r="H853" s="17"/>
      <c r="I853" s="17"/>
    </row>
    <row r="854" spans="1:9">
      <c r="A854" s="8"/>
      <c r="B854" s="17"/>
      <c r="C854" s="16"/>
      <c r="D854" s="8"/>
      <c r="E854" s="8"/>
      <c r="F854" s="8"/>
      <c r="G854" s="8"/>
      <c r="H854" s="17"/>
      <c r="I854" s="17"/>
    </row>
    <row r="855" spans="1:9">
      <c r="A855" s="8"/>
      <c r="B855" s="17"/>
      <c r="C855" s="16"/>
      <c r="D855" s="8"/>
      <c r="E855" s="8"/>
      <c r="F855" s="8"/>
      <c r="G855" s="8"/>
      <c r="H855" s="17"/>
      <c r="I855" s="17"/>
    </row>
    <row r="856" spans="1:9">
      <c r="A856" s="8"/>
      <c r="B856" s="17"/>
      <c r="C856" s="16"/>
      <c r="D856" s="8"/>
      <c r="E856" s="8"/>
      <c r="F856" s="8"/>
      <c r="G856" s="8"/>
      <c r="H856" s="17"/>
      <c r="I856" s="17"/>
    </row>
    <row r="857" spans="1:9">
      <c r="A857" s="8"/>
      <c r="B857" s="17"/>
      <c r="C857" s="16"/>
      <c r="D857" s="8"/>
      <c r="E857" s="8"/>
      <c r="F857" s="8"/>
      <c r="G857" s="8"/>
      <c r="H857" s="17"/>
      <c r="I857" s="17"/>
    </row>
    <row r="858" spans="1:9">
      <c r="A858" s="8"/>
      <c r="B858" s="17"/>
      <c r="C858" s="16"/>
      <c r="D858" s="8"/>
      <c r="E858" s="8"/>
      <c r="F858" s="8"/>
      <c r="G858" s="8"/>
      <c r="H858" s="17"/>
      <c r="I858" s="17"/>
    </row>
    <row r="859" spans="1:9">
      <c r="A859" s="8"/>
      <c r="B859" s="17"/>
      <c r="C859" s="16"/>
      <c r="D859" s="8"/>
      <c r="E859" s="8"/>
      <c r="F859" s="8"/>
      <c r="G859" s="8"/>
      <c r="H859" s="17"/>
      <c r="I859" s="17"/>
    </row>
    <row r="860" spans="1:9">
      <c r="A860" s="8"/>
      <c r="B860" s="17"/>
      <c r="C860" s="16"/>
      <c r="D860" s="8"/>
      <c r="E860" s="8"/>
      <c r="F860" s="8"/>
      <c r="G860" s="8"/>
      <c r="H860" s="17"/>
      <c r="I860" s="17"/>
    </row>
    <row r="861" spans="1:9">
      <c r="A861" s="8"/>
      <c r="B861" s="17"/>
      <c r="C861" s="16"/>
      <c r="D861" s="8"/>
      <c r="E861" s="8"/>
      <c r="F861" s="8"/>
      <c r="G861" s="8"/>
      <c r="H861" s="17"/>
      <c r="I861" s="17"/>
    </row>
    <row r="862" spans="1:9">
      <c r="A862" s="8"/>
      <c r="B862" s="17"/>
      <c r="C862" s="16"/>
      <c r="D862" s="8"/>
      <c r="E862" s="8"/>
      <c r="F862" s="8"/>
      <c r="G862" s="8"/>
      <c r="H862" s="17"/>
      <c r="I862" s="17"/>
    </row>
    <row r="863" spans="1:9">
      <c r="A863" s="8"/>
      <c r="B863" s="17"/>
      <c r="C863" s="16"/>
      <c r="D863" s="8"/>
      <c r="E863" s="8"/>
      <c r="F863" s="8"/>
      <c r="G863" s="8"/>
      <c r="H863" s="17"/>
      <c r="I863" s="17"/>
    </row>
    <row r="864" spans="1:9">
      <c r="A864" s="8"/>
      <c r="B864" s="17"/>
      <c r="C864" s="16"/>
      <c r="D864" s="8"/>
      <c r="E864" s="8"/>
      <c r="F864" s="8"/>
      <c r="G864" s="8"/>
      <c r="H864" s="17"/>
      <c r="I864" s="17"/>
    </row>
    <row r="865" spans="1:9">
      <c r="A865" s="8"/>
      <c r="B865" s="17"/>
      <c r="C865" s="16"/>
      <c r="D865" s="8"/>
      <c r="E865" s="8"/>
      <c r="F865" s="8"/>
      <c r="G865" s="8"/>
      <c r="H865" s="17"/>
      <c r="I865" s="17"/>
    </row>
    <row r="866" spans="1:9">
      <c r="A866" s="8"/>
      <c r="B866" s="17"/>
      <c r="C866" s="16"/>
      <c r="D866" s="8"/>
      <c r="E866" s="8"/>
      <c r="F866" s="8"/>
      <c r="G866" s="8"/>
      <c r="H866" s="17"/>
      <c r="I866" s="17"/>
    </row>
    <row r="867" spans="1:9">
      <c r="A867" s="8"/>
      <c r="B867" s="17"/>
      <c r="C867" s="16"/>
      <c r="D867" s="8"/>
      <c r="E867" s="8"/>
      <c r="F867" s="8"/>
      <c r="G867" s="8"/>
      <c r="H867" s="17"/>
      <c r="I867" s="17"/>
    </row>
    <row r="868" spans="1:9">
      <c r="A868" s="8"/>
      <c r="B868" s="17"/>
      <c r="C868" s="16"/>
      <c r="D868" s="8"/>
      <c r="E868" s="8"/>
      <c r="F868" s="8"/>
      <c r="G868" s="8"/>
      <c r="H868" s="17"/>
      <c r="I868" s="17"/>
    </row>
    <row r="869" spans="1:9">
      <c r="A869" s="8"/>
      <c r="B869" s="17"/>
      <c r="C869" s="16"/>
      <c r="D869" s="8"/>
      <c r="E869" s="8"/>
      <c r="F869" s="8"/>
      <c r="G869" s="8"/>
      <c r="H869" s="17"/>
      <c r="I869" s="17"/>
    </row>
    <row r="870" spans="1:9">
      <c r="A870" s="8"/>
      <c r="B870" s="17"/>
      <c r="C870" s="16"/>
      <c r="D870" s="8"/>
      <c r="E870" s="8"/>
      <c r="F870" s="8"/>
      <c r="G870" s="8"/>
      <c r="H870" s="17"/>
      <c r="I870" s="17"/>
    </row>
    <row r="871" spans="1:9">
      <c r="A871" s="8"/>
      <c r="B871" s="17"/>
      <c r="C871" s="16"/>
      <c r="D871" s="8"/>
      <c r="E871" s="8"/>
      <c r="F871" s="8"/>
      <c r="G871" s="8"/>
      <c r="H871" s="17"/>
      <c r="I871" s="17"/>
    </row>
    <row r="872" spans="1:9">
      <c r="A872" s="8"/>
      <c r="B872" s="17"/>
      <c r="C872" s="16"/>
      <c r="D872" s="8"/>
      <c r="E872" s="8"/>
      <c r="F872" s="8"/>
      <c r="G872" s="8"/>
      <c r="H872" s="17"/>
      <c r="I872" s="17"/>
    </row>
    <row r="873" spans="1:9">
      <c r="A873" s="8"/>
      <c r="B873" s="17"/>
      <c r="C873" s="16"/>
      <c r="D873" s="8"/>
      <c r="E873" s="8"/>
      <c r="F873" s="8"/>
      <c r="G873" s="8"/>
      <c r="H873" s="17"/>
      <c r="I873" s="17"/>
    </row>
    <row r="874" spans="1:9">
      <c r="A874" s="8"/>
      <c r="B874" s="17"/>
      <c r="C874" s="16"/>
      <c r="D874" s="8"/>
      <c r="E874" s="8"/>
      <c r="F874" s="8"/>
      <c r="G874" s="8"/>
      <c r="H874" s="17"/>
      <c r="I874" s="17"/>
    </row>
    <row r="875" spans="1:9">
      <c r="A875" s="8"/>
      <c r="B875" s="17"/>
      <c r="C875" s="16"/>
      <c r="D875" s="8"/>
      <c r="E875" s="8"/>
      <c r="F875" s="8"/>
      <c r="G875" s="8"/>
      <c r="H875" s="17"/>
      <c r="I875" s="17"/>
    </row>
    <row r="876" spans="1:9">
      <c r="A876" s="8"/>
      <c r="B876" s="17"/>
      <c r="C876" s="16"/>
      <c r="D876" s="8"/>
      <c r="E876" s="8"/>
      <c r="F876" s="8"/>
      <c r="G876" s="8"/>
      <c r="H876" s="17"/>
      <c r="I876" s="17"/>
    </row>
    <row r="877" spans="1:9">
      <c r="A877" s="8"/>
      <c r="B877" s="17"/>
      <c r="C877" s="16"/>
      <c r="D877" s="8"/>
      <c r="E877" s="8"/>
      <c r="F877" s="8"/>
      <c r="G877" s="8"/>
      <c r="H877" s="17"/>
      <c r="I877" s="17"/>
    </row>
    <row r="878" spans="1:9">
      <c r="A878" s="8"/>
      <c r="B878" s="17"/>
      <c r="C878" s="16"/>
      <c r="D878" s="8"/>
      <c r="E878" s="8"/>
      <c r="F878" s="8"/>
      <c r="G878" s="8"/>
      <c r="H878" s="17"/>
      <c r="I878" s="17"/>
    </row>
    <row r="879" spans="1:9">
      <c r="A879" s="8"/>
      <c r="B879" s="17"/>
      <c r="C879" s="16"/>
      <c r="D879" s="8"/>
      <c r="E879" s="8"/>
      <c r="F879" s="8"/>
      <c r="G879" s="8"/>
      <c r="H879" s="17"/>
      <c r="I879" s="17"/>
    </row>
    <row r="880" spans="1:9">
      <c r="A880" s="8"/>
      <c r="B880" s="17"/>
      <c r="C880" s="16"/>
      <c r="D880" s="8"/>
      <c r="E880" s="8"/>
      <c r="F880" s="8"/>
      <c r="G880" s="8"/>
      <c r="H880" s="17"/>
      <c r="I880" s="17"/>
    </row>
    <row r="881" spans="1:9">
      <c r="A881" s="8"/>
      <c r="B881" s="17"/>
      <c r="C881" s="16"/>
      <c r="D881" s="8"/>
      <c r="E881" s="8"/>
      <c r="F881" s="8"/>
      <c r="G881" s="8"/>
      <c r="H881" s="17"/>
      <c r="I881" s="17"/>
    </row>
    <row r="882" spans="1:9">
      <c r="A882" s="8"/>
      <c r="B882" s="17"/>
      <c r="C882" s="16"/>
      <c r="D882" s="8"/>
      <c r="E882" s="8"/>
      <c r="F882" s="8"/>
      <c r="G882" s="8"/>
      <c r="H882" s="17"/>
      <c r="I882" s="17"/>
    </row>
    <row r="883" spans="1:9">
      <c r="A883" s="8"/>
      <c r="B883" s="17"/>
      <c r="C883" s="16"/>
      <c r="D883" s="8"/>
      <c r="E883" s="8"/>
      <c r="F883" s="8"/>
      <c r="G883" s="8"/>
      <c r="H883" s="17"/>
      <c r="I883" s="17"/>
    </row>
    <row r="884" spans="1:9">
      <c r="A884" s="8"/>
      <c r="B884" s="17"/>
      <c r="C884" s="16"/>
      <c r="D884" s="8"/>
      <c r="E884" s="8"/>
      <c r="F884" s="8"/>
      <c r="G884" s="8"/>
      <c r="H884" s="17"/>
      <c r="I884" s="17"/>
    </row>
    <row r="885" spans="1:9">
      <c r="A885" s="8"/>
      <c r="B885" s="17"/>
      <c r="C885" s="16"/>
      <c r="D885" s="8"/>
      <c r="E885" s="8"/>
      <c r="F885" s="8"/>
      <c r="G885" s="8"/>
      <c r="H885" s="17"/>
      <c r="I885" s="17"/>
    </row>
    <row r="886" spans="1:9">
      <c r="A886" s="8"/>
      <c r="B886" s="17"/>
      <c r="C886" s="16"/>
      <c r="D886" s="8"/>
      <c r="E886" s="8"/>
      <c r="F886" s="8"/>
      <c r="G886" s="8"/>
      <c r="H886" s="17"/>
      <c r="I886" s="17"/>
    </row>
    <row r="887" spans="1:9">
      <c r="A887" s="8"/>
      <c r="B887" s="17"/>
      <c r="C887" s="16"/>
      <c r="D887" s="8"/>
      <c r="E887" s="8"/>
      <c r="F887" s="8"/>
      <c r="G887" s="8"/>
      <c r="H887" s="17"/>
      <c r="I887" s="17"/>
    </row>
    <row r="888" spans="1:9">
      <c r="A888" s="8"/>
      <c r="B888" s="17"/>
      <c r="C888" s="16"/>
      <c r="D888" s="8"/>
      <c r="E888" s="8"/>
      <c r="F888" s="8"/>
      <c r="G888" s="8"/>
      <c r="H888" s="17"/>
      <c r="I888" s="17"/>
    </row>
    <row r="889" spans="1:9">
      <c r="A889" s="8"/>
      <c r="B889" s="17"/>
      <c r="C889" s="16"/>
      <c r="D889" s="8"/>
      <c r="E889" s="8"/>
      <c r="F889" s="8"/>
      <c r="G889" s="8"/>
      <c r="H889" s="17"/>
      <c r="I889" s="17"/>
    </row>
    <row r="890" spans="1:9">
      <c r="A890" s="8"/>
      <c r="B890" s="17"/>
      <c r="C890" s="16"/>
      <c r="D890" s="8"/>
      <c r="E890" s="8"/>
      <c r="F890" s="8"/>
      <c r="G890" s="8"/>
      <c r="H890" s="17"/>
      <c r="I890" s="17"/>
    </row>
    <row r="891" spans="1:9">
      <c r="A891" s="8"/>
      <c r="B891" s="17"/>
      <c r="C891" s="16"/>
      <c r="D891" s="8"/>
      <c r="E891" s="8"/>
      <c r="F891" s="8"/>
      <c r="G891" s="8"/>
      <c r="H891" s="17"/>
      <c r="I891" s="17"/>
    </row>
    <row r="892" spans="1:9">
      <c r="A892" s="8"/>
      <c r="B892" s="17"/>
      <c r="C892" s="16"/>
      <c r="D892" s="8"/>
      <c r="E892" s="8"/>
      <c r="F892" s="8"/>
      <c r="G892" s="8"/>
      <c r="H892" s="17"/>
      <c r="I892" s="17"/>
    </row>
    <row r="893" spans="1:9">
      <c r="A893" s="8"/>
      <c r="B893" s="17"/>
      <c r="C893" s="16"/>
      <c r="D893" s="8"/>
      <c r="E893" s="8"/>
      <c r="F893" s="8"/>
      <c r="G893" s="8"/>
      <c r="H893" s="17"/>
      <c r="I893" s="17"/>
    </row>
    <row r="894" spans="1:9">
      <c r="A894" s="8"/>
      <c r="B894" s="17"/>
      <c r="C894" s="16"/>
      <c r="D894" s="8"/>
      <c r="E894" s="8"/>
      <c r="F894" s="8"/>
      <c r="G894" s="8"/>
      <c r="H894" s="17"/>
      <c r="I894" s="17"/>
    </row>
    <row r="895" spans="1:9">
      <c r="A895" s="8"/>
      <c r="B895" s="17"/>
      <c r="C895" s="16"/>
      <c r="D895" s="8"/>
      <c r="E895" s="8"/>
      <c r="F895" s="8"/>
      <c r="G895" s="8"/>
      <c r="H895" s="17"/>
      <c r="I895" s="17"/>
    </row>
    <row r="896" spans="1:9">
      <c r="A896" s="8"/>
      <c r="B896" s="17"/>
      <c r="C896" s="16"/>
      <c r="D896" s="8"/>
      <c r="E896" s="8"/>
      <c r="F896" s="8"/>
      <c r="G896" s="8"/>
      <c r="H896" s="17"/>
      <c r="I896" s="17"/>
    </row>
    <row r="897" spans="1:9">
      <c r="A897" s="8"/>
      <c r="B897" s="17"/>
      <c r="C897" s="16"/>
      <c r="D897" s="8"/>
      <c r="E897" s="8"/>
      <c r="F897" s="8"/>
      <c r="G897" s="8"/>
      <c r="H897" s="17"/>
      <c r="I897" s="17"/>
    </row>
    <row r="898" spans="1:9">
      <c r="A898" s="8"/>
      <c r="B898" s="17"/>
      <c r="C898" s="16"/>
      <c r="D898" s="8"/>
      <c r="E898" s="8"/>
      <c r="F898" s="8"/>
      <c r="G898" s="8"/>
      <c r="H898" s="17"/>
      <c r="I898" s="17"/>
    </row>
    <row r="899" spans="1:9">
      <c r="A899" s="8"/>
      <c r="B899" s="17"/>
      <c r="C899" s="16"/>
      <c r="D899" s="8"/>
      <c r="E899" s="8"/>
      <c r="F899" s="8"/>
      <c r="G899" s="8"/>
      <c r="H899" s="17"/>
      <c r="I899" s="17"/>
    </row>
    <row r="900" spans="1:9">
      <c r="A900" s="8"/>
      <c r="B900" s="17"/>
      <c r="C900" s="16"/>
      <c r="D900" s="8"/>
      <c r="E900" s="8"/>
      <c r="F900" s="8"/>
      <c r="G900" s="8"/>
      <c r="H900" s="17"/>
      <c r="I900" s="17"/>
    </row>
    <row r="901" spans="1:9">
      <c r="A901" s="8"/>
      <c r="B901" s="17"/>
      <c r="C901" s="16"/>
      <c r="D901" s="8"/>
      <c r="E901" s="8"/>
      <c r="F901" s="8"/>
      <c r="G901" s="8"/>
      <c r="H901" s="17"/>
      <c r="I901" s="17"/>
    </row>
    <row r="902" spans="1:9">
      <c r="A902" s="8"/>
      <c r="B902" s="17"/>
      <c r="C902" s="16"/>
      <c r="D902" s="8"/>
      <c r="E902" s="8"/>
      <c r="F902" s="8"/>
      <c r="G902" s="8"/>
      <c r="H902" s="17"/>
      <c r="I902" s="17"/>
    </row>
    <row r="903" spans="1:9">
      <c r="A903" s="8"/>
      <c r="B903" s="17"/>
      <c r="C903" s="16"/>
      <c r="D903" s="8"/>
      <c r="E903" s="8"/>
      <c r="F903" s="8"/>
      <c r="G903" s="8"/>
      <c r="H903" s="17"/>
      <c r="I903" s="17"/>
    </row>
    <row r="904" spans="1:9">
      <c r="A904" s="8"/>
      <c r="B904" s="17"/>
      <c r="C904" s="16"/>
      <c r="D904" s="8"/>
      <c r="E904" s="8"/>
      <c r="F904" s="8"/>
      <c r="G904" s="8"/>
      <c r="H904" s="17"/>
      <c r="I904" s="17"/>
    </row>
    <row r="905" spans="1:9">
      <c r="A905" s="8"/>
      <c r="B905" s="17"/>
      <c r="C905" s="16"/>
      <c r="D905" s="8"/>
      <c r="E905" s="8"/>
      <c r="F905" s="8"/>
      <c r="G905" s="8"/>
      <c r="H905" s="17"/>
      <c r="I905" s="17"/>
    </row>
    <row r="906" spans="1:9">
      <c r="A906" s="8"/>
      <c r="B906" s="17"/>
      <c r="C906" s="16"/>
      <c r="D906" s="8"/>
      <c r="E906" s="8"/>
      <c r="F906" s="8"/>
      <c r="G906" s="8"/>
      <c r="H906" s="17"/>
      <c r="I906" s="17"/>
    </row>
    <row r="907" spans="1:9">
      <c r="A907" s="8"/>
      <c r="B907" s="17"/>
      <c r="C907" s="16"/>
      <c r="D907" s="8"/>
      <c r="E907" s="8"/>
      <c r="F907" s="8"/>
      <c r="G907" s="8"/>
      <c r="H907" s="17"/>
      <c r="I907" s="17"/>
    </row>
    <row r="908" spans="1:9">
      <c r="A908" s="8"/>
      <c r="B908" s="17"/>
      <c r="C908" s="16"/>
      <c r="D908" s="8"/>
      <c r="E908" s="8"/>
      <c r="F908" s="8"/>
      <c r="G908" s="8"/>
      <c r="H908" s="17"/>
      <c r="I908" s="17"/>
    </row>
    <row r="909" spans="1:9">
      <c r="A909" s="8"/>
      <c r="B909" s="17"/>
      <c r="C909" s="16"/>
      <c r="D909" s="8"/>
      <c r="E909" s="8"/>
      <c r="F909" s="8"/>
      <c r="G909" s="8"/>
      <c r="H909" s="17"/>
      <c r="I909" s="17"/>
    </row>
    <row r="910" spans="1:9">
      <c r="A910" s="8"/>
      <c r="B910" s="17"/>
      <c r="C910" s="16"/>
      <c r="D910" s="8"/>
      <c r="E910" s="8"/>
      <c r="F910" s="8"/>
      <c r="G910" s="8"/>
      <c r="H910" s="17"/>
      <c r="I910" s="17"/>
    </row>
    <row r="911" spans="1:9">
      <c r="A911" s="8"/>
      <c r="B911" s="17"/>
      <c r="C911" s="16"/>
      <c r="D911" s="8"/>
      <c r="E911" s="8"/>
      <c r="F911" s="8"/>
      <c r="G911" s="8"/>
      <c r="H911" s="17"/>
      <c r="I911" s="17"/>
    </row>
    <row r="912" spans="1:9">
      <c r="A912" s="8"/>
      <c r="B912" s="17"/>
      <c r="C912" s="16"/>
      <c r="D912" s="8"/>
      <c r="E912" s="8"/>
      <c r="F912" s="8"/>
      <c r="G912" s="8"/>
      <c r="H912" s="17"/>
      <c r="I912" s="17"/>
    </row>
    <row r="913" spans="1:9">
      <c r="A913" s="8"/>
      <c r="B913" s="17"/>
      <c r="C913" s="16"/>
      <c r="D913" s="8"/>
      <c r="E913" s="8"/>
      <c r="F913" s="8"/>
      <c r="G913" s="8"/>
      <c r="H913" s="17"/>
      <c r="I913" s="17"/>
    </row>
    <row r="914" spans="1:9">
      <c r="A914" s="8"/>
      <c r="B914" s="17"/>
      <c r="C914" s="16"/>
      <c r="D914" s="8"/>
      <c r="E914" s="8"/>
      <c r="F914" s="8"/>
      <c r="G914" s="8"/>
      <c r="H914" s="17"/>
      <c r="I914" s="17"/>
    </row>
    <row r="915" spans="1:9">
      <c r="A915" s="8"/>
      <c r="B915" s="17"/>
      <c r="C915" s="16"/>
      <c r="D915" s="8"/>
      <c r="E915" s="8"/>
      <c r="F915" s="8"/>
      <c r="G915" s="8"/>
      <c r="H915" s="17"/>
      <c r="I915" s="17"/>
    </row>
    <row r="916" spans="1:9">
      <c r="A916" s="8"/>
      <c r="B916" s="17"/>
      <c r="C916" s="16"/>
      <c r="D916" s="8"/>
      <c r="E916" s="8"/>
      <c r="F916" s="8"/>
      <c r="G916" s="8"/>
      <c r="H916" s="17"/>
      <c r="I916" s="17"/>
    </row>
    <row r="917" spans="1:9">
      <c r="A917" s="8"/>
      <c r="B917" s="17"/>
      <c r="C917" s="16"/>
      <c r="D917" s="8"/>
      <c r="E917" s="8"/>
      <c r="F917" s="8"/>
      <c r="G917" s="8"/>
      <c r="H917" s="17"/>
      <c r="I917" s="17"/>
    </row>
    <row r="918" spans="1:9">
      <c r="A918" s="8"/>
      <c r="B918" s="17"/>
      <c r="C918" s="16"/>
      <c r="D918" s="8"/>
      <c r="E918" s="8"/>
      <c r="F918" s="8"/>
      <c r="G918" s="8"/>
      <c r="H918" s="17"/>
      <c r="I918" s="17"/>
    </row>
    <row r="919" spans="1:9">
      <c r="A919" s="8"/>
      <c r="B919" s="17"/>
      <c r="C919" s="16"/>
      <c r="D919" s="8"/>
      <c r="E919" s="8"/>
      <c r="F919" s="8"/>
      <c r="G919" s="8"/>
      <c r="H919" s="17"/>
      <c r="I919" s="17"/>
    </row>
    <row r="920" spans="1:9">
      <c r="A920" s="8"/>
      <c r="B920" s="17"/>
      <c r="C920" s="16"/>
      <c r="D920" s="8"/>
      <c r="E920" s="8"/>
      <c r="F920" s="8"/>
      <c r="G920" s="8"/>
      <c r="H920" s="17"/>
      <c r="I920" s="17"/>
    </row>
    <row r="921" spans="1:9">
      <c r="A921" s="8"/>
      <c r="B921" s="17"/>
      <c r="C921" s="16"/>
      <c r="D921" s="8"/>
      <c r="E921" s="8"/>
      <c r="F921" s="8"/>
      <c r="G921" s="8"/>
      <c r="H921" s="17"/>
      <c r="I921" s="17"/>
    </row>
    <row r="922" spans="1:9">
      <c r="A922" s="8"/>
      <c r="B922" s="17"/>
      <c r="C922" s="16"/>
      <c r="D922" s="8"/>
      <c r="E922" s="8"/>
      <c r="F922" s="8"/>
      <c r="G922" s="8"/>
      <c r="H922" s="17"/>
      <c r="I922" s="17"/>
    </row>
    <row r="923" spans="1:9">
      <c r="A923" s="8"/>
      <c r="B923" s="17"/>
      <c r="C923" s="16"/>
      <c r="D923" s="8"/>
      <c r="E923" s="8"/>
      <c r="F923" s="8"/>
      <c r="G923" s="8"/>
      <c r="H923" s="17"/>
      <c r="I923" s="17"/>
    </row>
    <row r="924" spans="1:9">
      <c r="A924" s="8"/>
      <c r="B924" s="17"/>
      <c r="C924" s="16"/>
      <c r="D924" s="8"/>
      <c r="E924" s="8"/>
      <c r="F924" s="8"/>
      <c r="G924" s="8"/>
      <c r="H924" s="17"/>
      <c r="I924" s="17"/>
    </row>
    <row r="925" spans="1:9">
      <c r="A925" s="8"/>
      <c r="B925" s="17"/>
      <c r="C925" s="16"/>
      <c r="D925" s="8"/>
      <c r="E925" s="8"/>
      <c r="F925" s="8"/>
      <c r="G925" s="8"/>
      <c r="H925" s="17"/>
      <c r="I925" s="17"/>
    </row>
    <row r="926" spans="1:9">
      <c r="A926" s="8"/>
      <c r="B926" s="17"/>
      <c r="C926" s="16"/>
      <c r="D926" s="8"/>
      <c r="E926" s="8"/>
      <c r="F926" s="8"/>
      <c r="G926" s="8"/>
      <c r="H926" s="17"/>
      <c r="I926" s="17"/>
    </row>
    <row r="927" spans="1:9">
      <c r="A927" s="8"/>
      <c r="B927" s="17"/>
      <c r="C927" s="16"/>
      <c r="D927" s="8"/>
      <c r="E927" s="8"/>
      <c r="F927" s="8"/>
      <c r="G927" s="8"/>
      <c r="H927" s="17"/>
      <c r="I927" s="17"/>
    </row>
    <row r="928" spans="1:9">
      <c r="A928" s="8"/>
      <c r="B928" s="17"/>
      <c r="C928" s="16"/>
      <c r="D928" s="8"/>
      <c r="E928" s="8"/>
      <c r="F928" s="8"/>
      <c r="G928" s="8"/>
      <c r="H928" s="17"/>
      <c r="I928" s="17"/>
    </row>
    <row r="929" spans="1:9">
      <c r="A929" s="8"/>
      <c r="B929" s="17"/>
      <c r="C929" s="16"/>
      <c r="D929" s="8"/>
      <c r="E929" s="8"/>
      <c r="F929" s="8"/>
      <c r="G929" s="8"/>
      <c r="H929" s="17"/>
      <c r="I929" s="17"/>
    </row>
    <row r="930" spans="1:9">
      <c r="A930" s="8"/>
      <c r="B930" s="17"/>
      <c r="C930" s="16"/>
      <c r="D930" s="8"/>
      <c r="E930" s="8"/>
      <c r="F930" s="8"/>
      <c r="G930" s="8"/>
      <c r="H930" s="17"/>
      <c r="I930" s="17"/>
    </row>
    <row r="931" spans="1:9">
      <c r="A931" s="8"/>
      <c r="B931" s="17"/>
      <c r="C931" s="16"/>
      <c r="D931" s="8"/>
      <c r="E931" s="8"/>
      <c r="F931" s="8"/>
      <c r="G931" s="8"/>
      <c r="H931" s="17"/>
      <c r="I931" s="17"/>
    </row>
    <row r="932" spans="1:9">
      <c r="A932" s="8"/>
      <c r="B932" s="17"/>
      <c r="C932" s="16"/>
      <c r="D932" s="8"/>
      <c r="E932" s="8"/>
      <c r="F932" s="8"/>
      <c r="G932" s="8"/>
      <c r="H932" s="17"/>
      <c r="I932" s="17"/>
    </row>
    <row r="933" spans="1:9">
      <c r="A933" s="8"/>
      <c r="B933" s="17"/>
      <c r="C933" s="16"/>
      <c r="D933" s="8"/>
      <c r="E933" s="8"/>
      <c r="F933" s="8"/>
      <c r="G933" s="8"/>
      <c r="H933" s="17"/>
      <c r="I933" s="17"/>
    </row>
    <row r="934" spans="1:9">
      <c r="A934" s="8"/>
      <c r="B934" s="17"/>
      <c r="C934" s="16"/>
      <c r="D934" s="8"/>
      <c r="E934" s="8"/>
      <c r="F934" s="8"/>
      <c r="G934" s="8"/>
      <c r="H934" s="17"/>
      <c r="I934" s="17"/>
    </row>
    <row r="935" spans="1:9">
      <c r="A935" s="8"/>
      <c r="B935" s="17"/>
      <c r="C935" s="16"/>
      <c r="D935" s="8"/>
      <c r="E935" s="8"/>
      <c r="F935" s="8"/>
      <c r="G935" s="8"/>
      <c r="H935" s="17"/>
      <c r="I935" s="17"/>
    </row>
    <row r="936" spans="1:9">
      <c r="A936" s="8"/>
      <c r="B936" s="17"/>
      <c r="C936" s="16"/>
      <c r="D936" s="8"/>
      <c r="E936" s="8"/>
      <c r="F936" s="8"/>
      <c r="G936" s="8"/>
      <c r="H936" s="17"/>
      <c r="I936" s="17"/>
    </row>
    <row r="937" spans="1:9">
      <c r="A937" s="8"/>
      <c r="B937" s="17"/>
      <c r="C937" s="16"/>
      <c r="D937" s="8"/>
      <c r="E937" s="8"/>
      <c r="F937" s="8"/>
      <c r="G937" s="8"/>
      <c r="H937" s="17"/>
      <c r="I937" s="17"/>
    </row>
    <row r="938" spans="1:9">
      <c r="A938" s="8"/>
      <c r="B938" s="17"/>
      <c r="C938" s="16"/>
      <c r="D938" s="8"/>
      <c r="E938" s="8"/>
      <c r="F938" s="8"/>
      <c r="G938" s="8"/>
      <c r="H938" s="17"/>
      <c r="I938" s="17"/>
    </row>
    <row r="939" spans="1:9">
      <c r="A939" s="8"/>
      <c r="B939" s="17"/>
      <c r="C939" s="16"/>
      <c r="D939" s="8"/>
      <c r="E939" s="8"/>
      <c r="F939" s="8"/>
      <c r="G939" s="8"/>
      <c r="H939" s="17"/>
      <c r="I939" s="17"/>
    </row>
    <row r="940" spans="1:9">
      <c r="A940" s="8"/>
      <c r="B940" s="17"/>
      <c r="C940" s="16"/>
      <c r="D940" s="8"/>
      <c r="E940" s="8"/>
      <c r="F940" s="8"/>
      <c r="G940" s="8"/>
      <c r="H940" s="17"/>
      <c r="I940" s="17"/>
    </row>
    <row r="941" spans="1:9">
      <c r="A941" s="8"/>
      <c r="B941" s="17"/>
      <c r="C941" s="16"/>
      <c r="D941" s="8"/>
      <c r="E941" s="8"/>
      <c r="F941" s="8"/>
      <c r="G941" s="8"/>
      <c r="H941" s="17"/>
      <c r="I941" s="17"/>
    </row>
    <row r="942" spans="1:9">
      <c r="A942" s="8"/>
      <c r="B942" s="17"/>
      <c r="C942" s="16"/>
      <c r="D942" s="8"/>
      <c r="E942" s="8"/>
      <c r="F942" s="8"/>
      <c r="G942" s="8"/>
      <c r="H942" s="17"/>
      <c r="I942" s="17"/>
    </row>
    <row r="943" spans="1:9">
      <c r="A943" s="8"/>
      <c r="B943" s="17"/>
      <c r="C943" s="16"/>
      <c r="D943" s="8"/>
      <c r="E943" s="8"/>
      <c r="F943" s="8"/>
      <c r="G943" s="8"/>
      <c r="H943" s="17"/>
      <c r="I943" s="17"/>
    </row>
    <row r="944" spans="1:9">
      <c r="A944" s="8"/>
      <c r="B944" s="17"/>
      <c r="C944" s="16"/>
      <c r="D944" s="8"/>
      <c r="E944" s="8"/>
      <c r="F944" s="8"/>
      <c r="G944" s="8"/>
      <c r="H944" s="17"/>
      <c r="I944" s="17"/>
    </row>
    <row r="945" spans="1:9">
      <c r="A945" s="8"/>
      <c r="B945" s="17"/>
      <c r="C945" s="16"/>
      <c r="D945" s="8"/>
      <c r="E945" s="8"/>
      <c r="F945" s="8"/>
      <c r="G945" s="8"/>
      <c r="H945" s="17"/>
      <c r="I945" s="17"/>
    </row>
    <row r="946" spans="1:9">
      <c r="A946" s="8"/>
      <c r="B946" s="17"/>
      <c r="C946" s="16"/>
      <c r="D946" s="8"/>
      <c r="E946" s="8"/>
      <c r="F946" s="8"/>
      <c r="G946" s="8"/>
      <c r="H946" s="17"/>
      <c r="I946" s="17"/>
    </row>
    <row r="947" spans="1:9">
      <c r="A947" s="8"/>
      <c r="B947" s="17"/>
      <c r="C947" s="16"/>
      <c r="D947" s="8"/>
      <c r="E947" s="8"/>
      <c r="F947" s="8"/>
      <c r="G947" s="8"/>
      <c r="H947" s="17"/>
      <c r="I947" s="17"/>
    </row>
    <row r="948" spans="1:9">
      <c r="A948" s="8"/>
      <c r="B948" s="17"/>
      <c r="C948" s="16"/>
      <c r="D948" s="8"/>
      <c r="E948" s="8"/>
      <c r="F948" s="8"/>
      <c r="G948" s="8"/>
      <c r="H948" s="17"/>
      <c r="I948" s="17"/>
    </row>
    <row r="949" spans="1:9">
      <c r="A949" s="8"/>
      <c r="B949" s="17"/>
      <c r="C949" s="16"/>
      <c r="D949" s="8"/>
      <c r="E949" s="8"/>
      <c r="F949" s="8"/>
      <c r="G949" s="8"/>
      <c r="H949" s="17"/>
      <c r="I949" s="17"/>
    </row>
    <row r="950" spans="1:9">
      <c r="A950" s="8"/>
      <c r="B950" s="17"/>
      <c r="C950" s="16"/>
      <c r="D950" s="8"/>
      <c r="E950" s="8"/>
      <c r="F950" s="8"/>
      <c r="G950" s="8"/>
      <c r="H950" s="17"/>
      <c r="I950" s="17"/>
    </row>
    <row r="951" spans="1:9">
      <c r="A951" s="8"/>
      <c r="B951" s="17"/>
      <c r="C951" s="16"/>
      <c r="D951" s="8"/>
      <c r="E951" s="8"/>
      <c r="F951" s="8"/>
      <c r="G951" s="8"/>
      <c r="H951" s="17"/>
      <c r="I951" s="17"/>
    </row>
    <row r="952" spans="1:9">
      <c r="A952" s="8"/>
      <c r="B952" s="17"/>
      <c r="C952" s="16"/>
      <c r="D952" s="8"/>
      <c r="E952" s="8"/>
      <c r="F952" s="8"/>
      <c r="G952" s="8"/>
      <c r="H952" s="17"/>
      <c r="I952" s="17"/>
    </row>
    <row r="953" spans="1:9">
      <c r="A953" s="8"/>
      <c r="B953" s="17"/>
      <c r="C953" s="16"/>
      <c r="D953" s="8"/>
      <c r="E953" s="8"/>
      <c r="F953" s="8"/>
      <c r="G953" s="8"/>
      <c r="H953" s="17"/>
      <c r="I953" s="17"/>
    </row>
    <row r="954" spans="1:9">
      <c r="A954" s="8"/>
      <c r="B954" s="17"/>
      <c r="C954" s="16"/>
      <c r="D954" s="8"/>
      <c r="E954" s="8"/>
      <c r="F954" s="8"/>
      <c r="G954" s="8"/>
      <c r="H954" s="17"/>
      <c r="I954" s="17"/>
    </row>
    <row r="955" spans="1:9">
      <c r="A955" s="8"/>
      <c r="B955" s="17"/>
      <c r="C955" s="16"/>
      <c r="D955" s="8"/>
      <c r="E955" s="8"/>
      <c r="F955" s="8"/>
      <c r="G955" s="8"/>
      <c r="H955" s="17"/>
      <c r="I955" s="17"/>
    </row>
    <row r="956" spans="1:9">
      <c r="A956" s="8"/>
      <c r="B956" s="17"/>
      <c r="C956" s="16"/>
      <c r="D956" s="8"/>
      <c r="E956" s="8"/>
      <c r="F956" s="8"/>
      <c r="G956" s="8"/>
      <c r="H956" s="17"/>
      <c r="I956" s="17"/>
    </row>
    <row r="957" spans="1:9">
      <c r="A957" s="8"/>
      <c r="B957" s="17"/>
      <c r="C957" s="16"/>
      <c r="D957" s="8"/>
      <c r="E957" s="8"/>
      <c r="F957" s="8"/>
      <c r="G957" s="8"/>
      <c r="H957" s="17"/>
      <c r="I957" s="17"/>
    </row>
    <row r="958" spans="1:9">
      <c r="A958" s="8"/>
      <c r="B958" s="17"/>
      <c r="C958" s="16"/>
      <c r="D958" s="8"/>
      <c r="E958" s="8"/>
      <c r="F958" s="8"/>
      <c r="G958" s="8"/>
      <c r="H958" s="17"/>
      <c r="I958" s="17"/>
    </row>
    <row r="959" spans="1:9">
      <c r="A959" s="8"/>
      <c r="B959" s="17"/>
      <c r="C959" s="16"/>
      <c r="D959" s="8"/>
      <c r="E959" s="8"/>
      <c r="F959" s="8"/>
      <c r="G959" s="8"/>
      <c r="H959" s="17"/>
      <c r="I959" s="17"/>
    </row>
    <row r="960" spans="1:9">
      <c r="A960" s="8"/>
      <c r="B960" s="17"/>
      <c r="C960" s="16"/>
      <c r="D960" s="8"/>
      <c r="E960" s="8"/>
      <c r="F960" s="8"/>
      <c r="G960" s="8"/>
      <c r="H960" s="17"/>
      <c r="I960" s="17"/>
    </row>
    <row r="961" spans="1:9">
      <c r="A961" s="8"/>
      <c r="B961" s="17"/>
      <c r="C961" s="16"/>
      <c r="D961" s="8"/>
      <c r="E961" s="8"/>
      <c r="F961" s="8"/>
      <c r="G961" s="8"/>
      <c r="H961" s="17"/>
      <c r="I961" s="17"/>
    </row>
    <row r="962" spans="1:9">
      <c r="A962" s="8"/>
      <c r="B962" s="17"/>
      <c r="C962" s="16"/>
      <c r="D962" s="8"/>
      <c r="E962" s="8"/>
      <c r="F962" s="8"/>
      <c r="G962" s="8"/>
      <c r="H962" s="17"/>
      <c r="I962" s="17"/>
    </row>
    <row r="963" spans="1:9">
      <c r="A963" s="8"/>
      <c r="B963" s="17"/>
      <c r="C963" s="16"/>
      <c r="D963" s="8"/>
      <c r="E963" s="8"/>
      <c r="F963" s="8"/>
      <c r="G963" s="8"/>
      <c r="H963" s="17"/>
      <c r="I963" s="17"/>
    </row>
    <row r="964" spans="1:9">
      <c r="A964" s="8"/>
      <c r="B964" s="17"/>
      <c r="C964" s="16"/>
      <c r="D964" s="8"/>
      <c r="E964" s="8"/>
      <c r="F964" s="8"/>
      <c r="G964" s="8"/>
      <c r="H964" s="17"/>
      <c r="I964" s="17"/>
    </row>
    <row r="965" spans="1:9">
      <c r="A965" s="8"/>
      <c r="B965" s="17"/>
      <c r="C965" s="16"/>
      <c r="D965" s="8"/>
      <c r="E965" s="8"/>
      <c r="F965" s="8"/>
      <c r="G965" s="8"/>
      <c r="H965" s="17"/>
      <c r="I965" s="17"/>
    </row>
    <row r="966" spans="1:9">
      <c r="A966" s="8"/>
      <c r="B966" s="17"/>
      <c r="C966" s="16"/>
      <c r="D966" s="8"/>
      <c r="E966" s="8"/>
      <c r="F966" s="8"/>
      <c r="G966" s="8"/>
      <c r="H966" s="17"/>
      <c r="I966" s="17"/>
    </row>
    <row r="967" spans="1:9">
      <c r="A967" s="8"/>
      <c r="B967" s="17"/>
      <c r="C967" s="16"/>
      <c r="D967" s="8"/>
      <c r="E967" s="8"/>
      <c r="F967" s="8"/>
      <c r="G967" s="8"/>
      <c r="H967" s="17"/>
      <c r="I967" s="17"/>
    </row>
    <row r="968" spans="1:9">
      <c r="A968" s="8"/>
      <c r="B968" s="17"/>
      <c r="C968" s="16"/>
      <c r="D968" s="8"/>
      <c r="E968" s="8"/>
      <c r="F968" s="8"/>
      <c r="G968" s="8"/>
      <c r="H968" s="17"/>
      <c r="I968" s="17"/>
    </row>
    <row r="969" spans="1:9">
      <c r="A969" s="8"/>
      <c r="B969" s="17"/>
      <c r="C969" s="16"/>
      <c r="D969" s="8"/>
      <c r="E969" s="8"/>
      <c r="F969" s="8"/>
      <c r="G969" s="8"/>
      <c r="H969" s="17"/>
      <c r="I969" s="17"/>
    </row>
    <row r="970" spans="1:9">
      <c r="A970" s="8"/>
      <c r="B970" s="17"/>
      <c r="C970" s="16"/>
      <c r="D970" s="8"/>
      <c r="E970" s="8"/>
      <c r="F970" s="8"/>
      <c r="G970" s="8"/>
      <c r="H970" s="17"/>
      <c r="I970" s="17"/>
    </row>
    <row r="971" spans="1:9">
      <c r="A971" s="8"/>
      <c r="B971" s="17"/>
      <c r="C971" s="16"/>
      <c r="D971" s="8"/>
      <c r="E971" s="8"/>
      <c r="F971" s="8"/>
      <c r="G971" s="8"/>
      <c r="H971" s="17"/>
      <c r="I971" s="17"/>
    </row>
    <row r="972" spans="1:9">
      <c r="A972" s="8"/>
      <c r="B972" s="17"/>
      <c r="C972" s="16"/>
      <c r="D972" s="8"/>
      <c r="E972" s="8"/>
      <c r="F972" s="8"/>
      <c r="G972" s="8"/>
      <c r="H972" s="17"/>
      <c r="I972" s="17"/>
    </row>
    <row r="973" spans="1:9">
      <c r="A973" s="8"/>
      <c r="B973" s="17"/>
      <c r="C973" s="16"/>
      <c r="D973" s="8"/>
      <c r="E973" s="8"/>
      <c r="F973" s="8"/>
      <c r="G973" s="8"/>
      <c r="H973" s="17"/>
      <c r="I973" s="17"/>
    </row>
    <row r="974" spans="1:9">
      <c r="A974" s="8"/>
      <c r="B974" s="17"/>
      <c r="C974" s="16"/>
      <c r="D974" s="8"/>
      <c r="E974" s="8"/>
      <c r="F974" s="8"/>
      <c r="G974" s="8"/>
      <c r="H974" s="17"/>
      <c r="I974" s="17"/>
    </row>
    <row r="975" spans="1:9">
      <c r="A975" s="8"/>
      <c r="B975" s="17"/>
      <c r="C975" s="16"/>
      <c r="D975" s="8"/>
      <c r="E975" s="8"/>
      <c r="F975" s="8"/>
      <c r="G975" s="8"/>
      <c r="H975" s="17"/>
      <c r="I975" s="17"/>
    </row>
    <row r="976" spans="1:9">
      <c r="A976" s="8"/>
      <c r="B976" s="17"/>
      <c r="C976" s="16"/>
      <c r="D976" s="8"/>
      <c r="E976" s="8"/>
      <c r="F976" s="8"/>
      <c r="G976" s="8"/>
      <c r="H976" s="17"/>
      <c r="I976" s="17"/>
    </row>
    <row r="977" spans="1:9">
      <c r="A977" s="8"/>
      <c r="B977" s="17"/>
      <c r="C977" s="16"/>
      <c r="D977" s="8"/>
      <c r="E977" s="8"/>
      <c r="F977" s="8"/>
      <c r="G977" s="8"/>
      <c r="H977" s="17"/>
      <c r="I977" s="17"/>
    </row>
    <row r="978" spans="1:9">
      <c r="A978" s="8"/>
      <c r="B978" s="17"/>
      <c r="C978" s="16"/>
      <c r="D978" s="8"/>
      <c r="E978" s="8"/>
      <c r="F978" s="8"/>
      <c r="G978" s="8"/>
      <c r="H978" s="17"/>
      <c r="I978" s="17"/>
    </row>
    <row r="979" spans="1:9">
      <c r="A979" s="8"/>
      <c r="B979" s="17"/>
      <c r="C979" s="16"/>
      <c r="D979" s="8"/>
      <c r="E979" s="8"/>
      <c r="F979" s="8"/>
      <c r="G979" s="8"/>
      <c r="H979" s="17"/>
      <c r="I979" s="17"/>
    </row>
    <row r="980" spans="1:9">
      <c r="A980" s="8"/>
      <c r="B980" s="17"/>
      <c r="C980" s="16"/>
      <c r="D980" s="8"/>
      <c r="E980" s="8"/>
      <c r="F980" s="8"/>
      <c r="G980" s="8"/>
      <c r="H980" s="17"/>
      <c r="I980" s="17"/>
    </row>
    <row r="981" spans="1:9">
      <c r="A981" s="8"/>
      <c r="B981" s="17"/>
      <c r="C981" s="16"/>
      <c r="D981" s="8"/>
      <c r="E981" s="8"/>
      <c r="F981" s="8"/>
      <c r="G981" s="8"/>
      <c r="H981" s="17"/>
      <c r="I981" s="17"/>
    </row>
    <row r="982" spans="1:9">
      <c r="A982" s="8"/>
      <c r="B982" s="17"/>
      <c r="C982" s="16"/>
      <c r="D982" s="8"/>
      <c r="E982" s="8"/>
      <c r="F982" s="8"/>
      <c r="G982" s="8"/>
      <c r="H982" s="17"/>
      <c r="I982" s="17"/>
    </row>
    <row r="983" spans="1:9">
      <c r="A983" s="8"/>
      <c r="B983" s="17"/>
      <c r="C983" s="16"/>
      <c r="D983" s="8"/>
      <c r="E983" s="8"/>
      <c r="F983" s="8"/>
      <c r="G983" s="8"/>
      <c r="H983" s="17"/>
      <c r="I983" s="17"/>
    </row>
    <row r="984" spans="1:9">
      <c r="A984" s="8"/>
      <c r="B984" s="17"/>
      <c r="C984" s="16"/>
      <c r="D984" s="8"/>
      <c r="E984" s="8"/>
      <c r="F984" s="8"/>
      <c r="G984" s="8"/>
      <c r="H984" s="17"/>
      <c r="I984" s="17"/>
    </row>
    <row r="985" spans="1:9">
      <c r="A985" s="8"/>
      <c r="B985" s="17"/>
      <c r="C985" s="16"/>
      <c r="D985" s="8"/>
      <c r="E985" s="8"/>
      <c r="F985" s="8"/>
      <c r="G985" s="8"/>
      <c r="H985" s="17"/>
      <c r="I985" s="17"/>
    </row>
    <row r="986" spans="1:9">
      <c r="A986" s="8"/>
      <c r="B986" s="17"/>
      <c r="C986" s="16"/>
      <c r="D986" s="8"/>
      <c r="E986" s="8"/>
      <c r="F986" s="8"/>
      <c r="G986" s="8"/>
      <c r="H986" s="17"/>
      <c r="I986" s="17"/>
    </row>
    <row r="987" spans="1:9">
      <c r="A987" s="8"/>
      <c r="B987" s="17"/>
      <c r="C987" s="16"/>
      <c r="D987" s="8"/>
      <c r="E987" s="8"/>
      <c r="F987" s="8"/>
      <c r="G987" s="8"/>
      <c r="H987" s="17"/>
      <c r="I987" s="17"/>
    </row>
    <row r="988" spans="1:9">
      <c r="A988" s="8"/>
      <c r="B988" s="17"/>
      <c r="C988" s="16"/>
      <c r="D988" s="8"/>
      <c r="E988" s="8"/>
      <c r="F988" s="8"/>
      <c r="G988" s="8"/>
      <c r="H988" s="17"/>
      <c r="I988" s="17"/>
    </row>
    <row r="989" spans="1:9">
      <c r="A989" s="8"/>
      <c r="B989" s="17"/>
      <c r="C989" s="16"/>
      <c r="D989" s="8"/>
      <c r="E989" s="8"/>
      <c r="F989" s="8"/>
      <c r="G989" s="8"/>
      <c r="H989" s="17"/>
      <c r="I989" s="17"/>
    </row>
    <row r="990" spans="1:9">
      <c r="A990" s="8"/>
      <c r="B990" s="17"/>
      <c r="C990" s="16"/>
      <c r="D990" s="8"/>
      <c r="E990" s="8"/>
      <c r="F990" s="8"/>
      <c r="G990" s="8"/>
      <c r="H990" s="17"/>
      <c r="I990" s="17"/>
    </row>
    <row r="991" spans="1:9">
      <c r="A991" s="8"/>
      <c r="B991" s="17"/>
      <c r="C991" s="16"/>
      <c r="D991" s="8"/>
      <c r="E991" s="8"/>
      <c r="F991" s="8"/>
      <c r="G991" s="8"/>
      <c r="H991" s="17"/>
      <c r="I991" s="17"/>
    </row>
    <row r="992" spans="1:9">
      <c r="A992" s="8"/>
      <c r="B992" s="17"/>
      <c r="C992" s="16"/>
      <c r="D992" s="8"/>
      <c r="E992" s="8"/>
      <c r="F992" s="8"/>
      <c r="G992" s="8"/>
      <c r="H992" s="17"/>
      <c r="I992" s="17"/>
    </row>
    <row r="993" spans="1:9">
      <c r="A993" s="8"/>
      <c r="B993" s="17"/>
      <c r="C993" s="16"/>
      <c r="D993" s="8"/>
      <c r="E993" s="8"/>
      <c r="F993" s="8"/>
      <c r="G993" s="8"/>
      <c r="H993" s="17"/>
      <c r="I993" s="17"/>
    </row>
    <row r="994" spans="1:9">
      <c r="A994" s="8"/>
      <c r="B994" s="17"/>
      <c r="C994" s="16"/>
      <c r="D994" s="8"/>
      <c r="E994" s="8"/>
      <c r="F994" s="8"/>
      <c r="G994" s="8"/>
      <c r="H994" s="17"/>
      <c r="I994" s="17"/>
    </row>
    <row r="995" spans="1:9">
      <c r="A995" s="8"/>
      <c r="B995" s="17"/>
      <c r="C995" s="16"/>
      <c r="D995" s="8"/>
      <c r="E995" s="8"/>
      <c r="F995" s="8"/>
      <c r="G995" s="8"/>
      <c r="H995" s="17"/>
      <c r="I995" s="17"/>
    </row>
    <row r="996" spans="1:9">
      <c r="A996" s="8"/>
      <c r="B996" s="17"/>
      <c r="C996" s="16"/>
      <c r="D996" s="8"/>
      <c r="E996" s="8"/>
      <c r="F996" s="8"/>
      <c r="G996" s="8"/>
      <c r="H996" s="17"/>
      <c r="I996" s="17"/>
    </row>
    <row r="997" spans="1:9">
      <c r="A997" s="8"/>
      <c r="B997" s="17"/>
      <c r="C997" s="16"/>
      <c r="D997" s="8"/>
      <c r="E997" s="8"/>
      <c r="F997" s="8"/>
      <c r="G997" s="8"/>
      <c r="H997" s="17"/>
      <c r="I997" s="17"/>
    </row>
    <row r="998" spans="1:9">
      <c r="A998" s="8"/>
      <c r="B998" s="17"/>
      <c r="C998" s="16"/>
      <c r="D998" s="8"/>
      <c r="E998" s="8"/>
      <c r="F998" s="8"/>
      <c r="G998" s="8"/>
      <c r="H998" s="17"/>
      <c r="I998" s="17"/>
    </row>
    <row r="999" spans="1:9">
      <c r="A999" s="8"/>
      <c r="B999" s="17"/>
      <c r="C999" s="16"/>
      <c r="D999" s="8"/>
      <c r="E999" s="8"/>
      <c r="F999" s="8"/>
      <c r="G999" s="8"/>
      <c r="H999" s="17"/>
      <c r="I999" s="17"/>
    </row>
    <row r="1000" spans="1:9">
      <c r="A1000" s="8"/>
      <c r="B1000" s="17"/>
      <c r="C1000" s="16"/>
      <c r="D1000" s="8"/>
      <c r="E1000" s="8"/>
      <c r="F1000" s="8"/>
      <c r="G1000" s="8"/>
      <c r="H1000" s="17"/>
      <c r="I1000" s="17"/>
    </row>
    <row r="1001" spans="1:9">
      <c r="A1001" s="8"/>
      <c r="B1001" s="17"/>
      <c r="C1001" s="16"/>
      <c r="D1001" s="8"/>
      <c r="E1001" s="8"/>
      <c r="F1001" s="8"/>
      <c r="G1001" s="8"/>
      <c r="H1001" s="17"/>
      <c r="I1001" s="17"/>
    </row>
    <row r="1002" spans="1:9">
      <c r="A1002" s="8"/>
      <c r="B1002" s="17"/>
      <c r="C1002" s="16"/>
      <c r="D1002" s="8"/>
      <c r="E1002" s="8"/>
      <c r="F1002" s="8"/>
      <c r="G1002" s="8"/>
      <c r="H1002" s="17"/>
      <c r="I1002" s="17"/>
    </row>
    <row r="1003" spans="1:9">
      <c r="A1003" s="8"/>
      <c r="B1003" s="17"/>
      <c r="C1003" s="16"/>
      <c r="D1003" s="8"/>
      <c r="E1003" s="8"/>
      <c r="F1003" s="8"/>
      <c r="G1003" s="8"/>
      <c r="H1003" s="17"/>
      <c r="I1003" s="17"/>
    </row>
    <row r="1004" spans="1:9">
      <c r="A1004" s="8"/>
      <c r="B1004" s="17"/>
      <c r="C1004" s="16"/>
      <c r="D1004" s="8"/>
      <c r="E1004" s="8"/>
      <c r="F1004" s="8"/>
      <c r="G1004" s="8"/>
      <c r="H1004" s="17"/>
      <c r="I1004" s="17"/>
    </row>
    <row r="1005" spans="1:9">
      <c r="A1005" s="8"/>
      <c r="B1005" s="17"/>
      <c r="C1005" s="16"/>
      <c r="D1005" s="8"/>
      <c r="E1005" s="8"/>
      <c r="F1005" s="8"/>
      <c r="G1005" s="8"/>
      <c r="H1005" s="17"/>
      <c r="I1005" s="17"/>
    </row>
    <row r="1006" spans="1:9">
      <c r="A1006" s="8"/>
      <c r="B1006" s="17"/>
      <c r="C1006" s="16"/>
      <c r="D1006" s="8"/>
      <c r="E1006" s="8"/>
      <c r="F1006" s="8"/>
      <c r="G1006" s="8"/>
      <c r="H1006" s="17"/>
      <c r="I1006" s="17"/>
    </row>
    <row r="1007" spans="1:9">
      <c r="A1007" s="8"/>
      <c r="B1007" s="17"/>
      <c r="C1007" s="16"/>
      <c r="D1007" s="8"/>
      <c r="E1007" s="8"/>
      <c r="F1007" s="8"/>
      <c r="G1007" s="8"/>
      <c r="H1007" s="17"/>
      <c r="I1007" s="17"/>
    </row>
    <row r="1008" spans="1:9">
      <c r="A1008" s="8"/>
      <c r="B1008" s="17"/>
      <c r="C1008" s="16"/>
      <c r="D1008" s="8"/>
      <c r="E1008" s="8"/>
      <c r="F1008" s="8"/>
      <c r="G1008" s="8"/>
      <c r="H1008" s="17"/>
      <c r="I1008" s="17"/>
    </row>
    <row r="1009" spans="1:9">
      <c r="A1009" s="8"/>
      <c r="B1009" s="17"/>
      <c r="C1009" s="16"/>
      <c r="D1009" s="8"/>
      <c r="E1009" s="8"/>
      <c r="F1009" s="8"/>
      <c r="G1009" s="8"/>
      <c r="H1009" s="17"/>
      <c r="I1009" s="17"/>
    </row>
    <row r="1010" spans="1:9">
      <c r="A1010" s="8"/>
      <c r="B1010" s="17"/>
      <c r="C1010" s="16"/>
      <c r="D1010" s="8"/>
      <c r="E1010" s="8"/>
      <c r="F1010" s="8"/>
      <c r="G1010" s="8"/>
      <c r="H1010" s="17"/>
      <c r="I1010" s="17"/>
    </row>
    <row r="1011" spans="1:9">
      <c r="A1011" s="8"/>
      <c r="B1011" s="17"/>
      <c r="C1011" s="16"/>
      <c r="D1011" s="8"/>
      <c r="E1011" s="8"/>
      <c r="F1011" s="8"/>
      <c r="G1011" s="8"/>
      <c r="H1011" s="17"/>
      <c r="I1011" s="17"/>
    </row>
    <row r="1012" spans="1:9">
      <c r="A1012" s="8"/>
      <c r="B1012" s="17"/>
      <c r="C1012" s="16"/>
      <c r="D1012" s="8"/>
      <c r="E1012" s="8"/>
      <c r="F1012" s="8"/>
      <c r="G1012" s="8"/>
      <c r="H1012" s="17"/>
      <c r="I1012" s="17"/>
    </row>
    <row r="1013" spans="1:9">
      <c r="A1013" s="8"/>
      <c r="B1013" s="17"/>
      <c r="C1013" s="16"/>
      <c r="D1013" s="8"/>
      <c r="E1013" s="8"/>
      <c r="F1013" s="8"/>
      <c r="G1013" s="8"/>
      <c r="H1013" s="17"/>
      <c r="I1013" s="17"/>
    </row>
    <row r="1014" spans="1:9">
      <c r="A1014" s="8"/>
      <c r="B1014" s="17"/>
      <c r="C1014" s="16"/>
      <c r="D1014" s="8"/>
      <c r="E1014" s="8"/>
      <c r="F1014" s="8"/>
      <c r="G1014" s="8"/>
      <c r="H1014" s="17"/>
      <c r="I1014" s="17"/>
    </row>
    <row r="1015" spans="1:9">
      <c r="A1015" s="8"/>
      <c r="B1015" s="17"/>
      <c r="C1015" s="16"/>
      <c r="D1015" s="8"/>
      <c r="E1015" s="8"/>
      <c r="F1015" s="8"/>
      <c r="G1015" s="8"/>
      <c r="H1015" s="17"/>
      <c r="I1015" s="17"/>
    </row>
    <row r="1016" spans="1:9">
      <c r="A1016" s="8"/>
      <c r="B1016" s="17"/>
      <c r="C1016" s="16"/>
      <c r="D1016" s="8"/>
      <c r="E1016" s="8"/>
      <c r="F1016" s="8"/>
      <c r="G1016" s="8"/>
      <c r="H1016" s="17"/>
      <c r="I1016" s="17"/>
    </row>
    <row r="1017" spans="1:9">
      <c r="A1017" s="8"/>
      <c r="B1017" s="17"/>
      <c r="C1017" s="16"/>
      <c r="D1017" s="8"/>
      <c r="E1017" s="8"/>
      <c r="F1017" s="8"/>
      <c r="G1017" s="8"/>
      <c r="H1017" s="17"/>
      <c r="I1017" s="17"/>
    </row>
    <row r="1018" spans="1:9">
      <c r="A1018" s="8"/>
      <c r="B1018" s="17"/>
      <c r="C1018" s="16"/>
      <c r="D1018" s="8"/>
      <c r="E1018" s="8"/>
      <c r="F1018" s="8"/>
      <c r="G1018" s="8"/>
      <c r="H1018" s="17"/>
      <c r="I1018" s="17"/>
    </row>
    <row r="1019" spans="1:9">
      <c r="A1019" s="8"/>
      <c r="B1019" s="17"/>
      <c r="C1019" s="16"/>
      <c r="D1019" s="8"/>
      <c r="E1019" s="8"/>
      <c r="F1019" s="8"/>
      <c r="G1019" s="8"/>
      <c r="H1019" s="17"/>
      <c r="I1019" s="17"/>
    </row>
    <row r="1020" spans="1:9">
      <c r="A1020" s="8"/>
      <c r="B1020" s="17"/>
      <c r="C1020" s="16"/>
      <c r="D1020" s="8"/>
      <c r="E1020" s="8"/>
      <c r="F1020" s="8"/>
      <c r="G1020" s="8"/>
      <c r="H1020" s="17"/>
      <c r="I1020" s="17"/>
    </row>
    <row r="1021" spans="1:9">
      <c r="A1021" s="8"/>
      <c r="B1021" s="17"/>
      <c r="C1021" s="16"/>
      <c r="D1021" s="8"/>
      <c r="E1021" s="8"/>
      <c r="F1021" s="8"/>
      <c r="G1021" s="8"/>
      <c r="H1021" s="17"/>
      <c r="I1021" s="17"/>
    </row>
    <row r="1022" spans="1:9">
      <c r="A1022" s="8"/>
      <c r="B1022" s="17"/>
      <c r="C1022" s="16"/>
      <c r="D1022" s="8"/>
      <c r="E1022" s="8"/>
      <c r="F1022" s="8"/>
      <c r="G1022" s="8"/>
      <c r="H1022" s="17"/>
      <c r="I1022" s="17"/>
    </row>
    <row r="1023" spans="1:9">
      <c r="A1023" s="8"/>
      <c r="B1023" s="17"/>
      <c r="C1023" s="16"/>
      <c r="D1023" s="8"/>
      <c r="E1023" s="8"/>
      <c r="F1023" s="8"/>
      <c r="G1023" s="8"/>
      <c r="H1023" s="17"/>
      <c r="I1023" s="17"/>
    </row>
    <row r="1024" spans="1:9">
      <c r="A1024" s="8"/>
      <c r="B1024" s="17"/>
      <c r="C1024" s="16"/>
      <c r="D1024" s="8"/>
      <c r="E1024" s="8"/>
      <c r="F1024" s="8"/>
      <c r="G1024" s="8"/>
      <c r="H1024" s="17"/>
      <c r="I1024" s="17"/>
    </row>
    <row r="1025" spans="1:9">
      <c r="A1025" s="8"/>
      <c r="B1025" s="17"/>
      <c r="C1025" s="16"/>
      <c r="D1025" s="8"/>
      <c r="E1025" s="8"/>
      <c r="F1025" s="8"/>
      <c r="G1025" s="8"/>
      <c r="H1025" s="17"/>
      <c r="I1025" s="17"/>
    </row>
    <row r="1026" spans="1:9">
      <c r="A1026" s="8"/>
      <c r="B1026" s="17"/>
      <c r="C1026" s="16"/>
      <c r="D1026" s="8"/>
      <c r="E1026" s="8"/>
      <c r="F1026" s="8"/>
      <c r="G1026" s="8"/>
      <c r="H1026" s="17"/>
      <c r="I1026" s="17"/>
    </row>
    <row r="1027" spans="1:9">
      <c r="A1027" s="8"/>
      <c r="B1027" s="17"/>
      <c r="C1027" s="16"/>
      <c r="D1027" s="8"/>
      <c r="E1027" s="8"/>
      <c r="F1027" s="8"/>
      <c r="G1027" s="8"/>
      <c r="H1027" s="17"/>
      <c r="I1027" s="17"/>
    </row>
    <row r="1028" spans="1:9">
      <c r="A1028" s="8"/>
      <c r="B1028" s="17"/>
      <c r="C1028" s="16"/>
      <c r="D1028" s="8"/>
      <c r="E1028" s="8"/>
      <c r="F1028" s="8"/>
      <c r="G1028" s="8"/>
      <c r="H1028" s="17"/>
      <c r="I1028" s="17"/>
    </row>
    <row r="1029" spans="1:9">
      <c r="A1029" s="8"/>
      <c r="B1029" s="17"/>
      <c r="C1029" s="16"/>
      <c r="D1029" s="8"/>
      <c r="E1029" s="8"/>
      <c r="F1029" s="8"/>
      <c r="G1029" s="8"/>
      <c r="H1029" s="17"/>
      <c r="I1029" s="17"/>
    </row>
    <row r="1030" spans="1:9">
      <c r="A1030" s="8"/>
      <c r="B1030" s="17"/>
      <c r="C1030" s="16"/>
      <c r="D1030" s="8"/>
      <c r="E1030" s="8"/>
      <c r="F1030" s="8"/>
      <c r="G1030" s="8"/>
      <c r="H1030" s="17"/>
      <c r="I1030" s="17"/>
    </row>
    <row r="1031" spans="1:9">
      <c r="A1031" s="8"/>
      <c r="B1031" s="17"/>
      <c r="C1031" s="16"/>
      <c r="D1031" s="8"/>
      <c r="E1031" s="8"/>
      <c r="F1031" s="8"/>
      <c r="G1031" s="8"/>
      <c r="H1031" s="17"/>
      <c r="I1031" s="17"/>
    </row>
    <row r="1032" spans="1:9">
      <c r="A1032" s="8"/>
      <c r="B1032" s="17"/>
      <c r="C1032" s="16"/>
      <c r="D1032" s="8"/>
      <c r="E1032" s="8"/>
      <c r="F1032" s="8"/>
      <c r="G1032" s="8"/>
      <c r="H1032" s="17"/>
      <c r="I1032" s="17"/>
    </row>
    <row r="1033" spans="1:9">
      <c r="A1033" s="8"/>
      <c r="B1033" s="17"/>
      <c r="C1033" s="16"/>
      <c r="D1033" s="8"/>
      <c r="E1033" s="8"/>
      <c r="F1033" s="8"/>
      <c r="G1033" s="8"/>
      <c r="H1033" s="17"/>
      <c r="I1033" s="17"/>
    </row>
    <row r="1034" spans="1:9">
      <c r="A1034" s="8"/>
      <c r="B1034" s="17"/>
      <c r="C1034" s="16"/>
      <c r="D1034" s="8"/>
      <c r="E1034" s="8"/>
      <c r="F1034" s="8"/>
      <c r="G1034" s="8"/>
      <c r="H1034" s="17"/>
      <c r="I1034" s="17"/>
    </row>
    <row r="1035" spans="1:9">
      <c r="A1035" s="8"/>
      <c r="B1035" s="17"/>
      <c r="C1035" s="16"/>
      <c r="D1035" s="8"/>
      <c r="E1035" s="8"/>
      <c r="F1035" s="8"/>
      <c r="G1035" s="8"/>
      <c r="H1035" s="17"/>
      <c r="I1035" s="17"/>
    </row>
    <row r="1036" spans="1:9">
      <c r="A1036" s="8"/>
      <c r="B1036" s="17"/>
      <c r="C1036" s="16"/>
      <c r="D1036" s="8"/>
      <c r="E1036" s="8"/>
      <c r="F1036" s="8"/>
      <c r="G1036" s="8"/>
      <c r="H1036" s="17"/>
      <c r="I1036" s="17"/>
    </row>
    <row r="1037" spans="1:9">
      <c r="A1037" s="8"/>
      <c r="B1037" s="17"/>
      <c r="C1037" s="16"/>
      <c r="D1037" s="8"/>
      <c r="E1037" s="8"/>
      <c r="F1037" s="8"/>
      <c r="G1037" s="8"/>
      <c r="H1037" s="17"/>
      <c r="I1037" s="17"/>
    </row>
    <row r="1038" spans="1:9">
      <c r="A1038" s="8"/>
      <c r="B1038" s="17"/>
      <c r="C1038" s="16"/>
      <c r="D1038" s="8"/>
      <c r="E1038" s="8"/>
      <c r="F1038" s="8"/>
      <c r="G1038" s="8"/>
      <c r="H1038" s="17"/>
      <c r="I1038" s="17"/>
    </row>
    <row r="1039" spans="1:9">
      <c r="A1039" s="8"/>
      <c r="B1039" s="17"/>
      <c r="C1039" s="16"/>
      <c r="D1039" s="8"/>
      <c r="E1039" s="8"/>
      <c r="F1039" s="8"/>
      <c r="G1039" s="8"/>
      <c r="H1039" s="17"/>
      <c r="I1039" s="17"/>
    </row>
    <row r="1040" spans="1:9">
      <c r="A1040" s="8"/>
      <c r="B1040" s="17"/>
      <c r="C1040" s="16"/>
      <c r="D1040" s="8"/>
      <c r="E1040" s="8"/>
      <c r="F1040" s="8"/>
      <c r="G1040" s="8"/>
      <c r="H1040" s="17"/>
      <c r="I1040" s="17"/>
    </row>
    <row r="1041" spans="1:9">
      <c r="A1041" s="8"/>
      <c r="B1041" s="17"/>
      <c r="C1041" s="16"/>
      <c r="D1041" s="8"/>
      <c r="E1041" s="8"/>
      <c r="F1041" s="8"/>
      <c r="G1041" s="8"/>
      <c r="H1041" s="17"/>
      <c r="I1041" s="17"/>
    </row>
    <row r="1042" spans="1:9">
      <c r="A1042" s="8"/>
      <c r="B1042" s="17"/>
      <c r="C1042" s="16"/>
      <c r="D1042" s="8"/>
      <c r="E1042" s="8"/>
      <c r="F1042" s="8"/>
      <c r="G1042" s="8"/>
      <c r="H1042" s="17"/>
      <c r="I1042" s="17"/>
    </row>
    <row r="1043" spans="1:9">
      <c r="A1043" s="8"/>
      <c r="B1043" s="17"/>
      <c r="C1043" s="16"/>
      <c r="D1043" s="8"/>
      <c r="E1043" s="8"/>
      <c r="F1043" s="8"/>
      <c r="G1043" s="8"/>
      <c r="H1043" s="17"/>
      <c r="I1043" s="17"/>
    </row>
    <row r="1044" spans="1:9">
      <c r="A1044" s="8"/>
      <c r="B1044" s="17"/>
      <c r="C1044" s="16"/>
      <c r="D1044" s="8"/>
      <c r="E1044" s="8"/>
      <c r="F1044" s="8"/>
      <c r="G1044" s="8"/>
      <c r="H1044" s="17"/>
      <c r="I1044" s="17"/>
    </row>
    <row r="1045" spans="1:9">
      <c r="A1045" s="8"/>
      <c r="B1045" s="17"/>
      <c r="C1045" s="16"/>
      <c r="D1045" s="8"/>
      <c r="E1045" s="8"/>
      <c r="F1045" s="8"/>
      <c r="G1045" s="8"/>
      <c r="H1045" s="17"/>
      <c r="I1045" s="17"/>
    </row>
    <row r="1046" spans="1:9">
      <c r="A1046" s="8"/>
      <c r="B1046" s="17"/>
      <c r="C1046" s="16"/>
      <c r="D1046" s="8"/>
      <c r="E1046" s="8"/>
      <c r="F1046" s="8"/>
      <c r="G1046" s="8"/>
      <c r="H1046" s="17"/>
      <c r="I1046" s="17"/>
    </row>
    <row r="1047" spans="1:9">
      <c r="A1047" s="8"/>
      <c r="B1047" s="17"/>
      <c r="C1047" s="16"/>
      <c r="D1047" s="8"/>
      <c r="E1047" s="8"/>
      <c r="F1047" s="8"/>
      <c r="G1047" s="8"/>
      <c r="H1047" s="17"/>
      <c r="I1047" s="17"/>
    </row>
    <row r="1048" spans="1:9">
      <c r="A1048" s="8"/>
      <c r="B1048" s="17"/>
      <c r="C1048" s="16"/>
      <c r="D1048" s="8"/>
      <c r="E1048" s="8"/>
      <c r="F1048" s="8"/>
      <c r="G1048" s="8"/>
      <c r="H1048" s="17"/>
      <c r="I1048" s="17"/>
    </row>
    <row r="1049" spans="1:9">
      <c r="A1049" s="8"/>
      <c r="B1049" s="17"/>
      <c r="C1049" s="16"/>
      <c r="D1049" s="8"/>
      <c r="E1049" s="8"/>
      <c r="F1049" s="8"/>
      <c r="G1049" s="8"/>
      <c r="H1049" s="17"/>
      <c r="I1049" s="17"/>
    </row>
    <row r="1050" spans="1:9">
      <c r="A1050" s="8"/>
      <c r="B1050" s="17"/>
      <c r="C1050" s="16"/>
      <c r="D1050" s="8"/>
      <c r="E1050" s="8"/>
      <c r="F1050" s="8"/>
      <c r="G1050" s="8"/>
      <c r="H1050" s="17"/>
      <c r="I1050" s="17"/>
    </row>
    <row r="1051" spans="1:9">
      <c r="A1051" s="8"/>
      <c r="B1051" s="17"/>
      <c r="C1051" s="16"/>
      <c r="D1051" s="8"/>
      <c r="E1051" s="8"/>
      <c r="F1051" s="8"/>
      <c r="G1051" s="8"/>
      <c r="H1051" s="17"/>
      <c r="I1051" s="17"/>
    </row>
    <row r="1052" spans="1:9">
      <c r="A1052" s="8"/>
      <c r="B1052" s="17"/>
      <c r="C1052" s="16"/>
      <c r="D1052" s="8"/>
      <c r="E1052" s="8"/>
      <c r="F1052" s="8"/>
      <c r="G1052" s="8"/>
      <c r="H1052" s="17"/>
      <c r="I1052" s="17"/>
    </row>
    <row r="1053" spans="1:9">
      <c r="A1053" s="8"/>
      <c r="B1053" s="17"/>
      <c r="C1053" s="16"/>
      <c r="D1053" s="8"/>
      <c r="E1053" s="8"/>
      <c r="F1053" s="8"/>
      <c r="G1053" s="8"/>
      <c r="H1053" s="17"/>
      <c r="I1053" s="17"/>
    </row>
    <row r="1054" spans="1:9">
      <c r="A1054" s="8"/>
      <c r="B1054" s="17"/>
      <c r="C1054" s="16"/>
      <c r="D1054" s="8"/>
      <c r="E1054" s="8"/>
      <c r="F1054" s="8"/>
      <c r="G1054" s="8"/>
      <c r="H1054" s="17"/>
      <c r="I1054" s="17"/>
    </row>
    <row r="1055" spans="1:9">
      <c r="A1055" s="8"/>
      <c r="B1055" s="17"/>
      <c r="C1055" s="16"/>
      <c r="D1055" s="8"/>
      <c r="E1055" s="8"/>
      <c r="F1055" s="8"/>
      <c r="G1055" s="8"/>
      <c r="H1055" s="17"/>
      <c r="I1055" s="17"/>
    </row>
    <row r="1056" spans="1:9">
      <c r="A1056" s="8"/>
      <c r="B1056" s="17"/>
      <c r="C1056" s="16"/>
      <c r="D1056" s="8"/>
      <c r="E1056" s="8"/>
      <c r="F1056" s="8"/>
      <c r="G1056" s="8"/>
      <c r="H1056" s="17"/>
      <c r="I1056" s="17"/>
    </row>
    <row r="1057" spans="1:9">
      <c r="A1057" s="8"/>
      <c r="B1057" s="17"/>
      <c r="C1057" s="16"/>
      <c r="D1057" s="8"/>
      <c r="E1057" s="8"/>
      <c r="F1057" s="8"/>
      <c r="G1057" s="8"/>
      <c r="H1057" s="17"/>
      <c r="I1057" s="17"/>
    </row>
    <row r="1058" spans="1:9">
      <c r="A1058" s="8"/>
      <c r="B1058" s="17"/>
      <c r="C1058" s="16"/>
      <c r="D1058" s="8"/>
      <c r="E1058" s="8"/>
      <c r="F1058" s="8"/>
      <c r="G1058" s="8"/>
      <c r="H1058" s="17"/>
      <c r="I1058" s="17"/>
    </row>
    <row r="1059" spans="1:9">
      <c r="A1059" s="8"/>
      <c r="B1059" s="17"/>
      <c r="C1059" s="16"/>
      <c r="D1059" s="8"/>
      <c r="E1059" s="8"/>
      <c r="F1059" s="8"/>
      <c r="G1059" s="8"/>
      <c r="H1059" s="17"/>
      <c r="I1059" s="17"/>
    </row>
    <row r="1060" spans="1:9">
      <c r="A1060" s="8"/>
      <c r="B1060" s="17"/>
      <c r="C1060" s="16"/>
      <c r="D1060" s="8"/>
      <c r="E1060" s="8"/>
      <c r="F1060" s="8"/>
      <c r="G1060" s="8"/>
      <c r="H1060" s="17"/>
      <c r="I1060" s="17"/>
    </row>
    <row r="1061" spans="1:9">
      <c r="A1061" s="8"/>
      <c r="B1061" s="17"/>
      <c r="C1061" s="16"/>
      <c r="D1061" s="8"/>
      <c r="E1061" s="8"/>
      <c r="F1061" s="8"/>
      <c r="G1061" s="8"/>
      <c r="H1061" s="17"/>
      <c r="I1061" s="17"/>
    </row>
    <row r="1062" spans="1:9">
      <c r="A1062" s="8"/>
      <c r="B1062" s="17"/>
      <c r="C1062" s="16"/>
      <c r="D1062" s="8"/>
      <c r="E1062" s="8"/>
      <c r="F1062" s="8"/>
      <c r="G1062" s="8"/>
      <c r="H1062" s="17"/>
      <c r="I1062" s="17"/>
    </row>
    <row r="1063" spans="1:9">
      <c r="A1063" s="8"/>
      <c r="B1063" s="17"/>
      <c r="C1063" s="16"/>
      <c r="D1063" s="8"/>
      <c r="E1063" s="8"/>
      <c r="F1063" s="8"/>
      <c r="G1063" s="8"/>
      <c r="H1063" s="17"/>
      <c r="I1063" s="17"/>
    </row>
    <row r="1064" spans="1:9">
      <c r="A1064" s="8"/>
      <c r="B1064" s="17"/>
      <c r="C1064" s="16"/>
      <c r="D1064" s="8"/>
      <c r="E1064" s="8"/>
      <c r="F1064" s="8"/>
      <c r="G1064" s="8"/>
      <c r="H1064" s="17"/>
      <c r="I1064" s="17"/>
    </row>
    <row r="1065" spans="1:9">
      <c r="A1065" s="8"/>
      <c r="B1065" s="17"/>
      <c r="C1065" s="16"/>
      <c r="D1065" s="8"/>
      <c r="E1065" s="8"/>
      <c r="F1065" s="8"/>
      <c r="G1065" s="8"/>
      <c r="H1065" s="17"/>
      <c r="I1065" s="17"/>
    </row>
    <row r="1066" spans="1:9">
      <c r="A1066" s="8"/>
      <c r="B1066" s="17"/>
      <c r="C1066" s="16"/>
      <c r="D1066" s="8"/>
      <c r="E1066" s="8"/>
      <c r="F1066" s="8"/>
      <c r="G1066" s="8"/>
      <c r="H1066" s="17"/>
      <c r="I1066" s="17"/>
    </row>
    <row r="1067" spans="1:9">
      <c r="A1067" s="8"/>
      <c r="B1067" s="17"/>
      <c r="C1067" s="16"/>
      <c r="D1067" s="8"/>
      <c r="E1067" s="8"/>
      <c r="F1067" s="8"/>
      <c r="G1067" s="8"/>
      <c r="H1067" s="17"/>
      <c r="I1067" s="17"/>
    </row>
    <row r="1068" spans="1:9">
      <c r="A1068" s="8"/>
      <c r="B1068" s="17"/>
      <c r="C1068" s="16"/>
      <c r="D1068" s="8"/>
      <c r="E1068" s="8"/>
      <c r="F1068" s="8"/>
      <c r="G1068" s="8"/>
      <c r="H1068" s="17"/>
      <c r="I1068" s="17"/>
    </row>
    <row r="1069" spans="1:9">
      <c r="A1069" s="8"/>
      <c r="B1069" s="17"/>
      <c r="C1069" s="16"/>
      <c r="D1069" s="8"/>
      <c r="E1069" s="8"/>
      <c r="F1069" s="8"/>
      <c r="G1069" s="8"/>
      <c r="H1069" s="17"/>
      <c r="I1069" s="17"/>
    </row>
    <row r="1070" spans="1:9">
      <c r="A1070" s="8"/>
      <c r="B1070" s="17"/>
      <c r="C1070" s="16"/>
      <c r="D1070" s="8"/>
      <c r="E1070" s="8"/>
      <c r="F1070" s="8"/>
      <c r="G1070" s="8"/>
      <c r="H1070" s="17"/>
      <c r="I1070" s="17"/>
    </row>
    <row r="1071" spans="1:9">
      <c r="A1071" s="8"/>
      <c r="B1071" s="17"/>
      <c r="C1071" s="16"/>
      <c r="D1071" s="8"/>
      <c r="E1071" s="8"/>
      <c r="F1071" s="8"/>
      <c r="G1071" s="8"/>
      <c r="H1071" s="17"/>
      <c r="I1071" s="17"/>
    </row>
    <row r="1072" spans="1:9">
      <c r="A1072" s="8"/>
      <c r="B1072" s="17"/>
      <c r="C1072" s="16"/>
      <c r="D1072" s="8"/>
      <c r="E1072" s="8"/>
      <c r="F1072" s="8"/>
      <c r="G1072" s="8"/>
      <c r="H1072" s="17"/>
      <c r="I1072" s="17"/>
    </row>
    <row r="1073" spans="1:9">
      <c r="A1073" s="8"/>
      <c r="B1073" s="17"/>
      <c r="C1073" s="16"/>
      <c r="D1073" s="8"/>
      <c r="E1073" s="8"/>
      <c r="F1073" s="8"/>
      <c r="G1073" s="8"/>
      <c r="H1073" s="17"/>
      <c r="I1073" s="17"/>
    </row>
    <row r="1074" spans="1:9">
      <c r="A1074" s="8"/>
      <c r="B1074" s="17"/>
      <c r="C1074" s="16"/>
      <c r="D1074" s="8"/>
      <c r="E1074" s="8"/>
      <c r="F1074" s="8"/>
      <c r="G1074" s="8"/>
      <c r="H1074" s="17"/>
      <c r="I1074" s="17"/>
    </row>
    <row r="1075" spans="1:9">
      <c r="A1075" s="8"/>
      <c r="B1075" s="17"/>
      <c r="C1075" s="16"/>
      <c r="D1075" s="8"/>
      <c r="E1075" s="8"/>
      <c r="F1075" s="8"/>
      <c r="G1075" s="8"/>
      <c r="H1075" s="17"/>
      <c r="I1075" s="17"/>
    </row>
    <row r="1076" spans="1:9">
      <c r="A1076" s="8"/>
      <c r="B1076" s="17"/>
      <c r="C1076" s="16"/>
      <c r="D1076" s="8"/>
      <c r="E1076" s="8"/>
      <c r="F1076" s="8"/>
      <c r="G1076" s="8"/>
      <c r="H1076" s="17"/>
      <c r="I1076" s="17"/>
    </row>
    <row r="1077" spans="1:9">
      <c r="A1077" s="8"/>
      <c r="B1077" s="17"/>
      <c r="C1077" s="16"/>
      <c r="D1077" s="8"/>
      <c r="E1077" s="8"/>
      <c r="F1077" s="8"/>
      <c r="G1077" s="8"/>
      <c r="H1077" s="17"/>
      <c r="I1077" s="17"/>
    </row>
    <row r="1078" spans="1:9">
      <c r="A1078" s="8"/>
      <c r="B1078" s="17"/>
      <c r="C1078" s="16"/>
      <c r="D1078" s="8"/>
      <c r="E1078" s="8"/>
      <c r="F1078" s="8"/>
      <c r="G1078" s="8"/>
      <c r="H1078" s="17"/>
      <c r="I1078" s="17"/>
    </row>
    <row r="1079" spans="1:9">
      <c r="A1079" s="8"/>
      <c r="B1079" s="17"/>
      <c r="C1079" s="16"/>
      <c r="D1079" s="8"/>
      <c r="E1079" s="8"/>
      <c r="F1079" s="8"/>
      <c r="G1079" s="8"/>
      <c r="H1079" s="17"/>
      <c r="I1079" s="17"/>
    </row>
    <row r="1080" spans="1:9">
      <c r="A1080" s="8"/>
      <c r="B1080" s="17"/>
      <c r="C1080" s="16"/>
      <c r="D1080" s="8"/>
      <c r="E1080" s="8"/>
      <c r="F1080" s="8"/>
      <c r="G1080" s="8"/>
      <c r="H1080" s="17"/>
      <c r="I1080" s="17"/>
    </row>
    <row r="1081" spans="1:9">
      <c r="A1081" s="8"/>
      <c r="B1081" s="17"/>
      <c r="C1081" s="16"/>
      <c r="D1081" s="8"/>
      <c r="E1081" s="8"/>
      <c r="F1081" s="8"/>
      <c r="G1081" s="8"/>
      <c r="H1081" s="17"/>
      <c r="I1081" s="17"/>
    </row>
    <row r="1082" spans="1:9">
      <c r="A1082" s="8"/>
      <c r="B1082" s="17"/>
      <c r="C1082" s="16"/>
      <c r="D1082" s="8"/>
      <c r="E1082" s="8"/>
      <c r="F1082" s="8"/>
      <c r="G1082" s="8"/>
      <c r="H1082" s="17"/>
      <c r="I1082" s="17"/>
    </row>
    <row r="1083" spans="1:9">
      <c r="A1083" s="8"/>
      <c r="B1083" s="17"/>
      <c r="C1083" s="16"/>
      <c r="D1083" s="8"/>
      <c r="E1083" s="8"/>
      <c r="F1083" s="8"/>
      <c r="G1083" s="8"/>
      <c r="H1083" s="17"/>
      <c r="I1083" s="17"/>
    </row>
    <row r="1084" spans="1:9">
      <c r="A1084" s="8"/>
      <c r="B1084" s="17"/>
      <c r="C1084" s="16"/>
      <c r="D1084" s="8"/>
      <c r="E1084" s="8"/>
      <c r="F1084" s="8"/>
      <c r="G1084" s="8"/>
      <c r="H1084" s="17"/>
      <c r="I1084" s="17"/>
    </row>
    <row r="1085" spans="1:9">
      <c r="A1085" s="8"/>
      <c r="B1085" s="17"/>
      <c r="C1085" s="16"/>
      <c r="D1085" s="8"/>
      <c r="E1085" s="8"/>
      <c r="F1085" s="8"/>
      <c r="G1085" s="8"/>
      <c r="H1085" s="17"/>
      <c r="I1085" s="17"/>
    </row>
    <row r="1086" spans="1:9">
      <c r="A1086" s="8"/>
      <c r="B1086" s="17"/>
      <c r="C1086" s="16"/>
      <c r="D1086" s="8"/>
      <c r="E1086" s="8"/>
      <c r="F1086" s="8"/>
      <c r="G1086" s="8"/>
      <c r="H1086" s="17"/>
      <c r="I1086" s="17"/>
    </row>
    <row r="1087" spans="1:9">
      <c r="A1087" s="8"/>
      <c r="B1087" s="17"/>
      <c r="C1087" s="16"/>
      <c r="D1087" s="8"/>
      <c r="E1087" s="8"/>
      <c r="F1087" s="8"/>
      <c r="G1087" s="8"/>
      <c r="H1087" s="17"/>
      <c r="I1087" s="17"/>
    </row>
    <row r="1088" spans="1:9">
      <c r="A1088" s="8"/>
      <c r="B1088" s="17"/>
      <c r="C1088" s="16"/>
      <c r="D1088" s="8"/>
      <c r="E1088" s="8"/>
      <c r="F1088" s="8"/>
      <c r="G1088" s="8"/>
      <c r="H1088" s="17"/>
      <c r="I1088" s="17"/>
    </row>
    <row r="1089" spans="1:9">
      <c r="A1089" s="8"/>
      <c r="B1089" s="17"/>
      <c r="C1089" s="16"/>
      <c r="D1089" s="8"/>
      <c r="E1089" s="8"/>
      <c r="F1089" s="8"/>
      <c r="G1089" s="8"/>
      <c r="H1089" s="17"/>
      <c r="I1089" s="17"/>
    </row>
    <row r="1090" spans="1:9">
      <c r="A1090" s="8"/>
      <c r="B1090" s="17"/>
      <c r="C1090" s="16"/>
      <c r="D1090" s="8"/>
      <c r="E1090" s="8"/>
      <c r="F1090" s="8"/>
      <c r="G1090" s="8"/>
      <c r="H1090" s="17"/>
      <c r="I1090" s="17"/>
    </row>
    <row r="1091" spans="1:9">
      <c r="A1091" s="8"/>
      <c r="B1091" s="17"/>
      <c r="C1091" s="16"/>
      <c r="D1091" s="8"/>
      <c r="E1091" s="8"/>
      <c r="F1091" s="8"/>
      <c r="G1091" s="8"/>
      <c r="H1091" s="17"/>
      <c r="I1091" s="17"/>
    </row>
    <row r="1092" spans="1:9">
      <c r="A1092" s="8"/>
      <c r="B1092" s="17"/>
      <c r="C1092" s="16"/>
      <c r="D1092" s="8"/>
      <c r="E1092" s="8"/>
      <c r="F1092" s="8"/>
      <c r="G1092" s="8"/>
      <c r="H1092" s="17"/>
      <c r="I1092" s="17"/>
    </row>
    <row r="1093" spans="1:9">
      <c r="A1093" s="8"/>
      <c r="B1093" s="17"/>
      <c r="C1093" s="16"/>
      <c r="D1093" s="8"/>
      <c r="E1093" s="8"/>
      <c r="F1093" s="8"/>
      <c r="G1093" s="8"/>
      <c r="H1093" s="17"/>
      <c r="I1093" s="17"/>
    </row>
    <row r="1094" spans="1:9">
      <c r="A1094" s="8"/>
      <c r="B1094" s="17"/>
      <c r="C1094" s="16"/>
      <c r="D1094" s="8"/>
      <c r="E1094" s="8"/>
      <c r="F1094" s="8"/>
      <c r="G1094" s="8"/>
      <c r="H1094" s="17"/>
      <c r="I1094" s="17"/>
    </row>
    <row r="1095" spans="1:9">
      <c r="A1095" s="8"/>
      <c r="B1095" s="17"/>
      <c r="C1095" s="16"/>
      <c r="D1095" s="8"/>
      <c r="E1095" s="8"/>
      <c r="F1095" s="8"/>
      <c r="G1095" s="8"/>
      <c r="H1095" s="17"/>
      <c r="I1095" s="17"/>
    </row>
    <row r="1096" spans="1:9">
      <c r="A1096" s="8"/>
      <c r="B1096" s="17"/>
      <c r="C1096" s="16"/>
      <c r="D1096" s="8"/>
      <c r="E1096" s="8"/>
      <c r="F1096" s="8"/>
      <c r="G1096" s="8"/>
      <c r="H1096" s="17"/>
      <c r="I1096" s="17"/>
    </row>
    <row r="1097" spans="1:9">
      <c r="A1097" s="8"/>
      <c r="B1097" s="17"/>
      <c r="C1097" s="16"/>
      <c r="D1097" s="8"/>
      <c r="E1097" s="8"/>
      <c r="F1097" s="8"/>
      <c r="G1097" s="8"/>
      <c r="H1097" s="17"/>
      <c r="I1097" s="17"/>
    </row>
    <row r="1098" spans="1:9">
      <c r="A1098" s="8"/>
      <c r="B1098" s="17"/>
      <c r="C1098" s="16"/>
      <c r="D1098" s="8"/>
      <c r="E1098" s="8"/>
      <c r="F1098" s="8"/>
      <c r="G1098" s="8"/>
      <c r="H1098" s="17"/>
      <c r="I1098" s="17"/>
    </row>
    <row r="1099" spans="1:9">
      <c r="A1099" s="8"/>
      <c r="B1099" s="17"/>
      <c r="C1099" s="16"/>
      <c r="D1099" s="8"/>
      <c r="E1099" s="8"/>
      <c r="F1099" s="8"/>
      <c r="G1099" s="8"/>
      <c r="H1099" s="17"/>
      <c r="I1099" s="17"/>
    </row>
    <row r="1100" spans="1:9">
      <c r="A1100" s="8"/>
      <c r="B1100" s="17"/>
      <c r="C1100" s="16"/>
      <c r="D1100" s="8"/>
      <c r="E1100" s="8"/>
      <c r="F1100" s="8"/>
      <c r="G1100" s="8"/>
      <c r="H1100" s="17"/>
      <c r="I1100" s="17"/>
    </row>
    <row r="1101" spans="1:9">
      <c r="A1101" s="8"/>
      <c r="B1101" s="17"/>
      <c r="C1101" s="16"/>
      <c r="D1101" s="8"/>
      <c r="E1101" s="8"/>
      <c r="F1101" s="8"/>
      <c r="G1101" s="8"/>
      <c r="H1101" s="17"/>
      <c r="I1101" s="17"/>
    </row>
    <row r="1102" spans="1:9">
      <c r="A1102" s="8"/>
      <c r="B1102" s="17"/>
      <c r="C1102" s="16"/>
      <c r="D1102" s="8"/>
      <c r="E1102" s="8"/>
      <c r="F1102" s="8"/>
      <c r="G1102" s="8"/>
      <c r="H1102" s="17"/>
      <c r="I1102" s="17"/>
    </row>
    <row r="1103" spans="1:9">
      <c r="A1103" s="8"/>
      <c r="B1103" s="17"/>
      <c r="C1103" s="16"/>
      <c r="D1103" s="8"/>
      <c r="E1103" s="8"/>
      <c r="F1103" s="8"/>
      <c r="G1103" s="8"/>
      <c r="H1103" s="17"/>
      <c r="I1103" s="17"/>
    </row>
    <row r="1104" spans="1:9">
      <c r="A1104" s="8"/>
      <c r="B1104" s="17"/>
      <c r="C1104" s="16"/>
      <c r="D1104" s="8"/>
      <c r="E1104" s="8"/>
      <c r="F1104" s="8"/>
      <c r="G1104" s="8"/>
      <c r="H1104" s="17"/>
      <c r="I1104" s="17"/>
    </row>
    <row r="1105" spans="1:9">
      <c r="A1105" s="8"/>
      <c r="B1105" s="17"/>
      <c r="C1105" s="16"/>
      <c r="D1105" s="8"/>
      <c r="E1105" s="8"/>
      <c r="F1105" s="8"/>
      <c r="G1105" s="8"/>
      <c r="H1105" s="17"/>
      <c r="I1105" s="17"/>
    </row>
    <row r="1106" spans="1:9">
      <c r="A1106" s="8"/>
      <c r="B1106" s="17"/>
      <c r="C1106" s="16"/>
      <c r="D1106" s="8"/>
      <c r="E1106" s="8"/>
      <c r="F1106" s="8"/>
      <c r="G1106" s="8"/>
      <c r="H1106" s="17"/>
      <c r="I1106" s="17"/>
    </row>
    <row r="1107" spans="1:9">
      <c r="A1107" s="8"/>
      <c r="B1107" s="17"/>
      <c r="C1107" s="16"/>
      <c r="D1107" s="8"/>
      <c r="E1107" s="8"/>
      <c r="F1107" s="8"/>
      <c r="G1107" s="8"/>
      <c r="H1107" s="17"/>
      <c r="I1107" s="17"/>
    </row>
    <row r="1108" spans="1:9">
      <c r="A1108" s="8"/>
      <c r="B1108" s="17"/>
      <c r="C1108" s="16"/>
      <c r="D1108" s="8"/>
      <c r="E1108" s="8"/>
      <c r="F1108" s="8"/>
      <c r="G1108" s="8"/>
      <c r="H1108" s="17"/>
      <c r="I1108" s="17"/>
    </row>
    <row r="1109" spans="1:9">
      <c r="A1109" s="8"/>
      <c r="B1109" s="17"/>
      <c r="C1109" s="16"/>
      <c r="D1109" s="8"/>
      <c r="E1109" s="8"/>
      <c r="F1109" s="8"/>
      <c r="G1109" s="8"/>
      <c r="H1109" s="17"/>
      <c r="I1109" s="17"/>
    </row>
    <row r="1110" spans="1:9">
      <c r="A1110" s="8"/>
      <c r="B1110" s="17"/>
      <c r="C1110" s="16"/>
      <c r="D1110" s="8"/>
      <c r="E1110" s="8"/>
      <c r="F1110" s="8"/>
      <c r="G1110" s="8"/>
      <c r="H1110" s="17"/>
      <c r="I1110" s="17"/>
    </row>
    <row r="1111" spans="1:9">
      <c r="A1111" s="8"/>
      <c r="B1111" s="17"/>
      <c r="C1111" s="16"/>
      <c r="D1111" s="8"/>
      <c r="E1111" s="8"/>
      <c r="F1111" s="8"/>
      <c r="G1111" s="8"/>
      <c r="H1111" s="17"/>
      <c r="I1111" s="17"/>
    </row>
    <row r="1112" spans="1:9">
      <c r="A1112" s="8"/>
      <c r="B1112" s="17"/>
      <c r="C1112" s="16"/>
      <c r="D1112" s="8"/>
      <c r="E1112" s="8"/>
      <c r="F1112" s="8"/>
      <c r="G1112" s="8"/>
      <c r="H1112" s="17"/>
      <c r="I1112" s="17"/>
    </row>
    <row r="1113" spans="1:9">
      <c r="A1113" s="8"/>
      <c r="B1113" s="17"/>
      <c r="C1113" s="16"/>
      <c r="D1113" s="8"/>
      <c r="E1113" s="8"/>
      <c r="F1113" s="8"/>
      <c r="G1113" s="8"/>
      <c r="H1113" s="17"/>
      <c r="I1113" s="17"/>
    </row>
    <row r="1114" spans="1:9">
      <c r="A1114" s="8"/>
      <c r="B1114" s="17"/>
      <c r="C1114" s="16"/>
      <c r="D1114" s="8"/>
      <c r="E1114" s="8"/>
      <c r="F1114" s="8"/>
      <c r="G1114" s="8"/>
      <c r="H1114" s="17"/>
      <c r="I1114" s="17"/>
    </row>
    <row r="1115" spans="1:9">
      <c r="A1115" s="8"/>
      <c r="B1115" s="17"/>
      <c r="C1115" s="16"/>
      <c r="D1115" s="8"/>
      <c r="E1115" s="8"/>
      <c r="F1115" s="8"/>
      <c r="G1115" s="8"/>
      <c r="H1115" s="17"/>
      <c r="I1115" s="17"/>
    </row>
    <row r="1116" spans="1:9">
      <c r="A1116" s="8"/>
      <c r="B1116" s="17"/>
      <c r="C1116" s="16"/>
      <c r="D1116" s="8"/>
      <c r="E1116" s="8"/>
      <c r="F1116" s="8"/>
      <c r="G1116" s="8"/>
      <c r="H1116" s="17"/>
      <c r="I1116" s="17"/>
    </row>
    <row r="1117" spans="1:9">
      <c r="A1117" s="8"/>
      <c r="B1117" s="17"/>
      <c r="C1117" s="16"/>
      <c r="D1117" s="8"/>
      <c r="E1117" s="8"/>
      <c r="F1117" s="8"/>
      <c r="G1117" s="8"/>
      <c r="H1117" s="17"/>
      <c r="I1117" s="17"/>
    </row>
    <row r="1118" spans="1:9">
      <c r="A1118" s="8"/>
      <c r="B1118" s="17"/>
      <c r="C1118" s="16"/>
      <c r="D1118" s="8"/>
      <c r="E1118" s="8"/>
      <c r="F1118" s="8"/>
      <c r="G1118" s="8"/>
      <c r="H1118" s="17"/>
      <c r="I1118" s="17"/>
    </row>
    <row r="1119" spans="1:9">
      <c r="A1119" s="8"/>
      <c r="B1119" s="17"/>
      <c r="C1119" s="16"/>
      <c r="D1119" s="8"/>
      <c r="E1119" s="8"/>
      <c r="F1119" s="8"/>
      <c r="G1119" s="8"/>
      <c r="H1119" s="17"/>
      <c r="I1119" s="17"/>
    </row>
    <row r="1120" spans="1:9">
      <c r="A1120" s="8"/>
      <c r="B1120" s="17"/>
      <c r="C1120" s="16"/>
      <c r="D1120" s="8"/>
      <c r="E1120" s="8"/>
      <c r="F1120" s="8"/>
      <c r="G1120" s="8"/>
      <c r="H1120" s="17"/>
      <c r="I1120" s="17"/>
    </row>
    <row r="1121" spans="1:9">
      <c r="A1121" s="8"/>
      <c r="B1121" s="17"/>
      <c r="C1121" s="16"/>
      <c r="D1121" s="8"/>
      <c r="E1121" s="8"/>
      <c r="F1121" s="8"/>
      <c r="G1121" s="8"/>
      <c r="H1121" s="17"/>
      <c r="I1121" s="17"/>
    </row>
    <row r="1122" spans="1:9">
      <c r="A1122" s="8"/>
      <c r="B1122" s="17"/>
      <c r="C1122" s="16"/>
      <c r="D1122" s="8"/>
      <c r="E1122" s="8"/>
      <c r="F1122" s="8"/>
      <c r="G1122" s="8"/>
      <c r="H1122" s="17"/>
      <c r="I1122" s="17"/>
    </row>
    <row r="1123" spans="1:9">
      <c r="A1123" s="8"/>
      <c r="B1123" s="17"/>
      <c r="C1123" s="16"/>
      <c r="D1123" s="8"/>
      <c r="E1123" s="8"/>
      <c r="F1123" s="8"/>
      <c r="G1123" s="8"/>
      <c r="H1123" s="17"/>
      <c r="I1123" s="17"/>
    </row>
    <row r="1124" spans="1:9">
      <c r="A1124" s="8"/>
      <c r="B1124" s="17"/>
      <c r="C1124" s="16"/>
      <c r="D1124" s="8"/>
      <c r="E1124" s="8"/>
      <c r="F1124" s="8"/>
      <c r="G1124" s="8"/>
      <c r="H1124" s="17"/>
      <c r="I1124" s="17"/>
    </row>
    <row r="1125" spans="1:9">
      <c r="A1125" s="8"/>
      <c r="B1125" s="17"/>
      <c r="C1125" s="16"/>
      <c r="D1125" s="8"/>
      <c r="E1125" s="8"/>
      <c r="F1125" s="8"/>
      <c r="G1125" s="8"/>
      <c r="H1125" s="17"/>
      <c r="I1125" s="17"/>
    </row>
    <row r="1126" spans="1:9">
      <c r="A1126" s="8"/>
      <c r="B1126" s="17"/>
      <c r="C1126" s="16"/>
      <c r="D1126" s="8"/>
      <c r="E1126" s="8"/>
      <c r="F1126" s="8"/>
      <c r="G1126" s="8"/>
      <c r="H1126" s="17"/>
      <c r="I1126" s="17"/>
    </row>
    <row r="1127" spans="1:9">
      <c r="A1127" s="8"/>
      <c r="B1127" s="17"/>
      <c r="C1127" s="16"/>
      <c r="D1127" s="8"/>
      <c r="E1127" s="8"/>
      <c r="F1127" s="8"/>
      <c r="G1127" s="8"/>
      <c r="H1127" s="17"/>
      <c r="I1127" s="17"/>
    </row>
    <row r="1128" spans="1:9">
      <c r="A1128" s="8"/>
      <c r="B1128" s="17"/>
      <c r="C1128" s="16"/>
      <c r="D1128" s="8"/>
      <c r="E1128" s="8"/>
      <c r="F1128" s="8"/>
      <c r="G1128" s="8"/>
      <c r="H1128" s="17"/>
      <c r="I1128" s="17"/>
    </row>
    <row r="1129" spans="1:9">
      <c r="A1129" s="8"/>
      <c r="B1129" s="17"/>
      <c r="C1129" s="16"/>
      <c r="D1129" s="8"/>
      <c r="E1129" s="8"/>
      <c r="F1129" s="8"/>
      <c r="G1129" s="8"/>
      <c r="H1129" s="17"/>
      <c r="I1129" s="17"/>
    </row>
    <row r="1130" spans="1:9">
      <c r="A1130" s="8"/>
      <c r="B1130" s="17"/>
      <c r="C1130" s="16"/>
      <c r="D1130" s="8"/>
      <c r="E1130" s="8"/>
      <c r="F1130" s="8"/>
      <c r="G1130" s="8"/>
      <c r="H1130" s="17"/>
      <c r="I1130" s="17"/>
    </row>
    <row r="1131" spans="1:9">
      <c r="A1131" s="8"/>
      <c r="B1131" s="17"/>
      <c r="C1131" s="16"/>
      <c r="D1131" s="8"/>
      <c r="E1131" s="8"/>
      <c r="F1131" s="8"/>
      <c r="G1131" s="8"/>
      <c r="H1131" s="17"/>
      <c r="I1131" s="17"/>
    </row>
    <row r="1132" spans="1:9">
      <c r="A1132" s="8"/>
      <c r="B1132" s="17"/>
      <c r="C1132" s="16"/>
      <c r="D1132" s="8"/>
      <c r="E1132" s="8"/>
      <c r="F1132" s="8"/>
      <c r="G1132" s="8"/>
      <c r="H1132" s="17"/>
      <c r="I1132" s="17"/>
    </row>
    <row r="1133" spans="1:9">
      <c r="A1133" s="8"/>
      <c r="B1133" s="17"/>
      <c r="C1133" s="16"/>
      <c r="D1133" s="8"/>
      <c r="E1133" s="8"/>
      <c r="F1133" s="8"/>
      <c r="G1133" s="8"/>
      <c r="H1133" s="17"/>
      <c r="I1133" s="17"/>
    </row>
    <row r="1134" spans="1:9">
      <c r="A1134" s="8"/>
      <c r="B1134" s="17"/>
      <c r="C1134" s="16"/>
      <c r="D1134" s="8"/>
      <c r="E1134" s="8"/>
      <c r="F1134" s="8"/>
      <c r="G1134" s="8"/>
      <c r="H1134" s="17"/>
      <c r="I1134" s="17"/>
    </row>
    <row r="1135" spans="1:9">
      <c r="A1135" s="8"/>
      <c r="B1135" s="17"/>
      <c r="C1135" s="16"/>
      <c r="D1135" s="8"/>
      <c r="E1135" s="8"/>
      <c r="F1135" s="8"/>
      <c r="G1135" s="8"/>
      <c r="H1135" s="17"/>
      <c r="I1135" s="17"/>
    </row>
    <row r="1136" spans="1:9">
      <c r="A1136" s="8"/>
      <c r="B1136" s="17"/>
      <c r="C1136" s="16"/>
      <c r="D1136" s="8"/>
      <c r="E1136" s="8"/>
      <c r="F1136" s="8"/>
      <c r="G1136" s="8"/>
      <c r="H1136" s="17"/>
      <c r="I1136" s="17"/>
    </row>
    <row r="1137" spans="1:9">
      <c r="A1137" s="8"/>
      <c r="B1137" s="17"/>
      <c r="C1137" s="16"/>
      <c r="D1137" s="8"/>
      <c r="E1137" s="8"/>
      <c r="F1137" s="8"/>
      <c r="G1137" s="8"/>
      <c r="H1137" s="17"/>
      <c r="I1137" s="17"/>
    </row>
    <row r="1138" spans="1:9">
      <c r="A1138" s="8"/>
      <c r="B1138" s="17"/>
      <c r="C1138" s="16"/>
      <c r="D1138" s="8"/>
      <c r="E1138" s="8"/>
      <c r="F1138" s="8"/>
      <c r="G1138" s="8"/>
      <c r="H1138" s="17"/>
      <c r="I1138" s="17"/>
    </row>
    <row r="1139" spans="1:9">
      <c r="A1139" s="8"/>
      <c r="B1139" s="17"/>
      <c r="C1139" s="16"/>
      <c r="D1139" s="8"/>
      <c r="E1139" s="8"/>
      <c r="F1139" s="8"/>
      <c r="G1139" s="8"/>
      <c r="H1139" s="17"/>
      <c r="I1139" s="17"/>
    </row>
    <row r="1140" spans="1:9">
      <c r="A1140" s="8"/>
      <c r="B1140" s="17"/>
      <c r="C1140" s="16"/>
      <c r="D1140" s="8"/>
      <c r="E1140" s="8"/>
      <c r="F1140" s="8"/>
      <c r="G1140" s="8"/>
      <c r="H1140" s="17"/>
      <c r="I1140" s="17"/>
    </row>
    <row r="1141" spans="1:9">
      <c r="A1141" s="8"/>
      <c r="B1141" s="17"/>
      <c r="C1141" s="16"/>
      <c r="D1141" s="8"/>
      <c r="E1141" s="8"/>
      <c r="F1141" s="8"/>
      <c r="G1141" s="8"/>
      <c r="H1141" s="17"/>
      <c r="I1141" s="17"/>
    </row>
    <row r="1142" spans="1:9">
      <c r="A1142" s="8"/>
      <c r="B1142" s="17"/>
      <c r="C1142" s="16"/>
      <c r="D1142" s="8"/>
      <c r="E1142" s="8"/>
      <c r="F1142" s="8"/>
      <c r="G1142" s="8"/>
      <c r="H1142" s="17"/>
      <c r="I1142" s="17"/>
    </row>
    <row r="1143" spans="1:9">
      <c r="A1143" s="8"/>
      <c r="B1143" s="17"/>
      <c r="C1143" s="16"/>
      <c r="D1143" s="8"/>
      <c r="E1143" s="8"/>
      <c r="F1143" s="8"/>
      <c r="G1143" s="8"/>
      <c r="H1143" s="17"/>
      <c r="I1143" s="17"/>
    </row>
    <row r="1144" spans="1:9">
      <c r="A1144" s="8"/>
      <c r="B1144" s="17"/>
      <c r="C1144" s="16"/>
      <c r="D1144" s="8"/>
      <c r="E1144" s="8"/>
      <c r="F1144" s="8"/>
      <c r="G1144" s="8"/>
      <c r="H1144" s="17"/>
      <c r="I1144" s="17"/>
    </row>
    <row r="1145" spans="1:9">
      <c r="A1145" s="8"/>
      <c r="B1145" s="17"/>
      <c r="C1145" s="16"/>
      <c r="D1145" s="8"/>
      <c r="E1145" s="8"/>
      <c r="F1145" s="8"/>
      <c r="G1145" s="8"/>
      <c r="H1145" s="17"/>
      <c r="I1145" s="17"/>
    </row>
    <row r="1146" spans="1:9">
      <c r="A1146" s="8"/>
      <c r="B1146" s="17"/>
      <c r="C1146" s="16"/>
      <c r="D1146" s="8"/>
      <c r="E1146" s="8"/>
      <c r="F1146" s="8"/>
      <c r="G1146" s="8"/>
      <c r="H1146" s="17"/>
      <c r="I1146" s="17"/>
    </row>
    <row r="1147" spans="1:9">
      <c r="A1147" s="8"/>
      <c r="B1147" s="17"/>
      <c r="C1147" s="16"/>
      <c r="D1147" s="8"/>
      <c r="E1147" s="8"/>
      <c r="F1147" s="8"/>
      <c r="G1147" s="8"/>
      <c r="H1147" s="17"/>
      <c r="I1147" s="17"/>
    </row>
    <row r="1148" spans="1:9">
      <c r="A1148" s="8"/>
      <c r="B1148" s="17"/>
      <c r="C1148" s="16"/>
      <c r="D1148" s="8"/>
      <c r="E1148" s="8"/>
      <c r="F1148" s="8"/>
      <c r="G1148" s="8"/>
      <c r="H1148" s="17"/>
      <c r="I1148" s="17"/>
    </row>
    <row r="1149" spans="1:9">
      <c r="A1149" s="8"/>
      <c r="B1149" s="17"/>
      <c r="C1149" s="16"/>
      <c r="D1149" s="8"/>
      <c r="E1149" s="8"/>
      <c r="F1149" s="8"/>
      <c r="G1149" s="8"/>
      <c r="H1149" s="17"/>
      <c r="I1149" s="17"/>
    </row>
    <row r="1150" spans="1:9">
      <c r="A1150" s="8"/>
      <c r="B1150" s="17"/>
      <c r="C1150" s="16"/>
      <c r="D1150" s="8"/>
      <c r="E1150" s="8"/>
      <c r="F1150" s="8"/>
      <c r="G1150" s="8"/>
      <c r="H1150" s="17"/>
      <c r="I1150" s="17"/>
    </row>
    <row r="1151" spans="1:9">
      <c r="A1151" s="8"/>
      <c r="B1151" s="17"/>
      <c r="C1151" s="16"/>
      <c r="D1151" s="8"/>
      <c r="E1151" s="8"/>
      <c r="F1151" s="8"/>
      <c r="G1151" s="8"/>
      <c r="H1151" s="17"/>
      <c r="I1151" s="17"/>
    </row>
    <row r="1152" spans="1:9">
      <c r="A1152" s="8"/>
      <c r="B1152" s="17"/>
      <c r="C1152" s="16"/>
      <c r="D1152" s="8"/>
      <c r="E1152" s="8"/>
      <c r="F1152" s="8"/>
      <c r="G1152" s="8"/>
      <c r="H1152" s="17"/>
      <c r="I1152" s="17"/>
    </row>
    <row r="1153" spans="1:9">
      <c r="A1153" s="8"/>
      <c r="B1153" s="17"/>
      <c r="C1153" s="16"/>
      <c r="D1153" s="8"/>
      <c r="E1153" s="8"/>
      <c r="F1153" s="8"/>
      <c r="G1153" s="8"/>
      <c r="H1153" s="17"/>
      <c r="I1153" s="17"/>
    </row>
    <row r="1154" spans="1:9">
      <c r="A1154" s="8"/>
      <c r="B1154" s="17"/>
      <c r="C1154" s="16"/>
      <c r="D1154" s="8"/>
      <c r="E1154" s="8"/>
      <c r="F1154" s="8"/>
      <c r="G1154" s="8"/>
      <c r="H1154" s="17"/>
      <c r="I1154" s="17"/>
    </row>
    <row r="1155" spans="1:9">
      <c r="A1155" s="8"/>
      <c r="B1155" s="17"/>
      <c r="C1155" s="16"/>
      <c r="D1155" s="8"/>
      <c r="E1155" s="8"/>
      <c r="F1155" s="8"/>
      <c r="G1155" s="8"/>
      <c r="H1155" s="17"/>
      <c r="I1155" s="17"/>
    </row>
    <row r="1156" spans="1:9">
      <c r="A1156" s="8"/>
      <c r="B1156" s="17"/>
      <c r="C1156" s="16"/>
      <c r="D1156" s="8"/>
      <c r="E1156" s="8"/>
      <c r="F1156" s="8"/>
      <c r="G1156" s="8"/>
      <c r="H1156" s="17"/>
      <c r="I1156" s="17"/>
    </row>
    <row r="1157" spans="1:9">
      <c r="A1157" s="8"/>
      <c r="B1157" s="17"/>
      <c r="C1157" s="16"/>
      <c r="D1157" s="8"/>
      <c r="E1157" s="8"/>
      <c r="F1157" s="8"/>
      <c r="G1157" s="8"/>
      <c r="H1157" s="17"/>
      <c r="I1157" s="17"/>
    </row>
    <row r="1158" spans="1:9">
      <c r="A1158" s="8"/>
      <c r="B1158" s="17"/>
      <c r="C1158" s="16"/>
      <c r="D1158" s="8"/>
      <c r="E1158" s="8"/>
      <c r="F1158" s="8"/>
      <c r="G1158" s="8"/>
      <c r="H1158" s="17"/>
      <c r="I1158" s="17"/>
    </row>
    <row r="1159" spans="1:9">
      <c r="A1159" s="8"/>
      <c r="B1159" s="17"/>
      <c r="C1159" s="16"/>
      <c r="D1159" s="8"/>
      <c r="E1159" s="8"/>
      <c r="F1159" s="8"/>
      <c r="G1159" s="8"/>
      <c r="H1159" s="17"/>
      <c r="I1159" s="17"/>
    </row>
    <row r="1160" spans="1:9">
      <c r="A1160" s="8"/>
      <c r="B1160" s="17"/>
      <c r="C1160" s="16"/>
      <c r="D1160" s="8"/>
      <c r="E1160" s="8"/>
      <c r="F1160" s="8"/>
      <c r="G1160" s="8"/>
      <c r="H1160" s="17"/>
      <c r="I1160" s="17"/>
    </row>
    <row r="1161" spans="1:9">
      <c r="A1161" s="8"/>
      <c r="B1161" s="17"/>
      <c r="C1161" s="16"/>
      <c r="D1161" s="8"/>
      <c r="E1161" s="8"/>
      <c r="F1161" s="8"/>
      <c r="G1161" s="8"/>
      <c r="H1161" s="17"/>
      <c r="I1161" s="17"/>
    </row>
    <row r="1162" spans="1:9">
      <c r="A1162" s="8"/>
      <c r="B1162" s="17"/>
      <c r="C1162" s="16"/>
      <c r="D1162" s="8"/>
      <c r="E1162" s="8"/>
      <c r="F1162" s="8"/>
      <c r="G1162" s="8"/>
      <c r="H1162" s="17"/>
      <c r="I1162" s="17"/>
    </row>
    <row r="1163" spans="1:9">
      <c r="A1163" s="8"/>
      <c r="B1163" s="17"/>
      <c r="C1163" s="16"/>
      <c r="D1163" s="8"/>
      <c r="E1163" s="8"/>
      <c r="F1163" s="8"/>
      <c r="G1163" s="8"/>
      <c r="H1163" s="17"/>
      <c r="I1163" s="17"/>
    </row>
    <row r="1164" spans="1:9">
      <c r="A1164" s="8"/>
      <c r="B1164" s="17"/>
      <c r="C1164" s="16"/>
      <c r="D1164" s="8"/>
      <c r="E1164" s="8"/>
      <c r="F1164" s="8"/>
      <c r="G1164" s="8"/>
      <c r="H1164" s="17"/>
      <c r="I1164" s="17"/>
    </row>
    <row r="1165" spans="1:9">
      <c r="A1165" s="8"/>
      <c r="B1165" s="17"/>
      <c r="C1165" s="16"/>
      <c r="D1165" s="8"/>
      <c r="E1165" s="8"/>
      <c r="F1165" s="8"/>
      <c r="G1165" s="8"/>
      <c r="H1165" s="17"/>
      <c r="I1165" s="17"/>
    </row>
    <row r="1166" spans="1:9">
      <c r="A1166" s="8"/>
      <c r="B1166" s="17"/>
      <c r="C1166" s="16"/>
      <c r="D1166" s="8"/>
      <c r="E1166" s="8"/>
      <c r="F1166" s="8"/>
      <c r="G1166" s="8"/>
      <c r="H1166" s="17"/>
      <c r="I1166" s="17"/>
    </row>
    <row r="1167" spans="1:9">
      <c r="A1167" s="8"/>
      <c r="B1167" s="17"/>
      <c r="C1167" s="16"/>
      <c r="D1167" s="8"/>
      <c r="E1167" s="8"/>
      <c r="F1167" s="8"/>
      <c r="G1167" s="8"/>
      <c r="H1167" s="17"/>
      <c r="I1167" s="17"/>
    </row>
    <row r="1168" spans="1:9">
      <c r="A1168" s="8"/>
      <c r="B1168" s="17"/>
      <c r="C1168" s="16"/>
      <c r="D1168" s="8"/>
      <c r="E1168" s="8"/>
      <c r="F1168" s="8"/>
      <c r="G1168" s="8"/>
      <c r="H1168" s="17"/>
      <c r="I1168" s="17"/>
    </row>
    <row r="1169" spans="1:9">
      <c r="A1169" s="8"/>
      <c r="B1169" s="17"/>
      <c r="C1169" s="16"/>
      <c r="D1169" s="8"/>
      <c r="E1169" s="8"/>
      <c r="F1169" s="8"/>
      <c r="G1169" s="8"/>
      <c r="H1169" s="17"/>
      <c r="I1169" s="17"/>
    </row>
    <row r="1170" spans="1:9">
      <c r="A1170" s="8"/>
      <c r="B1170" s="17"/>
      <c r="C1170" s="16"/>
      <c r="D1170" s="8"/>
      <c r="E1170" s="8"/>
      <c r="F1170" s="8"/>
      <c r="G1170" s="8"/>
      <c r="H1170" s="17"/>
      <c r="I1170" s="17"/>
    </row>
    <row r="1171" spans="1:9">
      <c r="A1171" s="8"/>
      <c r="B1171" s="17"/>
      <c r="C1171" s="16"/>
      <c r="D1171" s="8"/>
      <c r="E1171" s="8"/>
      <c r="F1171" s="8"/>
      <c r="G1171" s="8"/>
      <c r="H1171" s="17"/>
      <c r="I1171" s="17"/>
    </row>
    <row r="1172" spans="1:9">
      <c r="A1172" s="8"/>
      <c r="B1172" s="17"/>
      <c r="C1172" s="16"/>
      <c r="D1172" s="8"/>
      <c r="E1172" s="8"/>
      <c r="F1172" s="8"/>
      <c r="G1172" s="8"/>
      <c r="H1172" s="17"/>
      <c r="I1172" s="17"/>
    </row>
    <row r="1173" spans="1:9">
      <c r="A1173" s="8"/>
      <c r="B1173" s="17"/>
      <c r="C1173" s="16"/>
      <c r="D1173" s="8"/>
      <c r="E1173" s="8"/>
      <c r="F1173" s="8"/>
      <c r="G1173" s="8"/>
      <c r="H1173" s="17"/>
      <c r="I1173" s="17"/>
    </row>
    <row r="1174" spans="1:9">
      <c r="A1174" s="8"/>
      <c r="B1174" s="17"/>
      <c r="C1174" s="16"/>
      <c r="D1174" s="8"/>
      <c r="E1174" s="8"/>
      <c r="F1174" s="8"/>
      <c r="G1174" s="8"/>
      <c r="H1174" s="17"/>
      <c r="I1174" s="17"/>
    </row>
    <row r="1175" spans="1:9">
      <c r="A1175" s="8"/>
      <c r="B1175" s="17"/>
      <c r="C1175" s="16"/>
      <c r="D1175" s="8"/>
      <c r="E1175" s="8"/>
      <c r="F1175" s="8"/>
      <c r="G1175" s="8"/>
      <c r="H1175" s="17"/>
      <c r="I1175" s="17"/>
    </row>
    <row r="1176" spans="1:9">
      <c r="A1176" s="8"/>
      <c r="B1176" s="17"/>
      <c r="C1176" s="16"/>
      <c r="D1176" s="8"/>
      <c r="E1176" s="8"/>
      <c r="F1176" s="8"/>
      <c r="G1176" s="8"/>
      <c r="H1176" s="17"/>
      <c r="I1176" s="17"/>
    </row>
    <row r="1177" spans="1:9">
      <c r="A1177" s="8"/>
      <c r="B1177" s="17"/>
      <c r="C1177" s="16"/>
      <c r="D1177" s="8"/>
      <c r="E1177" s="8"/>
      <c r="F1177" s="8"/>
      <c r="G1177" s="8"/>
      <c r="H1177" s="17"/>
      <c r="I1177" s="17"/>
    </row>
    <row r="1178" spans="1:9">
      <c r="A1178" s="8"/>
      <c r="B1178" s="17"/>
      <c r="C1178" s="16"/>
      <c r="D1178" s="8"/>
      <c r="E1178" s="8"/>
      <c r="F1178" s="8"/>
      <c r="G1178" s="8"/>
      <c r="H1178" s="17"/>
      <c r="I1178" s="17"/>
    </row>
    <row r="1179" spans="1:9">
      <c r="A1179" s="8"/>
      <c r="B1179" s="17"/>
      <c r="C1179" s="16"/>
      <c r="D1179" s="8"/>
      <c r="E1179" s="8"/>
      <c r="F1179" s="8"/>
      <c r="G1179" s="8"/>
      <c r="H1179" s="17"/>
      <c r="I1179" s="17"/>
    </row>
    <row r="1180" spans="1:9">
      <c r="A1180" s="8"/>
      <c r="B1180" s="17"/>
      <c r="C1180" s="16"/>
      <c r="D1180" s="8"/>
      <c r="E1180" s="8"/>
      <c r="F1180" s="8"/>
      <c r="G1180" s="8"/>
      <c r="H1180" s="17"/>
      <c r="I1180" s="17"/>
    </row>
    <row r="1181" spans="1:9">
      <c r="A1181" s="8"/>
      <c r="B1181" s="17"/>
      <c r="C1181" s="16"/>
      <c r="D1181" s="8"/>
      <c r="E1181" s="8"/>
      <c r="F1181" s="8"/>
      <c r="G1181" s="8"/>
      <c r="H1181" s="17"/>
      <c r="I1181" s="17"/>
    </row>
    <row r="1182" spans="1:9">
      <c r="A1182" s="8"/>
      <c r="B1182" s="17"/>
      <c r="C1182" s="16"/>
      <c r="D1182" s="8"/>
      <c r="E1182" s="8"/>
      <c r="F1182" s="8"/>
      <c r="G1182" s="8"/>
      <c r="H1182" s="17"/>
      <c r="I1182" s="17"/>
    </row>
    <row r="1183" spans="1:9">
      <c r="A1183" s="8"/>
      <c r="B1183" s="17"/>
      <c r="C1183" s="16"/>
      <c r="D1183" s="8"/>
      <c r="E1183" s="8"/>
      <c r="F1183" s="8"/>
      <c r="G1183" s="8"/>
      <c r="H1183" s="17"/>
      <c r="I1183" s="17"/>
    </row>
    <row r="1184" spans="1:9">
      <c r="A1184" s="8"/>
      <c r="B1184" s="17"/>
      <c r="C1184" s="16"/>
      <c r="D1184" s="8"/>
      <c r="E1184" s="8"/>
      <c r="F1184" s="8"/>
      <c r="G1184" s="8"/>
      <c r="H1184" s="17"/>
      <c r="I1184" s="17"/>
    </row>
    <row r="1185" spans="1:9">
      <c r="A1185" s="8"/>
      <c r="B1185" s="17"/>
      <c r="C1185" s="16"/>
      <c r="D1185" s="8"/>
      <c r="E1185" s="8"/>
      <c r="F1185" s="8"/>
      <c r="G1185" s="8"/>
      <c r="H1185" s="17"/>
      <c r="I1185" s="17"/>
    </row>
    <row r="1186" spans="1:9">
      <c r="A1186" s="8"/>
      <c r="B1186" s="17"/>
      <c r="C1186" s="16"/>
      <c r="D1186" s="8"/>
      <c r="E1186" s="8"/>
      <c r="F1186" s="8"/>
      <c r="G1186" s="8"/>
      <c r="H1186" s="17"/>
      <c r="I1186" s="17"/>
    </row>
    <row r="1187" spans="1:9">
      <c r="A1187" s="8"/>
      <c r="B1187" s="17"/>
      <c r="C1187" s="16"/>
      <c r="D1187" s="8"/>
      <c r="E1187" s="8"/>
      <c r="F1187" s="8"/>
      <c r="G1187" s="8"/>
      <c r="H1187" s="17"/>
      <c r="I1187" s="17"/>
    </row>
    <row r="1188" spans="1:9">
      <c r="A1188" s="8"/>
      <c r="B1188" s="17"/>
      <c r="C1188" s="16"/>
      <c r="D1188" s="8"/>
      <c r="E1188" s="8"/>
      <c r="F1188" s="8"/>
      <c r="G1188" s="8"/>
      <c r="H1188" s="17"/>
      <c r="I1188" s="17"/>
    </row>
    <row r="1189" spans="1:9">
      <c r="A1189" s="8"/>
      <c r="B1189" s="17"/>
      <c r="C1189" s="16"/>
      <c r="D1189" s="8"/>
      <c r="E1189" s="8"/>
      <c r="F1189" s="8"/>
      <c r="G1189" s="8"/>
      <c r="H1189" s="17"/>
      <c r="I1189" s="17"/>
    </row>
    <row r="1190" spans="1:9">
      <c r="A1190" s="8"/>
      <c r="B1190" s="17"/>
      <c r="C1190" s="16"/>
      <c r="D1190" s="8"/>
      <c r="E1190" s="8"/>
      <c r="F1190" s="8"/>
      <c r="G1190" s="8"/>
      <c r="H1190" s="17"/>
      <c r="I1190" s="17"/>
    </row>
    <row r="1191" spans="1:9">
      <c r="A1191" s="8"/>
      <c r="B1191" s="17"/>
      <c r="C1191" s="16"/>
      <c r="D1191" s="8"/>
      <c r="E1191" s="8"/>
      <c r="F1191" s="8"/>
      <c r="G1191" s="8"/>
      <c r="H1191" s="17"/>
      <c r="I1191" s="17"/>
    </row>
    <row r="1192" spans="1:9">
      <c r="A1192" s="8"/>
      <c r="B1192" s="17"/>
      <c r="C1192" s="16"/>
      <c r="D1192" s="8"/>
      <c r="E1192" s="8"/>
      <c r="F1192" s="8"/>
      <c r="G1192" s="8"/>
      <c r="H1192" s="17"/>
      <c r="I1192" s="17"/>
    </row>
    <row r="1193" spans="1:9">
      <c r="A1193" s="8"/>
      <c r="B1193" s="17"/>
      <c r="C1193" s="16"/>
      <c r="D1193" s="8"/>
      <c r="E1193" s="8"/>
      <c r="F1193" s="8"/>
      <c r="G1193" s="8"/>
      <c r="H1193" s="17"/>
      <c r="I1193" s="17"/>
    </row>
    <row r="1194" spans="1:9">
      <c r="A1194" s="8"/>
      <c r="B1194" s="17"/>
      <c r="C1194" s="16"/>
      <c r="D1194" s="8"/>
      <c r="E1194" s="8"/>
      <c r="F1194" s="8"/>
      <c r="G1194" s="8"/>
      <c r="H1194" s="17"/>
      <c r="I1194" s="17"/>
    </row>
    <row r="1195" spans="1:9">
      <c r="A1195" s="8"/>
      <c r="B1195" s="17"/>
      <c r="C1195" s="16"/>
      <c r="D1195" s="8"/>
      <c r="E1195" s="8"/>
      <c r="F1195" s="8"/>
      <c r="G1195" s="8"/>
      <c r="H1195" s="17"/>
      <c r="I1195" s="17"/>
    </row>
    <row r="1196" spans="1:9">
      <c r="A1196" s="8"/>
      <c r="B1196" s="17"/>
      <c r="C1196" s="16"/>
      <c r="D1196" s="8"/>
      <c r="E1196" s="8"/>
      <c r="F1196" s="8"/>
      <c r="G1196" s="8"/>
      <c r="H1196" s="17"/>
      <c r="I1196" s="17"/>
    </row>
    <row r="1197" spans="1:9">
      <c r="A1197" s="8"/>
      <c r="B1197" s="17"/>
      <c r="C1197" s="16"/>
      <c r="D1197" s="8"/>
      <c r="E1197" s="8"/>
      <c r="F1197" s="8"/>
      <c r="G1197" s="8"/>
      <c r="H1197" s="17"/>
      <c r="I1197" s="17"/>
    </row>
    <row r="1198" spans="1:9">
      <c r="A1198" s="8"/>
      <c r="B1198" s="17"/>
      <c r="C1198" s="16"/>
      <c r="D1198" s="8"/>
      <c r="E1198" s="8"/>
      <c r="F1198" s="8"/>
      <c r="G1198" s="8"/>
      <c r="H1198" s="17"/>
      <c r="I1198" s="17"/>
    </row>
    <row r="1199" spans="1:9">
      <c r="A1199" s="8"/>
      <c r="B1199" s="17"/>
      <c r="C1199" s="16"/>
      <c r="D1199" s="8"/>
      <c r="E1199" s="8"/>
      <c r="F1199" s="8"/>
      <c r="G1199" s="8"/>
      <c r="H1199" s="17"/>
      <c r="I1199" s="17"/>
    </row>
    <row r="1200" spans="1:9">
      <c r="A1200" s="8"/>
      <c r="B1200" s="17"/>
      <c r="C1200" s="16"/>
      <c r="D1200" s="8"/>
      <c r="E1200" s="8"/>
      <c r="F1200" s="8"/>
      <c r="G1200" s="8"/>
      <c r="H1200" s="17"/>
      <c r="I1200" s="17"/>
    </row>
    <row r="1201" spans="1:9">
      <c r="A1201" s="8"/>
      <c r="B1201" s="17"/>
      <c r="C1201" s="16"/>
      <c r="D1201" s="8"/>
      <c r="E1201" s="8"/>
      <c r="F1201" s="8"/>
      <c r="G1201" s="8"/>
      <c r="H1201" s="17"/>
      <c r="I1201" s="17"/>
    </row>
    <row r="1202" spans="1:9">
      <c r="A1202" s="8"/>
      <c r="B1202" s="17"/>
      <c r="C1202" s="16"/>
      <c r="D1202" s="8"/>
      <c r="E1202" s="8"/>
      <c r="F1202" s="8"/>
      <c r="G1202" s="8"/>
      <c r="H1202" s="17"/>
      <c r="I1202" s="17"/>
    </row>
    <row r="1203" spans="1:9">
      <c r="A1203" s="8"/>
      <c r="B1203" s="17"/>
      <c r="C1203" s="16"/>
      <c r="D1203" s="8"/>
      <c r="E1203" s="8"/>
      <c r="F1203" s="8"/>
      <c r="G1203" s="8"/>
      <c r="H1203" s="17"/>
      <c r="I1203" s="17"/>
    </row>
    <row r="1204" spans="1:9">
      <c r="A1204" s="8"/>
      <c r="B1204" s="17"/>
      <c r="C1204" s="16"/>
      <c r="D1204" s="8"/>
      <c r="E1204" s="8"/>
      <c r="F1204" s="8"/>
      <c r="G1204" s="8"/>
      <c r="H1204" s="17"/>
      <c r="I1204" s="17"/>
    </row>
    <row r="1205" spans="1:9">
      <c r="A1205" s="8"/>
      <c r="B1205" s="17"/>
      <c r="C1205" s="16"/>
      <c r="D1205" s="8"/>
      <c r="E1205" s="8"/>
      <c r="F1205" s="8"/>
      <c r="G1205" s="8"/>
      <c r="H1205" s="17"/>
      <c r="I1205" s="17"/>
    </row>
    <row r="1206" spans="1:9">
      <c r="A1206" s="8"/>
      <c r="B1206" s="17"/>
      <c r="C1206" s="16"/>
      <c r="D1206" s="8"/>
      <c r="E1206" s="8"/>
      <c r="F1206" s="8"/>
      <c r="G1206" s="8"/>
      <c r="H1206" s="17"/>
      <c r="I1206" s="17"/>
    </row>
    <row r="1207" spans="1:9">
      <c r="A1207" s="8"/>
      <c r="B1207" s="17"/>
      <c r="C1207" s="16"/>
      <c r="D1207" s="8"/>
      <c r="E1207" s="8"/>
      <c r="F1207" s="8"/>
      <c r="G1207" s="8"/>
      <c r="H1207" s="17"/>
      <c r="I1207" s="17"/>
    </row>
    <row r="1208" spans="1:9">
      <c r="A1208" s="8"/>
      <c r="B1208" s="17"/>
      <c r="C1208" s="16"/>
      <c r="D1208" s="8"/>
      <c r="E1208" s="8"/>
      <c r="F1208" s="8"/>
      <c r="G1208" s="8"/>
      <c r="H1208" s="17"/>
      <c r="I1208" s="17"/>
    </row>
    <row r="1209" spans="1:9">
      <c r="A1209" s="8"/>
      <c r="B1209" s="17"/>
      <c r="C1209" s="16"/>
      <c r="D1209" s="8"/>
      <c r="E1209" s="8"/>
      <c r="F1209" s="8"/>
      <c r="G1209" s="8"/>
      <c r="H1209" s="17"/>
      <c r="I1209" s="17"/>
    </row>
    <row r="1210" spans="1:9">
      <c r="A1210" s="8"/>
      <c r="B1210" s="17"/>
      <c r="C1210" s="16"/>
      <c r="D1210" s="8"/>
      <c r="E1210" s="8"/>
      <c r="F1210" s="8"/>
      <c r="G1210" s="8"/>
      <c r="H1210" s="17"/>
      <c r="I1210" s="17"/>
    </row>
    <row r="1211" spans="1:9">
      <c r="A1211" s="8"/>
      <c r="B1211" s="17"/>
      <c r="C1211" s="16"/>
      <c r="D1211" s="8"/>
      <c r="E1211" s="8"/>
      <c r="F1211" s="8"/>
      <c r="G1211" s="8"/>
      <c r="H1211" s="17"/>
      <c r="I1211" s="17"/>
    </row>
    <row r="1212" spans="1:9">
      <c r="A1212" s="8"/>
      <c r="B1212" s="17"/>
      <c r="C1212" s="16"/>
      <c r="D1212" s="8"/>
      <c r="E1212" s="8"/>
      <c r="F1212" s="8"/>
      <c r="G1212" s="8"/>
      <c r="H1212" s="17"/>
      <c r="I1212" s="17"/>
    </row>
    <row r="1213" spans="1:9">
      <c r="A1213" s="8"/>
      <c r="B1213" s="17"/>
      <c r="C1213" s="16"/>
      <c r="D1213" s="8"/>
      <c r="E1213" s="8"/>
      <c r="F1213" s="8"/>
      <c r="G1213" s="8"/>
      <c r="H1213" s="17"/>
      <c r="I1213" s="17"/>
    </row>
    <row r="1214" spans="1:9">
      <c r="A1214" s="8"/>
      <c r="B1214" s="17"/>
      <c r="C1214" s="16"/>
      <c r="D1214" s="8"/>
      <c r="E1214" s="8"/>
      <c r="F1214" s="8"/>
      <c r="G1214" s="8"/>
      <c r="H1214" s="17"/>
      <c r="I1214" s="17"/>
    </row>
    <row r="1215" spans="1:9">
      <c r="A1215" s="8"/>
      <c r="B1215" s="17"/>
      <c r="C1215" s="16"/>
      <c r="D1215" s="8"/>
      <c r="E1215" s="8"/>
      <c r="F1215" s="8"/>
      <c r="G1215" s="8"/>
      <c r="H1215" s="17"/>
      <c r="I1215" s="17"/>
    </row>
    <row r="1216" spans="1:9">
      <c r="A1216" s="8"/>
      <c r="B1216" s="17"/>
      <c r="C1216" s="16"/>
      <c r="D1216" s="8"/>
      <c r="E1216" s="8"/>
      <c r="F1216" s="8"/>
      <c r="G1216" s="8"/>
      <c r="H1216" s="17"/>
      <c r="I1216" s="17"/>
    </row>
    <row r="1217" spans="1:9">
      <c r="A1217" s="8"/>
      <c r="B1217" s="17"/>
      <c r="C1217" s="16"/>
      <c r="D1217" s="8"/>
      <c r="E1217" s="8"/>
      <c r="F1217" s="8"/>
      <c r="G1217" s="8"/>
      <c r="H1217" s="17"/>
      <c r="I1217" s="17"/>
    </row>
    <row r="1218" spans="1:9">
      <c r="A1218" s="8"/>
      <c r="B1218" s="17"/>
      <c r="C1218" s="16"/>
      <c r="D1218" s="8"/>
      <c r="E1218" s="8"/>
      <c r="F1218" s="8"/>
      <c r="G1218" s="8"/>
      <c r="H1218" s="17"/>
      <c r="I1218" s="17"/>
    </row>
    <row r="1219" spans="1:9">
      <c r="A1219" s="8"/>
      <c r="B1219" s="17"/>
      <c r="C1219" s="16"/>
      <c r="D1219" s="8"/>
      <c r="E1219" s="8"/>
      <c r="F1219" s="8"/>
      <c r="G1219" s="8"/>
      <c r="H1219" s="17"/>
      <c r="I1219" s="17"/>
    </row>
    <row r="1220" spans="1:9">
      <c r="A1220" s="8"/>
      <c r="B1220" s="17"/>
      <c r="C1220" s="16"/>
      <c r="D1220" s="8"/>
      <c r="E1220" s="8"/>
      <c r="F1220" s="8"/>
      <c r="G1220" s="8"/>
      <c r="H1220" s="17"/>
      <c r="I1220" s="17"/>
    </row>
    <row r="1221" spans="1:9">
      <c r="A1221" s="8"/>
      <c r="B1221" s="17"/>
      <c r="C1221" s="16"/>
      <c r="D1221" s="8"/>
      <c r="E1221" s="8"/>
      <c r="F1221" s="8"/>
      <c r="G1221" s="8"/>
      <c r="H1221" s="17"/>
      <c r="I1221" s="17"/>
    </row>
    <row r="1222" spans="1:9">
      <c r="A1222" s="8"/>
      <c r="B1222" s="17"/>
      <c r="C1222" s="16"/>
      <c r="D1222" s="8"/>
      <c r="E1222" s="8"/>
      <c r="F1222" s="8"/>
      <c r="G1222" s="8"/>
      <c r="H1222" s="17"/>
      <c r="I1222" s="17"/>
    </row>
    <row r="1223" spans="1:9">
      <c r="A1223" s="8"/>
      <c r="B1223" s="17"/>
      <c r="C1223" s="16"/>
      <c r="D1223" s="8"/>
      <c r="E1223" s="8"/>
      <c r="F1223" s="8"/>
      <c r="G1223" s="8"/>
      <c r="H1223" s="17"/>
      <c r="I1223" s="17"/>
    </row>
    <row r="1224" spans="1:9">
      <c r="A1224" s="8"/>
      <c r="B1224" s="17"/>
      <c r="C1224" s="16"/>
      <c r="D1224" s="8"/>
      <c r="E1224" s="8"/>
      <c r="F1224" s="8"/>
      <c r="G1224" s="8"/>
      <c r="H1224" s="17"/>
      <c r="I1224" s="17"/>
    </row>
    <row r="1225" spans="1:9">
      <c r="A1225" s="8"/>
      <c r="B1225" s="17"/>
      <c r="C1225" s="16"/>
      <c r="D1225" s="8"/>
      <c r="E1225" s="8"/>
      <c r="F1225" s="8"/>
      <c r="G1225" s="8"/>
      <c r="H1225" s="17"/>
      <c r="I1225" s="17"/>
    </row>
    <row r="1226" spans="1:9">
      <c r="A1226" s="8"/>
      <c r="B1226" s="17"/>
      <c r="C1226" s="16"/>
      <c r="D1226" s="8"/>
      <c r="E1226" s="8"/>
      <c r="F1226" s="8"/>
      <c r="G1226" s="8"/>
      <c r="H1226" s="17"/>
      <c r="I1226" s="17"/>
    </row>
    <row r="1227" spans="1:9">
      <c r="A1227" s="8"/>
      <c r="B1227" s="17"/>
      <c r="C1227" s="16"/>
      <c r="D1227" s="8"/>
      <c r="E1227" s="8"/>
      <c r="F1227" s="8"/>
      <c r="G1227" s="8"/>
      <c r="H1227" s="17"/>
      <c r="I1227" s="17"/>
    </row>
    <row r="1228" spans="1:9">
      <c r="A1228" s="8"/>
      <c r="B1228" s="17"/>
      <c r="C1228" s="16"/>
      <c r="D1228" s="8"/>
      <c r="E1228" s="8"/>
      <c r="F1228" s="8"/>
      <c r="G1228" s="8"/>
      <c r="H1228" s="17"/>
      <c r="I1228" s="17"/>
    </row>
    <row r="1229" spans="1:9">
      <c r="A1229" s="8"/>
      <c r="B1229" s="17"/>
      <c r="C1229" s="16"/>
      <c r="D1229" s="8"/>
      <c r="E1229" s="8"/>
      <c r="F1229" s="8"/>
      <c r="G1229" s="8"/>
      <c r="H1229" s="17"/>
      <c r="I1229" s="17"/>
    </row>
    <row r="1230" spans="1:9">
      <c r="A1230" s="8"/>
      <c r="B1230" s="17"/>
      <c r="C1230" s="16"/>
      <c r="D1230" s="8"/>
      <c r="E1230" s="8"/>
      <c r="F1230" s="8"/>
      <c r="G1230" s="8"/>
      <c r="H1230" s="17"/>
      <c r="I1230" s="17"/>
    </row>
    <row r="1231" spans="1:9">
      <c r="A1231" s="8"/>
      <c r="B1231" s="17"/>
      <c r="C1231" s="16"/>
      <c r="D1231" s="8"/>
      <c r="E1231" s="8"/>
      <c r="F1231" s="8"/>
      <c r="G1231" s="8"/>
      <c r="H1231" s="17"/>
      <c r="I1231" s="17"/>
    </row>
    <row r="1232" spans="1:9">
      <c r="A1232" s="8"/>
      <c r="B1232" s="17"/>
      <c r="C1232" s="16"/>
      <c r="D1232" s="8"/>
      <c r="E1232" s="8"/>
      <c r="F1232" s="8"/>
      <c r="G1232" s="8"/>
      <c r="H1232" s="17"/>
      <c r="I1232" s="17"/>
    </row>
    <row r="1233" spans="1:9">
      <c r="A1233" s="8"/>
      <c r="B1233" s="17"/>
      <c r="C1233" s="16"/>
      <c r="D1233" s="8"/>
      <c r="E1233" s="8"/>
      <c r="F1233" s="8"/>
      <c r="G1233" s="8"/>
      <c r="H1233" s="17"/>
      <c r="I1233" s="17"/>
    </row>
    <row r="1234" spans="1:9">
      <c r="A1234" s="8"/>
      <c r="B1234" s="17"/>
      <c r="C1234" s="16"/>
      <c r="D1234" s="8"/>
      <c r="E1234" s="8"/>
      <c r="F1234" s="8"/>
      <c r="G1234" s="8"/>
      <c r="H1234" s="17"/>
      <c r="I1234" s="17"/>
    </row>
    <row r="1235" spans="1:9">
      <c r="A1235" s="8"/>
      <c r="B1235" s="17"/>
      <c r="C1235" s="16"/>
      <c r="D1235" s="8"/>
      <c r="E1235" s="8"/>
      <c r="F1235" s="8"/>
      <c r="G1235" s="8"/>
      <c r="H1235" s="17"/>
      <c r="I1235" s="17"/>
    </row>
    <row r="1236" spans="1:9">
      <c r="A1236" s="8"/>
      <c r="B1236" s="17"/>
      <c r="C1236" s="16"/>
      <c r="D1236" s="8"/>
      <c r="E1236" s="8"/>
      <c r="F1236" s="8"/>
      <c r="G1236" s="8"/>
      <c r="H1236" s="17"/>
      <c r="I1236" s="17"/>
    </row>
    <row r="1237" spans="1:9">
      <c r="A1237" s="8"/>
      <c r="B1237" s="17"/>
      <c r="C1237" s="16"/>
      <c r="D1237" s="8"/>
      <c r="E1237" s="8"/>
      <c r="F1237" s="8"/>
      <c r="G1237" s="8"/>
      <c r="H1237" s="17"/>
      <c r="I1237" s="17"/>
    </row>
    <row r="1238" spans="1:9">
      <c r="A1238" s="8"/>
      <c r="B1238" s="17"/>
      <c r="C1238" s="16"/>
      <c r="D1238" s="8"/>
      <c r="E1238" s="8"/>
      <c r="F1238" s="8"/>
      <c r="G1238" s="8"/>
      <c r="H1238" s="17"/>
      <c r="I1238" s="17"/>
    </row>
    <row r="1239" spans="1:9">
      <c r="A1239" s="8"/>
      <c r="B1239" s="17"/>
      <c r="C1239" s="16"/>
      <c r="D1239" s="8"/>
      <c r="E1239" s="8"/>
      <c r="F1239" s="8"/>
      <c r="G1239" s="8"/>
      <c r="H1239" s="17"/>
      <c r="I1239" s="17"/>
    </row>
    <row r="1240" spans="1:9">
      <c r="A1240" s="8"/>
      <c r="B1240" s="17"/>
      <c r="C1240" s="16"/>
      <c r="D1240" s="8"/>
      <c r="E1240" s="8"/>
      <c r="F1240" s="8"/>
      <c r="G1240" s="8"/>
      <c r="H1240" s="17"/>
      <c r="I1240" s="17"/>
    </row>
    <row r="1241" spans="1:9">
      <c r="A1241" s="8"/>
      <c r="B1241" s="17"/>
      <c r="C1241" s="16"/>
      <c r="D1241" s="8"/>
      <c r="E1241" s="8"/>
      <c r="F1241" s="8"/>
      <c r="G1241" s="8"/>
      <c r="H1241" s="17"/>
      <c r="I1241" s="17"/>
    </row>
    <row r="1242" spans="1:9">
      <c r="A1242" s="8"/>
      <c r="B1242" s="17"/>
      <c r="C1242" s="16"/>
      <c r="D1242" s="8"/>
      <c r="E1242" s="8"/>
      <c r="F1242" s="8"/>
      <c r="G1242" s="8"/>
      <c r="H1242" s="17"/>
      <c r="I1242" s="17"/>
    </row>
    <row r="1243" spans="1:9">
      <c r="A1243" s="8"/>
      <c r="B1243" s="17"/>
      <c r="C1243" s="16"/>
      <c r="D1243" s="8"/>
      <c r="E1243" s="8"/>
      <c r="F1243" s="8"/>
      <c r="G1243" s="8"/>
      <c r="H1243" s="17"/>
      <c r="I1243" s="17"/>
    </row>
    <row r="1244" spans="1:9">
      <c r="A1244" s="8"/>
      <c r="B1244" s="17"/>
      <c r="C1244" s="16"/>
      <c r="D1244" s="8"/>
      <c r="E1244" s="8"/>
      <c r="F1244" s="8"/>
      <c r="G1244" s="8"/>
      <c r="H1244" s="17"/>
      <c r="I1244" s="17"/>
    </row>
    <row r="1245" spans="1:9">
      <c r="A1245" s="8"/>
      <c r="B1245" s="17"/>
      <c r="C1245" s="16"/>
      <c r="D1245" s="8"/>
      <c r="E1245" s="8"/>
      <c r="F1245" s="8"/>
      <c r="G1245" s="8"/>
      <c r="H1245" s="17"/>
      <c r="I1245" s="17"/>
    </row>
    <row r="1246" spans="1:9">
      <c r="A1246" s="8"/>
      <c r="B1246" s="17"/>
      <c r="C1246" s="16"/>
      <c r="D1246" s="8"/>
      <c r="E1246" s="8"/>
      <c r="F1246" s="8"/>
      <c r="G1246" s="8"/>
      <c r="H1246" s="17"/>
      <c r="I1246" s="17"/>
    </row>
    <row r="1247" spans="1:9">
      <c r="A1247" s="8"/>
      <c r="B1247" s="17"/>
      <c r="C1247" s="16"/>
      <c r="D1247" s="8"/>
      <c r="E1247" s="8"/>
      <c r="F1247" s="8"/>
      <c r="G1247" s="8"/>
      <c r="H1247" s="17"/>
      <c r="I1247" s="17"/>
    </row>
    <row r="1248" spans="1:9">
      <c r="A1248" s="8"/>
      <c r="B1248" s="17"/>
      <c r="C1248" s="16"/>
      <c r="D1248" s="8"/>
      <c r="E1248" s="8"/>
      <c r="F1248" s="8"/>
      <c r="G1248" s="8"/>
      <c r="H1248" s="17"/>
      <c r="I1248" s="17"/>
    </row>
    <row r="1249" spans="1:9">
      <c r="A1249" s="8"/>
      <c r="B1249" s="17"/>
      <c r="C1249" s="16"/>
      <c r="D1249" s="8"/>
      <c r="E1249" s="8"/>
      <c r="F1249" s="8"/>
      <c r="G1249" s="8"/>
      <c r="H1249" s="17"/>
      <c r="I1249" s="17"/>
    </row>
    <row r="1250" spans="1:9">
      <c r="A1250" s="8"/>
      <c r="B1250" s="17"/>
      <c r="C1250" s="16"/>
      <c r="D1250" s="8"/>
      <c r="E1250" s="8"/>
      <c r="F1250" s="8"/>
      <c r="G1250" s="8"/>
      <c r="H1250" s="17"/>
      <c r="I1250" s="17"/>
    </row>
    <row r="1251" spans="1:9">
      <c r="A1251" s="8"/>
      <c r="B1251" s="17"/>
      <c r="C1251" s="16"/>
      <c r="D1251" s="8"/>
      <c r="E1251" s="8"/>
      <c r="F1251" s="8"/>
      <c r="G1251" s="8"/>
      <c r="H1251" s="17"/>
      <c r="I1251" s="17"/>
    </row>
    <row r="1252" spans="1:9">
      <c r="A1252" s="8"/>
      <c r="B1252" s="17"/>
      <c r="C1252" s="16"/>
      <c r="D1252" s="8"/>
      <c r="E1252" s="8"/>
      <c r="F1252" s="8"/>
      <c r="G1252" s="8"/>
      <c r="H1252" s="17"/>
      <c r="I1252" s="17"/>
    </row>
    <row r="1253" spans="1:9">
      <c r="A1253" s="8"/>
      <c r="B1253" s="17"/>
      <c r="C1253" s="16"/>
      <c r="D1253" s="8"/>
      <c r="E1253" s="8"/>
      <c r="F1253" s="8"/>
      <c r="G1253" s="8"/>
      <c r="H1253" s="17"/>
      <c r="I1253" s="17"/>
    </row>
    <row r="1254" spans="1:9">
      <c r="A1254" s="8"/>
      <c r="B1254" s="17"/>
      <c r="C1254" s="16"/>
      <c r="D1254" s="8"/>
      <c r="E1254" s="8"/>
      <c r="F1254" s="8"/>
      <c r="G1254" s="8"/>
      <c r="H1254" s="17"/>
      <c r="I1254" s="17"/>
    </row>
    <row r="1255" spans="1:9">
      <c r="A1255" s="8"/>
      <c r="B1255" s="17"/>
      <c r="C1255" s="16"/>
      <c r="D1255" s="8"/>
      <c r="E1255" s="8"/>
      <c r="F1255" s="8"/>
      <c r="G1255" s="8"/>
      <c r="H1255" s="17"/>
      <c r="I1255" s="17"/>
    </row>
    <row r="1256" spans="1:9">
      <c r="A1256" s="8"/>
      <c r="B1256" s="17"/>
      <c r="C1256" s="16"/>
      <c r="D1256" s="8"/>
      <c r="E1256" s="8"/>
      <c r="F1256" s="8"/>
      <c r="G1256" s="8"/>
      <c r="H1256" s="17"/>
      <c r="I1256" s="17"/>
    </row>
    <row r="1257" spans="1:9">
      <c r="A1257" s="8"/>
      <c r="B1257" s="17"/>
      <c r="C1257" s="16"/>
      <c r="D1257" s="8"/>
      <c r="E1257" s="8"/>
      <c r="F1257" s="8"/>
      <c r="G1257" s="8"/>
      <c r="H1257" s="17"/>
      <c r="I1257" s="17"/>
    </row>
    <row r="1258" spans="1:9">
      <c r="A1258" s="8"/>
      <c r="B1258" s="17"/>
      <c r="C1258" s="16"/>
      <c r="D1258" s="8"/>
      <c r="E1258" s="8"/>
      <c r="F1258" s="8"/>
      <c r="G1258" s="8"/>
      <c r="H1258" s="17"/>
      <c r="I1258" s="17"/>
    </row>
    <row r="1259" spans="1:9">
      <c r="A1259" s="8"/>
      <c r="B1259" s="17"/>
      <c r="C1259" s="16"/>
      <c r="D1259" s="8"/>
      <c r="E1259" s="8"/>
      <c r="F1259" s="8"/>
      <c r="G1259" s="8"/>
      <c r="H1259" s="17"/>
      <c r="I1259" s="17"/>
    </row>
    <row r="1260" spans="1:9">
      <c r="A1260" s="8"/>
      <c r="B1260" s="17"/>
      <c r="C1260" s="16"/>
      <c r="D1260" s="8"/>
      <c r="E1260" s="8"/>
      <c r="F1260" s="8"/>
      <c r="G1260" s="8"/>
      <c r="H1260" s="17"/>
      <c r="I1260" s="17"/>
    </row>
    <row r="1261" spans="1:9">
      <c r="A1261" s="8"/>
      <c r="B1261" s="17"/>
      <c r="C1261" s="16"/>
      <c r="D1261" s="8"/>
      <c r="E1261" s="8"/>
      <c r="F1261" s="8"/>
      <c r="G1261" s="8"/>
      <c r="H1261" s="17"/>
      <c r="I1261" s="17"/>
    </row>
    <row r="1262" spans="1:9">
      <c r="A1262" s="8"/>
      <c r="B1262" s="17"/>
      <c r="C1262" s="16"/>
      <c r="D1262" s="8"/>
      <c r="E1262" s="8"/>
      <c r="F1262" s="8"/>
      <c r="G1262" s="8"/>
      <c r="H1262" s="17"/>
      <c r="I1262" s="17"/>
    </row>
    <row r="1263" spans="1:9">
      <c r="A1263" s="8"/>
      <c r="B1263" s="17"/>
      <c r="C1263" s="16"/>
      <c r="D1263" s="8"/>
      <c r="E1263" s="8"/>
      <c r="F1263" s="8"/>
      <c r="G1263" s="8"/>
      <c r="H1263" s="17"/>
      <c r="I1263" s="17"/>
    </row>
    <row r="1264" spans="1:9">
      <c r="A1264" s="8"/>
      <c r="B1264" s="17"/>
      <c r="C1264" s="16"/>
      <c r="D1264" s="8"/>
      <c r="E1264" s="8"/>
      <c r="F1264" s="8"/>
      <c r="G1264" s="8"/>
      <c r="H1264" s="17"/>
      <c r="I1264" s="17"/>
    </row>
    <row r="1265" spans="1:9">
      <c r="A1265" s="8"/>
      <c r="B1265" s="17"/>
      <c r="C1265" s="16"/>
      <c r="D1265" s="8"/>
      <c r="E1265" s="8"/>
      <c r="F1265" s="8"/>
      <c r="G1265" s="8"/>
      <c r="H1265" s="17"/>
      <c r="I1265" s="17"/>
    </row>
    <row r="1266" spans="1:9">
      <c r="A1266" s="8"/>
      <c r="B1266" s="17"/>
      <c r="C1266" s="16"/>
      <c r="D1266" s="8"/>
      <c r="E1266" s="8"/>
      <c r="F1266" s="8"/>
      <c r="G1266" s="8"/>
      <c r="H1266" s="17"/>
      <c r="I1266" s="17"/>
    </row>
    <row r="1267" spans="1:9">
      <c r="A1267" s="8"/>
      <c r="B1267" s="17"/>
      <c r="C1267" s="16"/>
      <c r="D1267" s="8"/>
      <c r="E1267" s="8"/>
      <c r="F1267" s="8"/>
      <c r="G1267" s="8"/>
      <c r="H1267" s="17"/>
      <c r="I1267" s="17"/>
    </row>
    <row r="1268" spans="1:9">
      <c r="A1268" s="8"/>
      <c r="B1268" s="17"/>
      <c r="C1268" s="16"/>
      <c r="D1268" s="8"/>
      <c r="E1268" s="8"/>
      <c r="F1268" s="8"/>
      <c r="G1268" s="8"/>
      <c r="H1268" s="17"/>
      <c r="I1268" s="17"/>
    </row>
    <row r="1269" spans="1:9">
      <c r="A1269" s="8"/>
      <c r="B1269" s="17"/>
      <c r="C1269" s="16"/>
      <c r="D1269" s="8"/>
      <c r="E1269" s="8"/>
      <c r="F1269" s="8"/>
      <c r="G1269" s="8"/>
      <c r="H1269" s="17"/>
      <c r="I1269" s="17"/>
    </row>
    <row r="1270" spans="1:9">
      <c r="A1270" s="8"/>
      <c r="B1270" s="17"/>
      <c r="C1270" s="16"/>
      <c r="D1270" s="8"/>
      <c r="E1270" s="8"/>
      <c r="F1270" s="8"/>
      <c r="G1270" s="8"/>
      <c r="H1270" s="17"/>
      <c r="I1270" s="17"/>
    </row>
    <row r="1271" spans="1:9">
      <c r="A1271" s="8"/>
      <c r="B1271" s="17"/>
      <c r="C1271" s="16"/>
      <c r="D1271" s="8"/>
      <c r="E1271" s="8"/>
      <c r="F1271" s="8"/>
      <c r="G1271" s="8"/>
      <c r="H1271" s="17"/>
      <c r="I1271" s="17"/>
    </row>
    <row r="1272" spans="1:9">
      <c r="A1272" s="8"/>
      <c r="B1272" s="17"/>
      <c r="C1272" s="16"/>
      <c r="D1272" s="8"/>
      <c r="E1272" s="8"/>
      <c r="F1272" s="8"/>
      <c r="G1272" s="8"/>
      <c r="H1272" s="17"/>
      <c r="I1272" s="17"/>
    </row>
    <row r="1273" spans="1:9">
      <c r="A1273" s="8"/>
      <c r="B1273" s="17"/>
      <c r="C1273" s="16"/>
      <c r="D1273" s="8"/>
      <c r="E1273" s="8"/>
      <c r="F1273" s="8"/>
      <c r="G1273" s="8"/>
      <c r="H1273" s="17"/>
      <c r="I1273" s="17"/>
    </row>
    <row r="1274" spans="1:9">
      <c r="A1274" s="8"/>
      <c r="B1274" s="17"/>
      <c r="C1274" s="16"/>
      <c r="D1274" s="8"/>
      <c r="E1274" s="8"/>
      <c r="F1274" s="8"/>
      <c r="G1274" s="8"/>
      <c r="H1274" s="17"/>
      <c r="I1274" s="17"/>
    </row>
    <row r="1275" spans="1:9">
      <c r="A1275" s="8"/>
      <c r="B1275" s="17"/>
      <c r="C1275" s="16"/>
      <c r="D1275" s="8"/>
      <c r="E1275" s="8"/>
      <c r="F1275" s="8"/>
      <c r="G1275" s="8"/>
      <c r="H1275" s="17"/>
      <c r="I1275" s="17"/>
    </row>
    <row r="1276" spans="1:9">
      <c r="A1276" s="8"/>
      <c r="B1276" s="17"/>
      <c r="C1276" s="16"/>
      <c r="D1276" s="8"/>
      <c r="E1276" s="8"/>
      <c r="F1276" s="8"/>
      <c r="G1276" s="8"/>
      <c r="H1276" s="17"/>
      <c r="I1276" s="17"/>
    </row>
    <row r="1277" spans="1:9">
      <c r="A1277" s="8"/>
      <c r="B1277" s="17"/>
      <c r="C1277" s="16"/>
      <c r="D1277" s="8"/>
      <c r="E1277" s="8"/>
      <c r="F1277" s="8"/>
      <c r="G1277" s="8"/>
      <c r="H1277" s="17"/>
      <c r="I1277" s="17"/>
    </row>
    <row r="1278" spans="1:9">
      <c r="A1278" s="8"/>
      <c r="B1278" s="17"/>
      <c r="C1278" s="16"/>
      <c r="D1278" s="8"/>
      <c r="E1278" s="8"/>
      <c r="F1278" s="8"/>
      <c r="G1278" s="8"/>
      <c r="H1278" s="17"/>
      <c r="I1278" s="17"/>
    </row>
    <row r="1279" spans="1:9">
      <c r="A1279" s="8"/>
      <c r="B1279" s="17"/>
      <c r="C1279" s="16"/>
      <c r="D1279" s="8"/>
      <c r="E1279" s="8"/>
      <c r="F1279" s="8"/>
      <c r="G1279" s="8"/>
      <c r="H1279" s="17"/>
      <c r="I1279" s="17"/>
    </row>
    <row r="1280" spans="1:9">
      <c r="A1280" s="8"/>
      <c r="B1280" s="17"/>
      <c r="C1280" s="16"/>
      <c r="D1280" s="8"/>
      <c r="E1280" s="8"/>
      <c r="F1280" s="8"/>
      <c r="G1280" s="8"/>
      <c r="H1280" s="17"/>
      <c r="I1280" s="17"/>
    </row>
    <row r="1281" spans="1:9">
      <c r="A1281" s="8"/>
      <c r="B1281" s="17"/>
      <c r="C1281" s="16"/>
      <c r="D1281" s="8"/>
      <c r="E1281" s="8"/>
      <c r="F1281" s="8"/>
      <c r="G1281" s="8"/>
      <c r="H1281" s="17"/>
      <c r="I1281" s="17"/>
    </row>
    <row r="1282" spans="1:9">
      <c r="A1282" s="8"/>
      <c r="B1282" s="17"/>
      <c r="C1282" s="16"/>
      <c r="D1282" s="8"/>
      <c r="E1282" s="8"/>
      <c r="F1282" s="8"/>
      <c r="G1282" s="8"/>
      <c r="H1282" s="17"/>
      <c r="I1282" s="17"/>
    </row>
    <row r="1283" spans="1:9">
      <c r="A1283" s="8"/>
      <c r="B1283" s="17"/>
      <c r="C1283" s="16"/>
      <c r="D1283" s="8"/>
      <c r="E1283" s="8"/>
      <c r="F1283" s="8"/>
      <c r="G1283" s="8"/>
      <c r="H1283" s="17"/>
      <c r="I1283" s="17"/>
    </row>
    <row r="1284" spans="1:9">
      <c r="A1284" s="8"/>
      <c r="B1284" s="17"/>
      <c r="C1284" s="16"/>
      <c r="D1284" s="8"/>
      <c r="E1284" s="8"/>
      <c r="F1284" s="8"/>
      <c r="G1284" s="8"/>
      <c r="H1284" s="17"/>
      <c r="I1284" s="17"/>
    </row>
    <row r="1285" spans="1:9">
      <c r="A1285" s="8"/>
      <c r="B1285" s="17"/>
      <c r="C1285" s="16"/>
      <c r="D1285" s="8"/>
      <c r="E1285" s="8"/>
      <c r="F1285" s="8"/>
      <c r="G1285" s="8"/>
      <c r="H1285" s="17"/>
      <c r="I1285" s="17"/>
    </row>
    <row r="1286" spans="1:9">
      <c r="A1286" s="8"/>
      <c r="B1286" s="17"/>
      <c r="C1286" s="16"/>
      <c r="D1286" s="8"/>
      <c r="E1286" s="8"/>
      <c r="F1286" s="8"/>
      <c r="G1286" s="8"/>
      <c r="H1286" s="17"/>
      <c r="I1286" s="17"/>
    </row>
    <row r="1287" spans="1:9">
      <c r="A1287" s="8"/>
      <c r="B1287" s="17"/>
      <c r="C1287" s="16"/>
      <c r="D1287" s="8"/>
      <c r="E1287" s="8"/>
      <c r="F1287" s="8"/>
      <c r="G1287" s="8"/>
      <c r="H1287" s="17"/>
      <c r="I1287" s="17"/>
    </row>
    <row r="1288" spans="1:9">
      <c r="A1288" s="8"/>
      <c r="B1288" s="17"/>
      <c r="C1288" s="16"/>
      <c r="D1288" s="8"/>
      <c r="E1288" s="8"/>
      <c r="F1288" s="8"/>
      <c r="G1288" s="8"/>
      <c r="H1288" s="17"/>
      <c r="I1288" s="17"/>
    </row>
    <row r="1289" spans="1:9">
      <c r="A1289" s="8"/>
      <c r="B1289" s="17"/>
      <c r="C1289" s="16"/>
      <c r="D1289" s="8"/>
      <c r="E1289" s="8"/>
      <c r="F1289" s="8"/>
      <c r="G1289" s="8"/>
      <c r="H1289" s="17"/>
      <c r="I1289" s="17"/>
    </row>
    <row r="1290" spans="1:9">
      <c r="A1290" s="8"/>
      <c r="B1290" s="17"/>
      <c r="C1290" s="16"/>
      <c r="D1290" s="8"/>
      <c r="E1290" s="8"/>
      <c r="F1290" s="8"/>
      <c r="G1290" s="8"/>
      <c r="H1290" s="17"/>
      <c r="I1290" s="17"/>
    </row>
    <row r="1291" spans="1:9">
      <c r="A1291" s="8"/>
      <c r="B1291" s="17"/>
      <c r="C1291" s="16"/>
      <c r="D1291" s="8"/>
      <c r="E1291" s="8"/>
      <c r="F1291" s="8"/>
      <c r="G1291" s="8"/>
      <c r="H1291" s="17"/>
      <c r="I1291" s="17"/>
    </row>
    <row r="1292" spans="1:9">
      <c r="A1292" s="8"/>
      <c r="B1292" s="17"/>
      <c r="C1292" s="16"/>
      <c r="D1292" s="8"/>
      <c r="E1292" s="8"/>
      <c r="F1292" s="8"/>
      <c r="G1292" s="8"/>
      <c r="H1292" s="17"/>
      <c r="I1292" s="17"/>
    </row>
    <row r="1293" spans="1:9">
      <c r="A1293" s="8"/>
      <c r="B1293" s="17"/>
      <c r="C1293" s="16"/>
      <c r="D1293" s="8"/>
      <c r="E1293" s="8"/>
      <c r="F1293" s="8"/>
      <c r="G1293" s="8"/>
      <c r="H1293" s="17"/>
      <c r="I1293" s="17"/>
    </row>
    <row r="1294" spans="1:9">
      <c r="A1294" s="8"/>
      <c r="B1294" s="17"/>
      <c r="C1294" s="16"/>
      <c r="D1294" s="8"/>
      <c r="E1294" s="8"/>
      <c r="F1294" s="8"/>
      <c r="G1294" s="8"/>
      <c r="H1294" s="17"/>
      <c r="I1294" s="17"/>
    </row>
    <row r="1295" spans="1:9">
      <c r="A1295" s="8"/>
      <c r="B1295" s="17"/>
      <c r="C1295" s="16"/>
      <c r="D1295" s="8"/>
      <c r="E1295" s="8"/>
      <c r="F1295" s="8"/>
      <c r="G1295" s="8"/>
      <c r="H1295" s="17"/>
      <c r="I1295" s="17"/>
    </row>
    <row r="1296" spans="1:9">
      <c r="A1296" s="8"/>
      <c r="B1296" s="17"/>
      <c r="C1296" s="16"/>
      <c r="D1296" s="8"/>
      <c r="E1296" s="8"/>
      <c r="F1296" s="8"/>
      <c r="G1296" s="8"/>
      <c r="H1296" s="17"/>
      <c r="I1296" s="17"/>
    </row>
    <row r="1297" spans="1:9">
      <c r="A1297" s="8"/>
      <c r="B1297" s="17"/>
      <c r="C1297" s="16"/>
      <c r="D1297" s="8"/>
      <c r="E1297" s="8"/>
      <c r="F1297" s="8"/>
      <c r="G1297" s="8"/>
      <c r="H1297" s="17"/>
      <c r="I1297" s="17"/>
    </row>
    <row r="1298" spans="1:9">
      <c r="A1298" s="8"/>
      <c r="B1298" s="17"/>
      <c r="C1298" s="16"/>
      <c r="D1298" s="8"/>
      <c r="E1298" s="8"/>
      <c r="F1298" s="8"/>
      <c r="G1298" s="8"/>
      <c r="H1298" s="17"/>
      <c r="I1298" s="17"/>
    </row>
    <row r="1299" spans="1:9">
      <c r="A1299" s="8"/>
      <c r="B1299" s="17"/>
      <c r="C1299" s="16"/>
      <c r="D1299" s="8"/>
      <c r="E1299" s="8"/>
      <c r="F1299" s="8"/>
      <c r="G1299" s="8"/>
      <c r="H1299" s="17"/>
      <c r="I1299" s="17"/>
    </row>
    <row r="1300" spans="1:9">
      <c r="A1300" s="8"/>
      <c r="B1300" s="17"/>
      <c r="C1300" s="16"/>
      <c r="D1300" s="8"/>
      <c r="E1300" s="8"/>
      <c r="F1300" s="8"/>
      <c r="G1300" s="8"/>
      <c r="H1300" s="17"/>
      <c r="I1300" s="17"/>
    </row>
    <row r="1301" spans="1:9">
      <c r="A1301" s="8"/>
      <c r="B1301" s="17"/>
      <c r="C1301" s="16"/>
      <c r="D1301" s="8"/>
      <c r="E1301" s="8"/>
      <c r="F1301" s="8"/>
      <c r="G1301" s="8"/>
      <c r="H1301" s="17"/>
      <c r="I1301" s="17"/>
    </row>
    <row r="1302" spans="1:9">
      <c r="A1302" s="8"/>
      <c r="B1302" s="17"/>
      <c r="C1302" s="16"/>
      <c r="D1302" s="8"/>
      <c r="E1302" s="8"/>
      <c r="F1302" s="8"/>
      <c r="G1302" s="8"/>
      <c r="H1302" s="17"/>
      <c r="I1302" s="17"/>
    </row>
    <row r="1303" spans="1:9">
      <c r="A1303" s="8"/>
      <c r="B1303" s="17"/>
      <c r="C1303" s="16"/>
      <c r="D1303" s="8"/>
      <c r="E1303" s="8"/>
      <c r="F1303" s="8"/>
      <c r="G1303" s="8"/>
      <c r="H1303" s="17"/>
      <c r="I1303" s="17"/>
    </row>
    <row r="1304" spans="1:9">
      <c r="A1304" s="8"/>
      <c r="B1304" s="17"/>
      <c r="C1304" s="16"/>
      <c r="D1304" s="8"/>
      <c r="E1304" s="8"/>
      <c r="F1304" s="8"/>
      <c r="G1304" s="8"/>
      <c r="H1304" s="17"/>
      <c r="I1304" s="17"/>
    </row>
    <row r="1305" spans="1:9">
      <c r="A1305" s="8"/>
      <c r="B1305" s="17"/>
      <c r="C1305" s="16"/>
      <c r="D1305" s="8"/>
      <c r="E1305" s="8"/>
      <c r="F1305" s="8"/>
      <c r="G1305" s="8"/>
      <c r="H1305" s="17"/>
      <c r="I1305" s="17"/>
    </row>
    <row r="1306" spans="1:9">
      <c r="A1306" s="8"/>
      <c r="B1306" s="17"/>
      <c r="C1306" s="16"/>
      <c r="D1306" s="8"/>
      <c r="E1306" s="8"/>
      <c r="F1306" s="8"/>
      <c r="G1306" s="8"/>
      <c r="H1306" s="17"/>
      <c r="I1306" s="17"/>
    </row>
    <row r="1307" spans="1:9">
      <c r="A1307" s="8"/>
      <c r="B1307" s="17"/>
      <c r="C1307" s="16"/>
      <c r="D1307" s="8"/>
      <c r="E1307" s="8"/>
      <c r="F1307" s="8"/>
      <c r="G1307" s="8"/>
      <c r="H1307" s="17"/>
      <c r="I1307" s="17"/>
    </row>
    <row r="1308" spans="1:9">
      <c r="A1308" s="8"/>
      <c r="B1308" s="17"/>
      <c r="C1308" s="16"/>
      <c r="D1308" s="8"/>
      <c r="E1308" s="8"/>
      <c r="F1308" s="8"/>
      <c r="G1308" s="8"/>
      <c r="H1308" s="17"/>
      <c r="I1308" s="17"/>
    </row>
    <row r="1309" spans="1:9">
      <c r="A1309" s="8"/>
      <c r="B1309" s="17"/>
      <c r="C1309" s="16"/>
      <c r="D1309" s="8"/>
      <c r="E1309" s="8"/>
      <c r="F1309" s="8"/>
      <c r="G1309" s="8"/>
      <c r="H1309" s="17"/>
      <c r="I1309" s="17"/>
    </row>
    <row r="1310" spans="1:9">
      <c r="A1310" s="8"/>
      <c r="B1310" s="17"/>
      <c r="C1310" s="16"/>
      <c r="D1310" s="8"/>
      <c r="E1310" s="8"/>
      <c r="F1310" s="8"/>
      <c r="G1310" s="8"/>
      <c r="H1310" s="17"/>
      <c r="I1310" s="17"/>
    </row>
    <row r="1311" spans="1:9">
      <c r="A1311" s="8"/>
      <c r="B1311" s="17"/>
      <c r="C1311" s="16"/>
      <c r="D1311" s="8"/>
      <c r="E1311" s="8"/>
      <c r="F1311" s="8"/>
      <c r="G1311" s="8"/>
      <c r="H1311" s="17"/>
      <c r="I1311" s="17"/>
    </row>
    <row r="1312" spans="1:9">
      <c r="A1312" s="8"/>
      <c r="B1312" s="17"/>
      <c r="C1312" s="16"/>
      <c r="D1312" s="8"/>
      <c r="E1312" s="8"/>
      <c r="F1312" s="8"/>
      <c r="G1312" s="8"/>
      <c r="H1312" s="17"/>
      <c r="I1312" s="17"/>
    </row>
    <row r="1313" spans="1:9">
      <c r="A1313" s="8"/>
      <c r="B1313" s="17"/>
      <c r="C1313" s="16"/>
      <c r="D1313" s="8"/>
      <c r="E1313" s="8"/>
      <c r="F1313" s="8"/>
      <c r="G1313" s="8"/>
      <c r="H1313" s="17"/>
      <c r="I1313" s="17"/>
    </row>
    <row r="1314" spans="1:9">
      <c r="A1314" s="8"/>
      <c r="B1314" s="17"/>
      <c r="C1314" s="16"/>
      <c r="D1314" s="8"/>
      <c r="E1314" s="8"/>
      <c r="F1314" s="8"/>
      <c r="G1314" s="8"/>
      <c r="H1314" s="17"/>
      <c r="I1314" s="17"/>
    </row>
    <row r="1315" spans="1:9">
      <c r="A1315" s="8"/>
      <c r="B1315" s="17"/>
      <c r="C1315" s="16"/>
      <c r="D1315" s="8"/>
      <c r="E1315" s="8"/>
      <c r="F1315" s="8"/>
      <c r="G1315" s="8"/>
      <c r="H1315" s="17"/>
      <c r="I1315" s="17"/>
    </row>
    <row r="1316" spans="1:9">
      <c r="A1316" s="8"/>
      <c r="B1316" s="17"/>
      <c r="C1316" s="16"/>
      <c r="D1316" s="8"/>
      <c r="E1316" s="8"/>
      <c r="F1316" s="8"/>
      <c r="G1316" s="8"/>
      <c r="H1316" s="17"/>
      <c r="I1316" s="17"/>
    </row>
    <row r="1317" spans="1:9">
      <c r="A1317" s="8"/>
      <c r="B1317" s="17"/>
      <c r="C1317" s="16"/>
      <c r="D1317" s="8"/>
      <c r="E1317" s="8"/>
      <c r="F1317" s="8"/>
      <c r="G1317" s="8"/>
      <c r="H1317" s="17"/>
      <c r="I1317" s="17"/>
    </row>
    <row r="1318" spans="1:9">
      <c r="A1318" s="8"/>
      <c r="B1318" s="17"/>
      <c r="C1318" s="16"/>
      <c r="D1318" s="8"/>
      <c r="E1318" s="8"/>
      <c r="F1318" s="8"/>
      <c r="G1318" s="8"/>
      <c r="H1318" s="17"/>
      <c r="I1318" s="17"/>
    </row>
    <row r="1319" spans="1:9">
      <c r="A1319" s="8"/>
      <c r="B1319" s="17"/>
      <c r="C1319" s="16"/>
      <c r="D1319" s="8"/>
      <c r="E1319" s="8"/>
      <c r="F1319" s="8"/>
      <c r="G1319" s="8"/>
      <c r="H1319" s="17"/>
      <c r="I1319" s="17"/>
    </row>
    <row r="1320" spans="1:9">
      <c r="A1320" s="8"/>
      <c r="B1320" s="17"/>
      <c r="C1320" s="16"/>
      <c r="D1320" s="8"/>
      <c r="E1320" s="8"/>
      <c r="F1320" s="8"/>
      <c r="G1320" s="8"/>
      <c r="H1320" s="17"/>
      <c r="I1320" s="17"/>
    </row>
    <row r="1321" spans="1:9">
      <c r="A1321" s="8"/>
      <c r="B1321" s="17"/>
      <c r="C1321" s="16"/>
      <c r="D1321" s="8"/>
      <c r="E1321" s="8"/>
      <c r="F1321" s="8"/>
      <c r="G1321" s="8"/>
      <c r="H1321" s="17"/>
      <c r="I1321" s="17"/>
    </row>
    <row r="1322" spans="1:9">
      <c r="A1322" s="8"/>
      <c r="B1322" s="17"/>
      <c r="C1322" s="16"/>
      <c r="D1322" s="8"/>
      <c r="E1322" s="8"/>
      <c r="F1322" s="8"/>
      <c r="G1322" s="8"/>
      <c r="H1322" s="17"/>
      <c r="I1322" s="17"/>
    </row>
    <row r="1323" spans="1:9">
      <c r="A1323" s="8"/>
      <c r="B1323" s="17"/>
      <c r="C1323" s="16"/>
      <c r="D1323" s="8"/>
      <c r="E1323" s="8"/>
      <c r="F1323" s="8"/>
      <c r="G1323" s="8"/>
      <c r="H1323" s="17"/>
      <c r="I1323" s="17"/>
    </row>
    <row r="1324" spans="1:9">
      <c r="A1324" s="8"/>
      <c r="B1324" s="17"/>
      <c r="C1324" s="16"/>
      <c r="D1324" s="8"/>
      <c r="E1324" s="8"/>
      <c r="F1324" s="8"/>
      <c r="G1324" s="8"/>
      <c r="H1324" s="17"/>
      <c r="I1324" s="17"/>
    </row>
    <row r="1325" spans="1:9">
      <c r="A1325" s="8"/>
      <c r="B1325" s="17"/>
      <c r="C1325" s="16"/>
      <c r="D1325" s="8"/>
      <c r="E1325" s="8"/>
      <c r="F1325" s="8"/>
      <c r="G1325" s="8"/>
      <c r="H1325" s="17"/>
      <c r="I1325" s="17"/>
    </row>
    <row r="1326" spans="1:9">
      <c r="A1326" s="8"/>
      <c r="B1326" s="17"/>
      <c r="C1326" s="16"/>
      <c r="D1326" s="8"/>
      <c r="E1326" s="8"/>
      <c r="F1326" s="8"/>
      <c r="G1326" s="8"/>
      <c r="H1326" s="17"/>
      <c r="I1326" s="17"/>
    </row>
    <row r="1327" spans="1:9">
      <c r="A1327" s="8"/>
      <c r="B1327" s="17"/>
      <c r="C1327" s="16"/>
      <c r="D1327" s="8"/>
      <c r="E1327" s="8"/>
      <c r="F1327" s="8"/>
      <c r="G1327" s="8"/>
      <c r="H1327" s="17"/>
      <c r="I1327" s="17"/>
    </row>
    <row r="1328" spans="1:9">
      <c r="A1328" s="8"/>
      <c r="B1328" s="17"/>
      <c r="C1328" s="16"/>
      <c r="D1328" s="8"/>
      <c r="E1328" s="8"/>
      <c r="F1328" s="8"/>
      <c r="G1328" s="8"/>
      <c r="H1328" s="17"/>
      <c r="I1328" s="17"/>
    </row>
    <row r="1329" spans="1:9">
      <c r="A1329" s="8"/>
      <c r="B1329" s="17"/>
      <c r="C1329" s="16"/>
      <c r="D1329" s="8"/>
      <c r="E1329" s="8"/>
      <c r="F1329" s="8"/>
      <c r="G1329" s="8"/>
      <c r="H1329" s="17"/>
      <c r="I1329" s="17"/>
    </row>
    <row r="1330" spans="1:9">
      <c r="A1330" s="8"/>
      <c r="B1330" s="17"/>
      <c r="C1330" s="16"/>
      <c r="D1330" s="8"/>
      <c r="E1330" s="8"/>
      <c r="F1330" s="8"/>
      <c r="G1330" s="8"/>
      <c r="H1330" s="17"/>
      <c r="I1330" s="17"/>
    </row>
    <row r="1331" spans="1:9">
      <c r="A1331" s="8"/>
      <c r="B1331" s="17"/>
      <c r="C1331" s="16"/>
      <c r="D1331" s="8"/>
      <c r="E1331" s="8"/>
      <c r="F1331" s="8"/>
      <c r="G1331" s="8"/>
      <c r="H1331" s="17"/>
      <c r="I1331" s="17"/>
    </row>
    <row r="1332" spans="1:9">
      <c r="A1332" s="8"/>
      <c r="B1332" s="17"/>
      <c r="C1332" s="16"/>
      <c r="D1332" s="8"/>
      <c r="E1332" s="8"/>
      <c r="F1332" s="8"/>
      <c r="G1332" s="8"/>
      <c r="H1332" s="17"/>
      <c r="I1332" s="17"/>
    </row>
    <row r="1333" spans="1:9">
      <c r="A1333" s="8"/>
      <c r="B1333" s="17"/>
      <c r="C1333" s="16"/>
      <c r="D1333" s="8"/>
      <c r="E1333" s="8"/>
      <c r="F1333" s="8"/>
      <c r="G1333" s="8"/>
      <c r="H1333" s="17"/>
      <c r="I1333" s="17"/>
    </row>
    <row r="1334" spans="1:9">
      <c r="A1334" s="8"/>
      <c r="B1334" s="17"/>
      <c r="C1334" s="16"/>
      <c r="D1334" s="8"/>
      <c r="E1334" s="8"/>
      <c r="F1334" s="8"/>
      <c r="G1334" s="8"/>
      <c r="H1334" s="17"/>
      <c r="I1334" s="17"/>
    </row>
    <row r="1335" spans="1:9">
      <c r="A1335" s="8"/>
      <c r="B1335" s="17"/>
      <c r="C1335" s="16"/>
      <c r="D1335" s="8"/>
      <c r="E1335" s="8"/>
      <c r="F1335" s="8"/>
      <c r="G1335" s="8"/>
      <c r="H1335" s="17"/>
      <c r="I1335" s="17"/>
    </row>
    <row r="1336" spans="1:9">
      <c r="A1336" s="8"/>
      <c r="B1336" s="17"/>
      <c r="C1336" s="16"/>
      <c r="D1336" s="8"/>
      <c r="E1336" s="8"/>
      <c r="F1336" s="8"/>
      <c r="G1336" s="8"/>
      <c r="H1336" s="17"/>
      <c r="I1336" s="17"/>
    </row>
    <row r="1337" spans="1:9">
      <c r="A1337" s="8"/>
      <c r="B1337" s="17"/>
      <c r="C1337" s="16"/>
      <c r="D1337" s="8"/>
      <c r="E1337" s="8"/>
      <c r="F1337" s="8"/>
      <c r="G1337" s="8"/>
      <c r="H1337" s="17"/>
      <c r="I1337" s="17"/>
    </row>
    <row r="1338" spans="1:9">
      <c r="A1338" s="8"/>
      <c r="B1338" s="17"/>
      <c r="C1338" s="16"/>
      <c r="D1338" s="8"/>
      <c r="E1338" s="8"/>
      <c r="F1338" s="8"/>
      <c r="G1338" s="8"/>
      <c r="H1338" s="17"/>
      <c r="I1338" s="17"/>
    </row>
    <row r="1339" spans="1:9">
      <c r="A1339" s="8"/>
      <c r="B1339" s="17"/>
      <c r="C1339" s="16"/>
      <c r="D1339" s="8"/>
      <c r="E1339" s="8"/>
      <c r="F1339" s="8"/>
      <c r="G1339" s="8"/>
      <c r="H1339" s="17"/>
      <c r="I1339" s="17"/>
    </row>
    <row r="1340" spans="1:9">
      <c r="A1340" s="8"/>
      <c r="B1340" s="17"/>
      <c r="C1340" s="16"/>
      <c r="D1340" s="8"/>
      <c r="E1340" s="8"/>
      <c r="F1340" s="8"/>
      <c r="G1340" s="8"/>
      <c r="H1340" s="17"/>
      <c r="I1340" s="17"/>
    </row>
    <row r="1341" spans="1:9">
      <c r="A1341" s="8"/>
      <c r="B1341" s="17"/>
      <c r="C1341" s="16"/>
      <c r="D1341" s="8"/>
      <c r="E1341" s="8"/>
      <c r="F1341" s="8"/>
      <c r="G1341" s="8"/>
      <c r="H1341" s="17"/>
      <c r="I1341" s="17"/>
    </row>
    <row r="1342" spans="1:9">
      <c r="A1342" s="8"/>
      <c r="B1342" s="17"/>
      <c r="C1342" s="16"/>
      <c r="D1342" s="8"/>
      <c r="E1342" s="8"/>
      <c r="F1342" s="8"/>
      <c r="G1342" s="8"/>
      <c r="H1342" s="17"/>
      <c r="I1342" s="17"/>
    </row>
    <row r="1343" spans="1:9">
      <c r="A1343" s="8"/>
      <c r="B1343" s="17"/>
      <c r="C1343" s="16"/>
      <c r="D1343" s="8"/>
      <c r="E1343" s="8"/>
      <c r="F1343" s="8"/>
      <c r="G1343" s="8"/>
      <c r="H1343" s="17"/>
      <c r="I1343" s="17"/>
    </row>
    <row r="1344" spans="1:9">
      <c r="A1344" s="8"/>
      <c r="B1344" s="17"/>
      <c r="C1344" s="16"/>
      <c r="D1344" s="8"/>
      <c r="E1344" s="8"/>
      <c r="F1344" s="8"/>
      <c r="G1344" s="8"/>
      <c r="H1344" s="17"/>
      <c r="I1344" s="17"/>
    </row>
    <row r="1345" spans="1:9">
      <c r="A1345" s="8"/>
      <c r="B1345" s="17"/>
      <c r="C1345" s="16"/>
      <c r="D1345" s="8"/>
      <c r="E1345" s="8"/>
      <c r="F1345" s="8"/>
      <c r="G1345" s="8"/>
      <c r="H1345" s="17"/>
      <c r="I1345" s="17"/>
    </row>
    <row r="1346" spans="1:9">
      <c r="A1346" s="8"/>
      <c r="B1346" s="17"/>
      <c r="C1346" s="16"/>
      <c r="D1346" s="8"/>
      <c r="E1346" s="8"/>
      <c r="F1346" s="8"/>
      <c r="G1346" s="8"/>
      <c r="H1346" s="17"/>
      <c r="I1346" s="17"/>
    </row>
    <row r="1347" spans="1:9">
      <c r="A1347" s="8"/>
      <c r="B1347" s="17"/>
      <c r="C1347" s="16"/>
      <c r="D1347" s="8"/>
      <c r="E1347" s="8"/>
      <c r="F1347" s="8"/>
      <c r="G1347" s="8"/>
      <c r="H1347" s="17"/>
      <c r="I1347" s="17"/>
    </row>
    <row r="1348" spans="1:9">
      <c r="A1348" s="8"/>
      <c r="B1348" s="17"/>
      <c r="C1348" s="16"/>
      <c r="D1348" s="8"/>
      <c r="E1348" s="8"/>
      <c r="F1348" s="8"/>
      <c r="G1348" s="8"/>
      <c r="H1348" s="17"/>
      <c r="I1348" s="17"/>
    </row>
    <row r="1349" spans="1:9">
      <c r="A1349" s="8"/>
      <c r="B1349" s="17"/>
      <c r="C1349" s="16"/>
      <c r="D1349" s="8"/>
      <c r="E1349" s="8"/>
      <c r="F1349" s="8"/>
      <c r="G1349" s="8"/>
      <c r="H1349" s="17"/>
      <c r="I1349" s="17"/>
    </row>
    <row r="1350" spans="1:9">
      <c r="A1350" s="8"/>
      <c r="B1350" s="17"/>
      <c r="C1350" s="16"/>
      <c r="D1350" s="8"/>
      <c r="E1350" s="8"/>
      <c r="F1350" s="8"/>
      <c r="G1350" s="8"/>
      <c r="H1350" s="17"/>
      <c r="I1350" s="17"/>
    </row>
    <row r="1351" spans="1:9">
      <c r="A1351" s="8"/>
      <c r="B1351" s="17"/>
      <c r="C1351" s="16"/>
      <c r="D1351" s="8"/>
      <c r="E1351" s="8"/>
      <c r="F1351" s="8"/>
      <c r="G1351" s="8"/>
      <c r="H1351" s="17"/>
      <c r="I1351" s="17"/>
    </row>
    <row r="1352" spans="1:9">
      <c r="A1352" s="8"/>
      <c r="B1352" s="17"/>
      <c r="C1352" s="16"/>
      <c r="D1352" s="8"/>
      <c r="E1352" s="8"/>
      <c r="F1352" s="8"/>
      <c r="G1352" s="8"/>
      <c r="H1352" s="17"/>
      <c r="I1352" s="17"/>
    </row>
    <row r="1353" spans="1:9">
      <c r="A1353" s="8"/>
      <c r="B1353" s="17"/>
      <c r="C1353" s="16"/>
      <c r="D1353" s="8"/>
      <c r="E1353" s="8"/>
      <c r="F1353" s="8"/>
      <c r="G1353" s="8"/>
      <c r="H1353" s="17"/>
      <c r="I1353" s="17"/>
    </row>
    <row r="1354" spans="1:9">
      <c r="A1354" s="8"/>
      <c r="B1354" s="17"/>
      <c r="C1354" s="16"/>
      <c r="D1354" s="8"/>
      <c r="E1354" s="8"/>
      <c r="F1354" s="8"/>
      <c r="G1354" s="8"/>
      <c r="H1354" s="17"/>
      <c r="I1354" s="17"/>
    </row>
    <row r="1355" spans="1:9">
      <c r="A1355" s="8"/>
      <c r="B1355" s="17"/>
      <c r="C1355" s="16"/>
      <c r="D1355" s="8"/>
      <c r="E1355" s="8"/>
      <c r="F1355" s="8"/>
      <c r="G1355" s="8"/>
      <c r="H1355" s="17"/>
      <c r="I1355" s="17"/>
    </row>
    <row r="1356" spans="1:9">
      <c r="A1356" s="8"/>
      <c r="B1356" s="17"/>
      <c r="C1356" s="16"/>
      <c r="D1356" s="8"/>
      <c r="E1356" s="8"/>
      <c r="F1356" s="8"/>
      <c r="G1356" s="8"/>
      <c r="H1356" s="17"/>
      <c r="I1356" s="17"/>
    </row>
    <row r="1357" spans="1:9">
      <c r="A1357" s="8"/>
      <c r="B1357" s="17"/>
      <c r="C1357" s="16"/>
      <c r="D1357" s="8"/>
      <c r="E1357" s="8"/>
      <c r="F1357" s="8"/>
      <c r="G1357" s="8"/>
      <c r="H1357" s="17"/>
      <c r="I1357" s="17"/>
    </row>
    <row r="1358" spans="1:9">
      <c r="A1358" s="8"/>
      <c r="B1358" s="17"/>
      <c r="C1358" s="16"/>
      <c r="D1358" s="8"/>
      <c r="E1358" s="8"/>
      <c r="F1358" s="8"/>
      <c r="G1358" s="8"/>
      <c r="H1358" s="17"/>
      <c r="I1358" s="17"/>
    </row>
    <row r="1359" spans="1:9">
      <c r="A1359" s="8"/>
      <c r="B1359" s="17"/>
      <c r="C1359" s="16"/>
      <c r="D1359" s="8"/>
      <c r="E1359" s="8"/>
      <c r="F1359" s="8"/>
      <c r="G1359" s="8"/>
      <c r="H1359" s="17"/>
      <c r="I1359" s="17"/>
    </row>
    <row r="1360" spans="1:9">
      <c r="A1360" s="8"/>
      <c r="B1360" s="17"/>
      <c r="C1360" s="16"/>
      <c r="D1360" s="8"/>
      <c r="E1360" s="8"/>
      <c r="F1360" s="8"/>
      <c r="G1360" s="8"/>
      <c r="H1360" s="17"/>
      <c r="I1360" s="17"/>
    </row>
    <row r="1361" spans="1:9">
      <c r="A1361" s="8"/>
      <c r="B1361" s="17"/>
      <c r="C1361" s="16"/>
      <c r="D1361" s="8"/>
      <c r="E1361" s="8"/>
      <c r="F1361" s="8"/>
      <c r="G1361" s="8"/>
      <c r="H1361" s="17"/>
      <c r="I1361" s="17"/>
    </row>
    <row r="1362" spans="1:9">
      <c r="A1362" s="8"/>
      <c r="B1362" s="17"/>
      <c r="C1362" s="16"/>
      <c r="D1362" s="8"/>
      <c r="E1362" s="8"/>
      <c r="F1362" s="8"/>
      <c r="G1362" s="8"/>
      <c r="H1362" s="17"/>
      <c r="I1362" s="17"/>
    </row>
    <row r="1363" spans="1:9">
      <c r="A1363" s="8"/>
      <c r="B1363" s="17"/>
      <c r="C1363" s="16"/>
      <c r="D1363" s="8"/>
      <c r="E1363" s="8"/>
      <c r="F1363" s="8"/>
      <c r="G1363" s="8"/>
      <c r="H1363" s="17"/>
      <c r="I1363" s="17"/>
    </row>
    <row r="1364" spans="1:9">
      <c r="A1364" s="8"/>
      <c r="B1364" s="17"/>
      <c r="C1364" s="16"/>
      <c r="D1364" s="8"/>
      <c r="E1364" s="8"/>
      <c r="F1364" s="8"/>
      <c r="G1364" s="8"/>
      <c r="H1364" s="17"/>
      <c r="I1364" s="17"/>
    </row>
    <row r="1365" spans="1:9">
      <c r="A1365" s="8"/>
      <c r="B1365" s="17"/>
      <c r="C1365" s="16"/>
      <c r="D1365" s="8"/>
      <c r="E1365" s="8"/>
      <c r="F1365" s="8"/>
      <c r="G1365" s="8"/>
      <c r="H1365" s="17"/>
      <c r="I1365" s="17"/>
    </row>
    <row r="1366" spans="1:9">
      <c r="A1366" s="8"/>
      <c r="B1366" s="17"/>
      <c r="C1366" s="16"/>
      <c r="D1366" s="8"/>
      <c r="E1366" s="8"/>
      <c r="F1366" s="8"/>
      <c r="G1366" s="8"/>
      <c r="H1366" s="17"/>
      <c r="I1366" s="17"/>
    </row>
    <row r="1367" spans="1:9">
      <c r="A1367" s="8"/>
      <c r="B1367" s="17"/>
      <c r="C1367" s="16"/>
      <c r="D1367" s="8"/>
      <c r="E1367" s="8"/>
      <c r="F1367" s="8"/>
      <c r="G1367" s="8"/>
      <c r="H1367" s="17"/>
      <c r="I1367" s="17"/>
    </row>
    <row r="1368" spans="1:9">
      <c r="A1368" s="8"/>
      <c r="B1368" s="17"/>
      <c r="C1368" s="16"/>
      <c r="D1368" s="8"/>
      <c r="E1368" s="8"/>
      <c r="F1368" s="8"/>
      <c r="G1368" s="8"/>
      <c r="H1368" s="17"/>
      <c r="I1368" s="17"/>
    </row>
    <row r="1369" spans="1:9">
      <c r="A1369" s="8"/>
      <c r="B1369" s="17"/>
      <c r="C1369" s="16"/>
      <c r="D1369" s="8"/>
      <c r="E1369" s="8"/>
      <c r="F1369" s="8"/>
      <c r="G1369" s="8"/>
      <c r="H1369" s="17"/>
      <c r="I1369" s="17"/>
    </row>
    <row r="1370" spans="1:9">
      <c r="A1370" s="8"/>
      <c r="B1370" s="17"/>
      <c r="C1370" s="16"/>
      <c r="D1370" s="8"/>
      <c r="E1370" s="8"/>
      <c r="F1370" s="8"/>
      <c r="G1370" s="8"/>
      <c r="H1370" s="17"/>
      <c r="I1370" s="17"/>
    </row>
    <row r="1371" spans="1:9">
      <c r="A1371" s="8"/>
      <c r="B1371" s="17"/>
      <c r="C1371" s="16"/>
      <c r="D1371" s="8"/>
      <c r="E1371" s="8"/>
      <c r="F1371" s="8"/>
      <c r="G1371" s="8"/>
      <c r="H1371" s="17"/>
      <c r="I1371" s="17"/>
    </row>
    <row r="1372" spans="1:9">
      <c r="A1372" s="8"/>
      <c r="B1372" s="17"/>
      <c r="C1372" s="16"/>
      <c r="D1372" s="8"/>
      <c r="E1372" s="8"/>
      <c r="F1372" s="8"/>
      <c r="G1372" s="8"/>
      <c r="H1372" s="17"/>
      <c r="I1372" s="17"/>
    </row>
    <row r="1373" spans="1:9">
      <c r="A1373" s="8"/>
      <c r="B1373" s="17"/>
      <c r="C1373" s="16"/>
      <c r="D1373" s="8"/>
      <c r="E1373" s="8"/>
      <c r="F1373" s="8"/>
      <c r="G1373" s="8"/>
      <c r="H1373" s="17"/>
      <c r="I1373" s="17"/>
    </row>
    <row r="1374" spans="1:9">
      <c r="A1374" s="8"/>
      <c r="B1374" s="17"/>
      <c r="C1374" s="16"/>
      <c r="D1374" s="8"/>
      <c r="E1374" s="8"/>
      <c r="F1374" s="8"/>
      <c r="G1374" s="8"/>
      <c r="H1374" s="17"/>
      <c r="I1374" s="17"/>
    </row>
    <row r="1375" spans="1:9">
      <c r="A1375" s="8"/>
      <c r="B1375" s="17"/>
      <c r="C1375" s="16"/>
      <c r="D1375" s="8"/>
      <c r="E1375" s="8"/>
      <c r="F1375" s="8"/>
      <c r="G1375" s="8"/>
      <c r="H1375" s="17"/>
      <c r="I1375" s="17"/>
    </row>
    <row r="1376" spans="1:9">
      <c r="A1376" s="8"/>
      <c r="B1376" s="17"/>
      <c r="C1376" s="16"/>
      <c r="D1376" s="8"/>
      <c r="E1376" s="8"/>
      <c r="F1376" s="8"/>
      <c r="G1376" s="8"/>
      <c r="H1376" s="17"/>
      <c r="I1376" s="17"/>
    </row>
    <row r="1377" spans="1:9">
      <c r="A1377" s="8"/>
      <c r="B1377" s="17"/>
      <c r="C1377" s="16"/>
      <c r="D1377" s="8"/>
      <c r="E1377" s="8"/>
      <c r="F1377" s="8"/>
      <c r="G1377" s="8"/>
      <c r="H1377" s="17"/>
      <c r="I1377" s="17"/>
    </row>
    <row r="1378" spans="1:9">
      <c r="A1378" s="8"/>
      <c r="B1378" s="17"/>
      <c r="C1378" s="16"/>
      <c r="D1378" s="8"/>
      <c r="E1378" s="8"/>
      <c r="F1378" s="8"/>
      <c r="G1378" s="8"/>
      <c r="H1378" s="17"/>
      <c r="I1378" s="17"/>
    </row>
    <row r="1379" spans="1:9">
      <c r="A1379" s="8"/>
      <c r="B1379" s="17"/>
      <c r="C1379" s="16"/>
      <c r="D1379" s="8"/>
      <c r="E1379" s="8"/>
      <c r="F1379" s="8"/>
      <c r="G1379" s="8"/>
      <c r="H1379" s="17"/>
      <c r="I1379" s="17"/>
    </row>
    <row r="1380" spans="1:9">
      <c r="A1380" s="8"/>
      <c r="B1380" s="17"/>
      <c r="C1380" s="16"/>
      <c r="D1380" s="8"/>
      <c r="E1380" s="8"/>
      <c r="F1380" s="8"/>
      <c r="G1380" s="8"/>
      <c r="H1380" s="17"/>
      <c r="I1380" s="17"/>
    </row>
    <row r="1381" spans="1:9">
      <c r="A1381" s="8"/>
      <c r="B1381" s="17"/>
      <c r="C1381" s="16"/>
      <c r="D1381" s="8"/>
      <c r="E1381" s="8"/>
      <c r="F1381" s="8"/>
      <c r="G1381" s="8"/>
      <c r="H1381" s="17"/>
      <c r="I1381" s="17"/>
    </row>
    <row r="1382" spans="1:9">
      <c r="A1382" s="8"/>
      <c r="B1382" s="17"/>
      <c r="C1382" s="16"/>
      <c r="D1382" s="8"/>
      <c r="E1382" s="8"/>
      <c r="F1382" s="8"/>
      <c r="G1382" s="8"/>
      <c r="H1382" s="17"/>
      <c r="I1382" s="17"/>
    </row>
    <row r="1383" spans="1:9">
      <c r="A1383" s="8"/>
      <c r="B1383" s="17"/>
      <c r="C1383" s="16"/>
      <c r="D1383" s="8"/>
      <c r="E1383" s="8"/>
      <c r="F1383" s="8"/>
      <c r="G1383" s="8"/>
      <c r="H1383" s="17"/>
      <c r="I1383" s="17"/>
    </row>
    <row r="1384" spans="1:9">
      <c r="A1384" s="8"/>
      <c r="B1384" s="17"/>
      <c r="C1384" s="16"/>
      <c r="D1384" s="8"/>
      <c r="E1384" s="8"/>
      <c r="F1384" s="8"/>
      <c r="G1384" s="8"/>
      <c r="H1384" s="17"/>
      <c r="I1384" s="17"/>
    </row>
    <row r="1385" spans="1:9">
      <c r="A1385" s="8"/>
      <c r="B1385" s="17"/>
      <c r="C1385" s="16"/>
      <c r="D1385" s="8"/>
      <c r="E1385" s="8"/>
      <c r="F1385" s="8"/>
      <c r="G1385" s="8"/>
      <c r="H1385" s="17"/>
      <c r="I1385" s="17"/>
    </row>
    <row r="1386" spans="1:9">
      <c r="A1386" s="8"/>
      <c r="B1386" s="17"/>
      <c r="C1386" s="16"/>
      <c r="D1386" s="8"/>
      <c r="E1386" s="8"/>
      <c r="F1386" s="8"/>
      <c r="G1386" s="8"/>
      <c r="H1386" s="17"/>
      <c r="I1386" s="17"/>
    </row>
    <row r="1387" spans="1:9">
      <c r="A1387" s="8"/>
      <c r="B1387" s="17"/>
      <c r="C1387" s="16"/>
      <c r="D1387" s="8"/>
      <c r="E1387" s="8"/>
      <c r="F1387" s="8"/>
      <c r="G1387" s="8"/>
      <c r="H1387" s="17"/>
      <c r="I1387" s="17"/>
    </row>
    <row r="1388" spans="1:9">
      <c r="A1388" s="8"/>
      <c r="B1388" s="17"/>
      <c r="C1388" s="16"/>
      <c r="D1388" s="8"/>
      <c r="E1388" s="8"/>
      <c r="F1388" s="8"/>
      <c r="G1388" s="8"/>
      <c r="H1388" s="17"/>
      <c r="I1388" s="17"/>
    </row>
    <row r="1389" spans="1:9">
      <c r="A1389" s="8"/>
      <c r="B1389" s="17"/>
      <c r="C1389" s="16"/>
      <c r="D1389" s="8"/>
      <c r="E1389" s="8"/>
      <c r="F1389" s="8"/>
      <c r="G1389" s="8"/>
      <c r="H1389" s="17"/>
      <c r="I1389" s="17"/>
    </row>
    <row r="1390" spans="1:9">
      <c r="A1390" s="8"/>
      <c r="B1390" s="17"/>
      <c r="C1390" s="16"/>
      <c r="D1390" s="8"/>
      <c r="E1390" s="8"/>
      <c r="F1390" s="8"/>
      <c r="G1390" s="8"/>
      <c r="H1390" s="17"/>
      <c r="I1390" s="17"/>
    </row>
    <row r="1391" spans="1:9">
      <c r="A1391" s="8"/>
      <c r="B1391" s="17"/>
      <c r="C1391" s="16"/>
      <c r="D1391" s="8"/>
      <c r="E1391" s="8"/>
      <c r="F1391" s="8"/>
      <c r="G1391" s="8"/>
      <c r="H1391" s="17"/>
      <c r="I1391" s="17"/>
    </row>
    <row r="1392" spans="1:9">
      <c r="A1392" s="8"/>
      <c r="B1392" s="17"/>
      <c r="C1392" s="16"/>
      <c r="D1392" s="8"/>
      <c r="E1392" s="8"/>
      <c r="F1392" s="8"/>
      <c r="G1392" s="8"/>
      <c r="H1392" s="17"/>
      <c r="I1392" s="17"/>
    </row>
    <row r="1393" spans="1:9">
      <c r="A1393" s="8"/>
      <c r="B1393" s="17"/>
      <c r="C1393" s="16"/>
      <c r="D1393" s="8"/>
      <c r="E1393" s="8"/>
      <c r="F1393" s="8"/>
      <c r="G1393" s="8"/>
      <c r="H1393" s="17"/>
      <c r="I1393" s="17"/>
    </row>
    <row r="1394" spans="1:9">
      <c r="A1394" s="8"/>
      <c r="B1394" s="17"/>
      <c r="C1394" s="16"/>
      <c r="D1394" s="8"/>
      <c r="E1394" s="8"/>
      <c r="F1394" s="8"/>
      <c r="G1394" s="8"/>
      <c r="H1394" s="17"/>
      <c r="I1394" s="17"/>
    </row>
    <row r="1395" spans="1:9">
      <c r="A1395" s="8"/>
      <c r="B1395" s="17"/>
      <c r="C1395" s="16"/>
      <c r="D1395" s="8"/>
      <c r="E1395" s="8"/>
      <c r="F1395" s="8"/>
      <c r="G1395" s="8"/>
      <c r="H1395" s="17"/>
      <c r="I1395" s="17"/>
    </row>
    <row r="1396" spans="1:9">
      <c r="A1396" s="8"/>
      <c r="B1396" s="17"/>
      <c r="C1396" s="16"/>
      <c r="D1396" s="8"/>
      <c r="E1396" s="8"/>
      <c r="F1396" s="8"/>
      <c r="G1396" s="8"/>
      <c r="H1396" s="17"/>
      <c r="I1396" s="17"/>
    </row>
    <row r="1397" spans="1:9">
      <c r="A1397" s="8"/>
      <c r="B1397" s="17"/>
      <c r="C1397" s="16"/>
      <c r="D1397" s="8"/>
      <c r="E1397" s="8"/>
      <c r="F1397" s="8"/>
      <c r="G1397" s="8"/>
      <c r="H1397" s="17"/>
      <c r="I1397" s="17"/>
    </row>
    <row r="1398" spans="1:9">
      <c r="A1398" s="8"/>
      <c r="B1398" s="17"/>
      <c r="C1398" s="16"/>
      <c r="D1398" s="8"/>
      <c r="E1398" s="8"/>
      <c r="F1398" s="8"/>
      <c r="G1398" s="8"/>
      <c r="H1398" s="17"/>
      <c r="I1398" s="17"/>
    </row>
    <row r="1399" spans="1:9">
      <c r="A1399" s="8"/>
      <c r="B1399" s="17"/>
      <c r="C1399" s="16"/>
      <c r="D1399" s="8"/>
      <c r="E1399" s="8"/>
      <c r="F1399" s="8"/>
      <c r="G1399" s="8"/>
      <c r="H1399" s="17"/>
      <c r="I1399" s="17"/>
    </row>
    <row r="1400" spans="1:9">
      <c r="A1400" s="8"/>
      <c r="B1400" s="17"/>
      <c r="C1400" s="16"/>
      <c r="D1400" s="8"/>
      <c r="E1400" s="8"/>
      <c r="F1400" s="8"/>
      <c r="G1400" s="8"/>
      <c r="H1400" s="17"/>
      <c r="I1400" s="17"/>
    </row>
    <row r="1401" spans="1:9">
      <c r="A1401" s="8"/>
      <c r="B1401" s="17"/>
      <c r="C1401" s="16"/>
      <c r="D1401" s="8"/>
      <c r="E1401" s="8"/>
      <c r="F1401" s="8"/>
      <c r="G1401" s="8"/>
      <c r="H1401" s="17"/>
      <c r="I1401" s="17"/>
    </row>
    <row r="1402" spans="1:9">
      <c r="A1402" s="8"/>
      <c r="B1402" s="17"/>
      <c r="C1402" s="16"/>
      <c r="D1402" s="8"/>
      <c r="E1402" s="8"/>
      <c r="F1402" s="8"/>
      <c r="G1402" s="8"/>
      <c r="H1402" s="17"/>
      <c r="I1402" s="17"/>
    </row>
    <row r="1403" spans="1:9">
      <c r="A1403" s="8"/>
      <c r="B1403" s="17"/>
      <c r="C1403" s="16"/>
      <c r="D1403" s="8"/>
      <c r="E1403" s="8"/>
      <c r="F1403" s="8"/>
      <c r="G1403" s="8"/>
      <c r="H1403" s="17"/>
      <c r="I1403" s="17"/>
    </row>
    <row r="1404" spans="1:9">
      <c r="A1404" s="8"/>
      <c r="B1404" s="17"/>
      <c r="C1404" s="16"/>
      <c r="D1404" s="8"/>
      <c r="E1404" s="8"/>
      <c r="F1404" s="8"/>
      <c r="G1404" s="8"/>
      <c r="H1404" s="17"/>
      <c r="I1404" s="17"/>
    </row>
    <row r="1405" spans="1:9">
      <c r="A1405" s="8"/>
      <c r="B1405" s="17"/>
      <c r="C1405" s="16"/>
      <c r="D1405" s="8"/>
      <c r="E1405" s="8"/>
      <c r="F1405" s="8"/>
      <c r="G1405" s="8"/>
      <c r="H1405" s="17"/>
      <c r="I1405" s="17"/>
    </row>
    <row r="1406" spans="1:9">
      <c r="A1406" s="8"/>
      <c r="B1406" s="17"/>
      <c r="C1406" s="16"/>
      <c r="D1406" s="8"/>
      <c r="E1406" s="8"/>
      <c r="F1406" s="8"/>
      <c r="G1406" s="8"/>
      <c r="H1406" s="17"/>
      <c r="I1406" s="17"/>
    </row>
    <row r="1407" spans="1:9">
      <c r="A1407" s="8"/>
      <c r="B1407" s="17"/>
      <c r="C1407" s="16"/>
      <c r="D1407" s="8"/>
      <c r="E1407" s="8"/>
      <c r="F1407" s="8"/>
      <c r="G1407" s="8"/>
      <c r="H1407" s="17"/>
      <c r="I1407" s="17"/>
    </row>
    <row r="1408" spans="1:9">
      <c r="A1408" s="8"/>
      <c r="B1408" s="17"/>
      <c r="C1408" s="16"/>
      <c r="D1408" s="8"/>
      <c r="E1408" s="8"/>
      <c r="F1408" s="8"/>
      <c r="G1408" s="8"/>
      <c r="H1408" s="17"/>
      <c r="I1408" s="17"/>
    </row>
    <row r="1409" spans="1:9">
      <c r="A1409" s="8"/>
      <c r="B1409" s="17"/>
      <c r="C1409" s="16"/>
      <c r="D1409" s="8"/>
      <c r="E1409" s="8"/>
      <c r="F1409" s="8"/>
      <c r="G1409" s="8"/>
      <c r="H1409" s="17"/>
      <c r="I1409" s="17"/>
    </row>
    <row r="1410" spans="1:9">
      <c r="A1410" s="8"/>
      <c r="B1410" s="17"/>
      <c r="C1410" s="16"/>
      <c r="D1410" s="8"/>
      <c r="E1410" s="8"/>
      <c r="F1410" s="8"/>
      <c r="G1410" s="8"/>
      <c r="H1410" s="17"/>
      <c r="I1410" s="17"/>
    </row>
    <row r="1411" spans="1:9">
      <c r="A1411" s="8"/>
      <c r="B1411" s="17"/>
      <c r="C1411" s="16"/>
      <c r="D1411" s="8"/>
      <c r="E1411" s="8"/>
      <c r="F1411" s="8"/>
      <c r="G1411" s="8"/>
      <c r="H1411" s="17"/>
      <c r="I1411" s="17"/>
    </row>
    <row r="1412" spans="1:9">
      <c r="A1412" s="8"/>
      <c r="B1412" s="17"/>
      <c r="C1412" s="16"/>
      <c r="D1412" s="8"/>
      <c r="E1412" s="8"/>
      <c r="F1412" s="8"/>
      <c r="G1412" s="8"/>
      <c r="H1412" s="17"/>
      <c r="I1412" s="17"/>
    </row>
    <row r="1413" spans="1:9">
      <c r="A1413" s="8"/>
      <c r="B1413" s="17"/>
      <c r="C1413" s="16"/>
      <c r="D1413" s="8"/>
      <c r="E1413" s="8"/>
      <c r="F1413" s="8"/>
      <c r="G1413" s="8"/>
      <c r="H1413" s="17"/>
      <c r="I1413" s="17"/>
    </row>
    <row r="1414" spans="1:9">
      <c r="A1414" s="8"/>
      <c r="B1414" s="17"/>
      <c r="C1414" s="16"/>
      <c r="D1414" s="8"/>
      <c r="E1414" s="8"/>
      <c r="F1414" s="8"/>
      <c r="G1414" s="8"/>
      <c r="H1414" s="17"/>
      <c r="I1414" s="17"/>
    </row>
    <row r="1415" spans="1:9">
      <c r="A1415" s="8"/>
      <c r="B1415" s="17"/>
      <c r="C1415" s="16"/>
      <c r="D1415" s="8"/>
      <c r="E1415" s="8"/>
      <c r="F1415" s="8"/>
      <c r="G1415" s="8"/>
      <c r="H1415" s="17"/>
      <c r="I1415" s="17"/>
    </row>
    <row r="1416" spans="1:9">
      <c r="A1416" s="8"/>
      <c r="B1416" s="17"/>
      <c r="C1416" s="16"/>
      <c r="D1416" s="8"/>
      <c r="E1416" s="8"/>
      <c r="F1416" s="8"/>
      <c r="G1416" s="8"/>
      <c r="H1416" s="17"/>
      <c r="I1416" s="17"/>
    </row>
    <row r="1417" spans="1:9">
      <c r="A1417" s="8"/>
      <c r="B1417" s="17"/>
      <c r="C1417" s="16"/>
      <c r="D1417" s="8"/>
      <c r="E1417" s="8"/>
      <c r="F1417" s="8"/>
      <c r="G1417" s="8"/>
      <c r="H1417" s="17"/>
      <c r="I1417" s="17"/>
    </row>
    <row r="1418" spans="1:9">
      <c r="A1418" s="8"/>
      <c r="B1418" s="17"/>
      <c r="C1418" s="16"/>
      <c r="D1418" s="8"/>
      <c r="E1418" s="8"/>
      <c r="F1418" s="8"/>
      <c r="G1418" s="8"/>
      <c r="H1418" s="17"/>
      <c r="I1418" s="17"/>
    </row>
    <row r="1419" spans="1:9">
      <c r="A1419" s="8"/>
      <c r="B1419" s="17"/>
      <c r="C1419" s="16"/>
      <c r="D1419" s="8"/>
      <c r="E1419" s="8"/>
      <c r="F1419" s="8"/>
      <c r="G1419" s="8"/>
      <c r="H1419" s="17"/>
      <c r="I1419" s="17"/>
    </row>
    <row r="1420" spans="1:9">
      <c r="A1420" s="8"/>
      <c r="B1420" s="17"/>
      <c r="C1420" s="16"/>
      <c r="D1420" s="8"/>
      <c r="E1420" s="8"/>
      <c r="F1420" s="8"/>
      <c r="G1420" s="8"/>
      <c r="H1420" s="17"/>
      <c r="I1420" s="17"/>
    </row>
    <row r="1421" spans="1:9">
      <c r="A1421" s="8"/>
      <c r="B1421" s="17"/>
      <c r="C1421" s="16"/>
      <c r="D1421" s="8"/>
      <c r="E1421" s="8"/>
      <c r="F1421" s="8"/>
      <c r="G1421" s="8"/>
      <c r="H1421" s="17"/>
      <c r="I1421" s="17"/>
    </row>
    <row r="1422" spans="1:9">
      <c r="A1422" s="8"/>
      <c r="B1422" s="17"/>
      <c r="C1422" s="16"/>
      <c r="D1422" s="8"/>
      <c r="E1422" s="8"/>
      <c r="F1422" s="8"/>
      <c r="G1422" s="8"/>
      <c r="H1422" s="17"/>
      <c r="I1422" s="17"/>
    </row>
    <row r="1423" spans="1:9">
      <c r="A1423" s="8"/>
      <c r="B1423" s="17"/>
      <c r="C1423" s="16"/>
      <c r="D1423" s="8"/>
      <c r="E1423" s="8"/>
      <c r="F1423" s="8"/>
      <c r="G1423" s="8"/>
      <c r="H1423" s="17"/>
      <c r="I1423" s="17"/>
    </row>
    <row r="1424" spans="1:9">
      <c r="A1424" s="8"/>
      <c r="B1424" s="17"/>
      <c r="C1424" s="16"/>
      <c r="D1424" s="8"/>
      <c r="E1424" s="8"/>
      <c r="F1424" s="8"/>
      <c r="G1424" s="8"/>
      <c r="H1424" s="17"/>
      <c r="I1424" s="17"/>
    </row>
    <row r="1425" spans="1:9">
      <c r="A1425" s="8"/>
      <c r="B1425" s="17"/>
      <c r="C1425" s="16"/>
      <c r="D1425" s="8"/>
      <c r="E1425" s="8"/>
      <c r="F1425" s="8"/>
      <c r="G1425" s="8"/>
      <c r="H1425" s="17"/>
      <c r="I1425" s="17"/>
    </row>
    <row r="1426" spans="1:9">
      <c r="A1426" s="8"/>
      <c r="B1426" s="17"/>
      <c r="C1426" s="16"/>
      <c r="D1426" s="8"/>
      <c r="E1426" s="8"/>
      <c r="F1426" s="8"/>
      <c r="G1426" s="8"/>
      <c r="H1426" s="17"/>
      <c r="I1426" s="17"/>
    </row>
    <row r="1427" spans="1:9">
      <c r="A1427" s="8"/>
      <c r="B1427" s="17"/>
      <c r="C1427" s="16"/>
      <c r="D1427" s="8"/>
      <c r="E1427" s="8"/>
      <c r="F1427" s="8"/>
      <c r="G1427" s="8"/>
      <c r="H1427" s="17"/>
      <c r="I1427" s="17"/>
    </row>
    <row r="1428" spans="1:9">
      <c r="A1428" s="8"/>
      <c r="B1428" s="17"/>
      <c r="C1428" s="16"/>
      <c r="D1428" s="8"/>
      <c r="E1428" s="8"/>
      <c r="F1428" s="8"/>
      <c r="G1428" s="8"/>
      <c r="H1428" s="17"/>
      <c r="I1428" s="17"/>
    </row>
    <row r="1429" spans="1:9">
      <c r="A1429" s="8"/>
      <c r="B1429" s="17"/>
      <c r="C1429" s="16"/>
      <c r="D1429" s="8"/>
      <c r="E1429" s="8"/>
      <c r="F1429" s="8"/>
      <c r="G1429" s="8"/>
      <c r="H1429" s="17"/>
      <c r="I1429" s="17"/>
    </row>
    <row r="1430" spans="1:9">
      <c r="A1430" s="8"/>
      <c r="B1430" s="17"/>
      <c r="C1430" s="16"/>
      <c r="D1430" s="8"/>
      <c r="E1430" s="8"/>
      <c r="F1430" s="8"/>
      <c r="G1430" s="8"/>
      <c r="H1430" s="17"/>
      <c r="I1430" s="17"/>
    </row>
    <row r="1431" spans="1:9">
      <c r="A1431" s="8"/>
      <c r="B1431" s="17"/>
      <c r="C1431" s="16"/>
      <c r="D1431" s="8"/>
      <c r="E1431" s="8"/>
      <c r="F1431" s="8"/>
      <c r="G1431" s="8"/>
      <c r="H1431" s="17"/>
      <c r="I1431" s="17"/>
    </row>
    <row r="1432" spans="1:9">
      <c r="A1432" s="8"/>
      <c r="B1432" s="17"/>
      <c r="C1432" s="16"/>
      <c r="D1432" s="8"/>
      <c r="E1432" s="8"/>
      <c r="F1432" s="8"/>
      <c r="G1432" s="8"/>
      <c r="H1432" s="17"/>
      <c r="I1432" s="17"/>
    </row>
    <row r="1433" spans="1:9">
      <c r="A1433" s="8"/>
      <c r="B1433" s="17"/>
      <c r="C1433" s="16"/>
      <c r="D1433" s="8"/>
      <c r="E1433" s="8"/>
      <c r="F1433" s="8"/>
      <c r="G1433" s="8"/>
      <c r="H1433" s="17"/>
      <c r="I1433" s="17"/>
    </row>
    <row r="1434" spans="1:9">
      <c r="A1434" s="8"/>
      <c r="B1434" s="17"/>
      <c r="C1434" s="16"/>
      <c r="D1434" s="8"/>
      <c r="E1434" s="8"/>
      <c r="F1434" s="8"/>
      <c r="G1434" s="8"/>
      <c r="H1434" s="17"/>
      <c r="I1434" s="17"/>
    </row>
    <row r="1435" spans="1:9">
      <c r="A1435" s="8"/>
      <c r="B1435" s="17"/>
      <c r="C1435" s="16"/>
      <c r="D1435" s="8"/>
      <c r="E1435" s="8"/>
      <c r="F1435" s="8"/>
      <c r="G1435" s="8"/>
      <c r="H1435" s="17"/>
      <c r="I1435" s="17"/>
    </row>
    <row r="1436" spans="1:9">
      <c r="A1436" s="8"/>
      <c r="B1436" s="17"/>
      <c r="C1436" s="16"/>
      <c r="D1436" s="8"/>
      <c r="E1436" s="8"/>
      <c r="F1436" s="8"/>
      <c r="G1436" s="8"/>
      <c r="H1436" s="17"/>
      <c r="I1436" s="17"/>
    </row>
    <row r="1437" spans="1:9">
      <c r="A1437" s="8"/>
      <c r="B1437" s="17"/>
      <c r="C1437" s="16"/>
      <c r="D1437" s="8"/>
      <c r="E1437" s="8"/>
      <c r="F1437" s="8"/>
      <c r="G1437" s="8"/>
      <c r="H1437" s="17"/>
      <c r="I1437" s="17"/>
    </row>
    <row r="1438" spans="1:9">
      <c r="A1438" s="8"/>
      <c r="B1438" s="17"/>
      <c r="C1438" s="16"/>
      <c r="D1438" s="8"/>
      <c r="E1438" s="8"/>
      <c r="F1438" s="8"/>
      <c r="G1438" s="8"/>
      <c r="H1438" s="17"/>
      <c r="I1438" s="17"/>
    </row>
    <row r="1439" spans="1:9">
      <c r="A1439" s="8"/>
      <c r="B1439" s="17"/>
      <c r="C1439" s="16"/>
      <c r="D1439" s="8"/>
      <c r="E1439" s="8"/>
      <c r="F1439" s="8"/>
      <c r="G1439" s="8"/>
      <c r="H1439" s="17"/>
      <c r="I1439" s="17"/>
    </row>
    <row r="1440" spans="1:9">
      <c r="A1440" s="8"/>
      <c r="B1440" s="17"/>
      <c r="C1440" s="16"/>
      <c r="D1440" s="8"/>
      <c r="E1440" s="8"/>
      <c r="F1440" s="8"/>
      <c r="G1440" s="8"/>
      <c r="H1440" s="17"/>
      <c r="I1440" s="17"/>
    </row>
    <row r="1441" spans="1:9">
      <c r="A1441" s="8"/>
      <c r="B1441" s="17"/>
      <c r="C1441" s="16"/>
      <c r="D1441" s="8"/>
      <c r="E1441" s="8"/>
      <c r="F1441" s="8"/>
      <c r="G1441" s="8"/>
      <c r="H1441" s="17"/>
      <c r="I1441" s="17"/>
    </row>
    <row r="1442" spans="1:9">
      <c r="A1442" s="8"/>
      <c r="B1442" s="17"/>
      <c r="C1442" s="16"/>
      <c r="D1442" s="8"/>
      <c r="E1442" s="8"/>
      <c r="F1442" s="8"/>
      <c r="G1442" s="8"/>
      <c r="H1442" s="17"/>
      <c r="I1442" s="17"/>
    </row>
    <row r="1443" spans="1:9">
      <c r="A1443" s="8"/>
      <c r="B1443" s="17"/>
      <c r="C1443" s="16"/>
      <c r="D1443" s="8"/>
      <c r="E1443" s="8"/>
      <c r="F1443" s="8"/>
      <c r="G1443" s="8"/>
      <c r="H1443" s="17"/>
      <c r="I1443" s="17"/>
    </row>
    <row r="1444" spans="1:9">
      <c r="A1444" s="8"/>
      <c r="B1444" s="17"/>
      <c r="C1444" s="16"/>
      <c r="D1444" s="8"/>
      <c r="E1444" s="8"/>
      <c r="F1444" s="8"/>
      <c r="G1444" s="8"/>
      <c r="H1444" s="17"/>
      <c r="I1444" s="17"/>
    </row>
    <row r="1445" spans="1:9">
      <c r="A1445" s="8"/>
      <c r="B1445" s="17"/>
      <c r="C1445" s="16"/>
      <c r="D1445" s="8"/>
      <c r="E1445" s="8"/>
      <c r="F1445" s="8"/>
      <c r="G1445" s="8"/>
      <c r="H1445" s="17"/>
      <c r="I1445" s="17"/>
    </row>
    <row r="1446" spans="1:9">
      <c r="A1446" s="8"/>
      <c r="B1446" s="17"/>
      <c r="C1446" s="16"/>
      <c r="D1446" s="8"/>
      <c r="E1446" s="8"/>
      <c r="F1446" s="8"/>
      <c r="G1446" s="8"/>
      <c r="H1446" s="17"/>
      <c r="I1446" s="17"/>
    </row>
    <row r="1447" spans="1:9">
      <c r="A1447" s="8"/>
      <c r="B1447" s="17"/>
      <c r="C1447" s="16"/>
      <c r="D1447" s="8"/>
      <c r="E1447" s="8"/>
      <c r="F1447" s="8"/>
      <c r="G1447" s="8"/>
      <c r="H1447" s="17"/>
      <c r="I1447" s="17"/>
    </row>
    <row r="1448" spans="1:9">
      <c r="A1448" s="8"/>
      <c r="B1448" s="17"/>
      <c r="C1448" s="16"/>
      <c r="D1448" s="8"/>
      <c r="E1448" s="8"/>
      <c r="F1448" s="8"/>
      <c r="G1448" s="8"/>
      <c r="H1448" s="17"/>
      <c r="I1448" s="17"/>
    </row>
    <row r="1449" spans="1:9">
      <c r="A1449" s="8"/>
      <c r="B1449" s="17"/>
      <c r="C1449" s="16"/>
      <c r="D1449" s="8"/>
      <c r="E1449" s="8"/>
      <c r="F1449" s="8"/>
      <c r="G1449" s="8"/>
      <c r="H1449" s="17"/>
      <c r="I1449" s="17"/>
    </row>
    <row r="1450" spans="1:9">
      <c r="A1450" s="8"/>
      <c r="B1450" s="17"/>
      <c r="C1450" s="16"/>
      <c r="D1450" s="8"/>
      <c r="E1450" s="8"/>
      <c r="F1450" s="8"/>
      <c r="G1450" s="8"/>
      <c r="H1450" s="17"/>
      <c r="I1450" s="17"/>
    </row>
    <row r="1451" spans="1:9">
      <c r="A1451" s="8"/>
      <c r="B1451" s="17"/>
      <c r="C1451" s="16"/>
      <c r="D1451" s="8"/>
      <c r="E1451" s="8"/>
      <c r="F1451" s="8"/>
      <c r="G1451" s="8"/>
      <c r="H1451" s="17"/>
      <c r="I1451" s="17"/>
    </row>
    <row r="1452" spans="1:9">
      <c r="A1452" s="8"/>
      <c r="B1452" s="17"/>
      <c r="C1452" s="16"/>
      <c r="D1452" s="8"/>
      <c r="E1452" s="8"/>
      <c r="F1452" s="8"/>
      <c r="G1452" s="8"/>
      <c r="H1452" s="17"/>
      <c r="I1452" s="17"/>
    </row>
    <row r="1453" spans="1:9">
      <c r="A1453" s="8"/>
      <c r="B1453" s="17"/>
      <c r="C1453" s="16"/>
      <c r="D1453" s="8"/>
      <c r="E1453" s="8"/>
      <c r="F1453" s="8"/>
      <c r="G1453" s="8"/>
      <c r="H1453" s="17"/>
      <c r="I1453" s="17"/>
    </row>
    <row r="1454" spans="1:9">
      <c r="A1454" s="8"/>
      <c r="B1454" s="17"/>
      <c r="C1454" s="16"/>
      <c r="D1454" s="8"/>
      <c r="E1454" s="8"/>
      <c r="F1454" s="8"/>
      <c r="G1454" s="8"/>
      <c r="H1454" s="17"/>
      <c r="I1454" s="17"/>
    </row>
    <row r="1455" spans="1:9">
      <c r="A1455" s="8"/>
      <c r="B1455" s="17"/>
      <c r="C1455" s="16"/>
      <c r="D1455" s="8"/>
      <c r="E1455" s="8"/>
      <c r="F1455" s="8"/>
      <c r="G1455" s="8"/>
      <c r="H1455" s="17"/>
      <c r="I1455" s="17"/>
    </row>
    <row r="1456" spans="1:9">
      <c r="A1456" s="8"/>
      <c r="B1456" s="17"/>
      <c r="C1456" s="16"/>
      <c r="D1456" s="8"/>
      <c r="E1456" s="8"/>
      <c r="F1456" s="8"/>
      <c r="G1456" s="8"/>
      <c r="H1456" s="17"/>
      <c r="I1456" s="17"/>
    </row>
    <row r="1457" spans="1:9">
      <c r="A1457" s="8"/>
      <c r="B1457" s="17"/>
      <c r="C1457" s="16"/>
      <c r="D1457" s="8"/>
      <c r="E1457" s="8"/>
      <c r="F1457" s="8"/>
      <c r="G1457" s="8"/>
      <c r="H1457" s="17"/>
      <c r="I1457" s="17"/>
    </row>
    <row r="1458" spans="1:9">
      <c r="A1458" s="8"/>
      <c r="B1458" s="17"/>
      <c r="C1458" s="16"/>
      <c r="D1458" s="8"/>
      <c r="E1458" s="8"/>
      <c r="F1458" s="8"/>
      <c r="G1458" s="8"/>
      <c r="H1458" s="17"/>
      <c r="I1458" s="17"/>
    </row>
    <row r="1459" spans="1:9">
      <c r="A1459" s="8"/>
      <c r="B1459" s="17"/>
      <c r="C1459" s="16"/>
      <c r="D1459" s="8"/>
      <c r="E1459" s="8"/>
      <c r="F1459" s="8"/>
      <c r="G1459" s="8"/>
      <c r="H1459" s="17"/>
      <c r="I1459" s="17"/>
    </row>
    <row r="1460" spans="1:9">
      <c r="A1460" s="8"/>
      <c r="B1460" s="17"/>
      <c r="C1460" s="16"/>
      <c r="D1460" s="8"/>
      <c r="E1460" s="8"/>
      <c r="F1460" s="8"/>
      <c r="G1460" s="8"/>
      <c r="H1460" s="17"/>
      <c r="I1460" s="17"/>
    </row>
    <row r="1461" spans="1:9">
      <c r="A1461" s="8"/>
      <c r="B1461" s="17"/>
      <c r="C1461" s="16"/>
      <c r="D1461" s="8"/>
      <c r="E1461" s="8"/>
      <c r="F1461" s="8"/>
      <c r="G1461" s="8"/>
      <c r="H1461" s="17"/>
      <c r="I1461" s="17"/>
    </row>
    <row r="1462" spans="1:9">
      <c r="A1462" s="8"/>
      <c r="B1462" s="17"/>
      <c r="C1462" s="16"/>
      <c r="D1462" s="8"/>
      <c r="E1462" s="8"/>
      <c r="F1462" s="8"/>
      <c r="G1462" s="8"/>
      <c r="H1462" s="17"/>
      <c r="I1462" s="17"/>
    </row>
    <row r="1463" spans="1:9">
      <c r="A1463" s="8"/>
      <c r="B1463" s="17"/>
      <c r="C1463" s="16"/>
      <c r="D1463" s="8"/>
      <c r="E1463" s="8"/>
      <c r="F1463" s="8"/>
      <c r="G1463" s="8"/>
      <c r="H1463" s="17"/>
      <c r="I1463" s="17"/>
    </row>
    <row r="1464" spans="1:9">
      <c r="A1464" s="8"/>
      <c r="B1464" s="17"/>
      <c r="C1464" s="16"/>
      <c r="D1464" s="8"/>
      <c r="E1464" s="8"/>
      <c r="F1464" s="8"/>
      <c r="G1464" s="8"/>
      <c r="H1464" s="17"/>
      <c r="I1464" s="17"/>
    </row>
    <row r="1465" spans="1:9">
      <c r="A1465" s="8"/>
      <c r="B1465" s="17"/>
      <c r="C1465" s="16"/>
      <c r="D1465" s="8"/>
      <c r="E1465" s="8"/>
      <c r="F1465" s="8"/>
      <c r="G1465" s="8"/>
      <c r="H1465" s="17"/>
      <c r="I1465" s="17"/>
    </row>
    <row r="1466" spans="1:9">
      <c r="A1466" s="8"/>
      <c r="B1466" s="17"/>
      <c r="C1466" s="16"/>
      <c r="D1466" s="8"/>
      <c r="E1466" s="8"/>
      <c r="F1466" s="8"/>
      <c r="G1466" s="8"/>
      <c r="H1466" s="17"/>
      <c r="I1466" s="17"/>
    </row>
    <row r="1467" spans="1:9">
      <c r="A1467" s="8"/>
      <c r="B1467" s="17"/>
      <c r="C1467" s="16"/>
      <c r="D1467" s="8"/>
      <c r="E1467" s="8"/>
      <c r="F1467" s="8"/>
      <c r="G1467" s="8"/>
      <c r="H1467" s="17"/>
      <c r="I1467" s="17"/>
    </row>
    <row r="1468" spans="1:9">
      <c r="A1468" s="8"/>
      <c r="B1468" s="17"/>
      <c r="C1468" s="16"/>
      <c r="D1468" s="8"/>
      <c r="E1468" s="8"/>
      <c r="F1468" s="8"/>
      <c r="G1468" s="8"/>
      <c r="H1468" s="17"/>
      <c r="I1468" s="17"/>
    </row>
    <row r="1469" spans="1:9">
      <c r="A1469" s="8"/>
      <c r="B1469" s="17"/>
      <c r="C1469" s="16"/>
      <c r="D1469" s="8"/>
      <c r="E1469" s="8"/>
      <c r="F1469" s="8"/>
      <c r="G1469" s="8"/>
      <c r="H1469" s="17"/>
      <c r="I1469" s="17"/>
    </row>
    <row r="1470" spans="1:9">
      <c r="A1470" s="8"/>
      <c r="B1470" s="17"/>
      <c r="C1470" s="16"/>
      <c r="D1470" s="8"/>
      <c r="E1470" s="8"/>
      <c r="F1470" s="8"/>
      <c r="G1470" s="8"/>
      <c r="H1470" s="17"/>
      <c r="I1470" s="17"/>
    </row>
    <row r="1471" spans="1:9">
      <c r="A1471" s="8"/>
      <c r="B1471" s="17"/>
      <c r="C1471" s="16"/>
      <c r="D1471" s="8"/>
      <c r="E1471" s="8"/>
      <c r="F1471" s="8"/>
      <c r="G1471" s="8"/>
      <c r="H1471" s="17"/>
      <c r="I1471" s="17"/>
    </row>
    <row r="1472" spans="1:9">
      <c r="A1472" s="8"/>
      <c r="B1472" s="17"/>
      <c r="C1472" s="16"/>
      <c r="D1472" s="8"/>
      <c r="E1472" s="8"/>
      <c r="F1472" s="8"/>
      <c r="G1472" s="8"/>
      <c r="H1472" s="17"/>
      <c r="I1472" s="17"/>
    </row>
    <row r="1473" spans="1:9">
      <c r="A1473" s="8"/>
      <c r="B1473" s="17"/>
      <c r="C1473" s="16"/>
      <c r="D1473" s="8"/>
      <c r="E1473" s="8"/>
      <c r="F1473" s="8"/>
      <c r="G1473" s="8"/>
      <c r="H1473" s="17"/>
      <c r="I1473" s="17"/>
    </row>
    <row r="1474" spans="1:9">
      <c r="A1474" s="8"/>
      <c r="B1474" s="17"/>
      <c r="C1474" s="16"/>
      <c r="D1474" s="8"/>
      <c r="E1474" s="8"/>
      <c r="F1474" s="8"/>
      <c r="G1474" s="8"/>
      <c r="H1474" s="17"/>
      <c r="I1474" s="17"/>
    </row>
    <row r="1475" spans="1:9">
      <c r="A1475" s="8"/>
      <c r="B1475" s="17"/>
      <c r="C1475" s="16"/>
      <c r="D1475" s="8"/>
      <c r="E1475" s="8"/>
      <c r="F1475" s="8"/>
      <c r="G1475" s="8"/>
      <c r="H1475" s="17"/>
      <c r="I1475" s="17"/>
    </row>
    <row r="1476" spans="1:9">
      <c r="A1476" s="8"/>
      <c r="B1476" s="17"/>
      <c r="C1476" s="16"/>
      <c r="D1476" s="8"/>
      <c r="E1476" s="8"/>
      <c r="F1476" s="8"/>
      <c r="G1476" s="8"/>
      <c r="H1476" s="17"/>
      <c r="I1476" s="17"/>
    </row>
    <row r="1477" spans="1:9">
      <c r="A1477" s="8"/>
      <c r="B1477" s="17"/>
      <c r="C1477" s="16"/>
      <c r="D1477" s="8"/>
      <c r="E1477" s="8"/>
      <c r="F1477" s="8"/>
      <c r="G1477" s="8"/>
      <c r="H1477" s="17"/>
      <c r="I1477" s="17"/>
    </row>
    <row r="1478" spans="1:9">
      <c r="A1478" s="8"/>
      <c r="B1478" s="17"/>
      <c r="C1478" s="16"/>
      <c r="D1478" s="8"/>
      <c r="E1478" s="8"/>
      <c r="F1478" s="8"/>
      <c r="G1478" s="8"/>
      <c r="H1478" s="17"/>
      <c r="I1478" s="17"/>
    </row>
    <row r="1479" spans="1:9">
      <c r="A1479" s="8"/>
      <c r="B1479" s="17"/>
      <c r="C1479" s="16"/>
      <c r="D1479" s="8"/>
      <c r="E1479" s="8"/>
      <c r="F1479" s="8"/>
      <c r="G1479" s="8"/>
      <c r="H1479" s="17"/>
      <c r="I1479" s="17"/>
    </row>
    <row r="1480" spans="1:9">
      <c r="A1480" s="8"/>
      <c r="B1480" s="17"/>
      <c r="C1480" s="16"/>
      <c r="D1480" s="8"/>
      <c r="E1480" s="8"/>
      <c r="F1480" s="8"/>
      <c r="G1480" s="8"/>
      <c r="H1480" s="17"/>
      <c r="I1480" s="17"/>
    </row>
    <row r="1481" spans="1:9">
      <c r="A1481" s="8"/>
      <c r="B1481" s="17"/>
      <c r="C1481" s="16"/>
      <c r="D1481" s="8"/>
      <c r="E1481" s="8"/>
      <c r="F1481" s="8"/>
      <c r="G1481" s="8"/>
      <c r="H1481" s="17"/>
      <c r="I1481" s="17"/>
    </row>
    <row r="1482" spans="1:9">
      <c r="A1482" s="8"/>
      <c r="B1482" s="17"/>
      <c r="C1482" s="16"/>
      <c r="D1482" s="8"/>
      <c r="E1482" s="8"/>
      <c r="F1482" s="8"/>
      <c r="G1482" s="8"/>
      <c r="H1482" s="17"/>
      <c r="I1482" s="17"/>
    </row>
    <row r="1483" spans="1:9">
      <c r="A1483" s="8"/>
      <c r="B1483" s="17"/>
      <c r="C1483" s="16"/>
      <c r="D1483" s="8"/>
      <c r="E1483" s="8"/>
      <c r="F1483" s="8"/>
      <c r="G1483" s="8"/>
      <c r="H1483" s="17"/>
      <c r="I1483" s="17"/>
    </row>
    <row r="1484" spans="1:9">
      <c r="A1484" s="8"/>
      <c r="B1484" s="17"/>
      <c r="C1484" s="16"/>
      <c r="D1484" s="8"/>
      <c r="E1484" s="8"/>
      <c r="F1484" s="8"/>
      <c r="G1484" s="8"/>
      <c r="H1484" s="17"/>
      <c r="I1484" s="17"/>
    </row>
    <row r="1485" spans="1:9">
      <c r="A1485" s="8"/>
      <c r="B1485" s="17"/>
      <c r="C1485" s="16"/>
      <c r="D1485" s="8"/>
      <c r="E1485" s="8"/>
      <c r="F1485" s="8"/>
      <c r="G1485" s="8"/>
      <c r="H1485" s="17"/>
      <c r="I1485" s="17"/>
    </row>
    <row r="1486" spans="1:9">
      <c r="A1486" s="8"/>
      <c r="B1486" s="17"/>
      <c r="C1486" s="16"/>
      <c r="D1486" s="8"/>
      <c r="E1486" s="8"/>
      <c r="F1486" s="8"/>
      <c r="G1486" s="8"/>
      <c r="H1486" s="17"/>
      <c r="I1486" s="17"/>
    </row>
    <row r="1487" spans="1:9">
      <c r="A1487" s="8"/>
      <c r="B1487" s="17"/>
      <c r="C1487" s="16"/>
      <c r="D1487" s="8"/>
      <c r="E1487" s="8"/>
      <c r="F1487" s="8"/>
      <c r="G1487" s="8"/>
      <c r="H1487" s="17"/>
      <c r="I1487" s="17"/>
    </row>
    <row r="1488" spans="1:9">
      <c r="A1488" s="8"/>
      <c r="B1488" s="17"/>
      <c r="C1488" s="16"/>
      <c r="D1488" s="8"/>
      <c r="E1488" s="8"/>
      <c r="F1488" s="8"/>
      <c r="G1488" s="8"/>
      <c r="H1488" s="17"/>
      <c r="I1488" s="17"/>
    </row>
    <row r="1489" spans="1:9">
      <c r="A1489" s="8"/>
      <c r="B1489" s="17"/>
      <c r="C1489" s="16"/>
      <c r="D1489" s="8"/>
      <c r="E1489" s="8"/>
      <c r="F1489" s="8"/>
      <c r="G1489" s="8"/>
      <c r="H1489" s="17"/>
      <c r="I1489" s="17"/>
    </row>
    <row r="1490" spans="1:9">
      <c r="A1490" s="8"/>
      <c r="B1490" s="17"/>
      <c r="C1490" s="16"/>
      <c r="D1490" s="8"/>
      <c r="E1490" s="8"/>
      <c r="F1490" s="8"/>
      <c r="G1490" s="8"/>
      <c r="H1490" s="17"/>
      <c r="I1490" s="17"/>
    </row>
    <row r="1491" spans="1:9">
      <c r="A1491" s="8"/>
      <c r="B1491" s="17"/>
      <c r="C1491" s="16"/>
      <c r="D1491" s="8"/>
      <c r="E1491" s="8"/>
      <c r="F1491" s="8"/>
      <c r="G1491" s="8"/>
      <c r="H1491" s="17"/>
      <c r="I1491" s="17"/>
    </row>
    <row r="1492" spans="1:9">
      <c r="A1492" s="8"/>
      <c r="B1492" s="17"/>
      <c r="C1492" s="16"/>
      <c r="D1492" s="8"/>
      <c r="E1492" s="8"/>
      <c r="F1492" s="8"/>
      <c r="G1492" s="8"/>
      <c r="H1492" s="17"/>
      <c r="I1492" s="17"/>
    </row>
    <row r="1493" spans="1:9">
      <c r="A1493" s="8"/>
      <c r="B1493" s="17"/>
      <c r="C1493" s="16"/>
      <c r="D1493" s="8"/>
      <c r="E1493" s="8"/>
      <c r="F1493" s="8"/>
      <c r="G1493" s="8"/>
      <c r="H1493" s="17"/>
      <c r="I1493" s="17"/>
    </row>
    <row r="1494" spans="1:9">
      <c r="A1494" s="8"/>
      <c r="B1494" s="17"/>
      <c r="C1494" s="16"/>
      <c r="D1494" s="8"/>
      <c r="E1494" s="8"/>
      <c r="F1494" s="8"/>
      <c r="G1494" s="8"/>
      <c r="H1494" s="17"/>
      <c r="I1494" s="17"/>
    </row>
    <row r="1495" spans="1:9">
      <c r="A1495" s="8"/>
      <c r="B1495" s="17"/>
      <c r="C1495" s="16"/>
      <c r="D1495" s="8"/>
      <c r="E1495" s="8"/>
      <c r="F1495" s="8"/>
      <c r="G1495" s="8"/>
      <c r="H1495" s="17"/>
      <c r="I1495" s="17"/>
    </row>
    <row r="1496" spans="1:9">
      <c r="A1496" s="8"/>
      <c r="B1496" s="17"/>
      <c r="C1496" s="16"/>
      <c r="D1496" s="8"/>
      <c r="E1496" s="8"/>
      <c r="F1496" s="8"/>
      <c r="G1496" s="8"/>
      <c r="H1496" s="17"/>
      <c r="I1496" s="17"/>
    </row>
    <row r="1497" spans="1:9">
      <c r="A1497" s="8"/>
      <c r="B1497" s="17"/>
      <c r="C1497" s="16"/>
      <c r="D1497" s="8"/>
      <c r="E1497" s="8"/>
      <c r="F1497" s="8"/>
      <c r="G1497" s="8"/>
      <c r="H1497" s="17"/>
      <c r="I1497" s="17"/>
    </row>
    <row r="1498" spans="1:9">
      <c r="A1498" s="8"/>
      <c r="B1498" s="17"/>
      <c r="C1498" s="16"/>
      <c r="D1498" s="8"/>
      <c r="E1498" s="8"/>
      <c r="F1498" s="8"/>
      <c r="G1498" s="8"/>
      <c r="H1498" s="17"/>
      <c r="I1498" s="17"/>
    </row>
    <row r="1499" spans="1:9">
      <c r="A1499" s="8"/>
      <c r="B1499" s="17"/>
      <c r="C1499" s="16"/>
      <c r="D1499" s="8"/>
      <c r="E1499" s="8"/>
      <c r="F1499" s="8"/>
      <c r="G1499" s="8"/>
      <c r="H1499" s="17"/>
      <c r="I1499" s="17"/>
    </row>
    <row r="1500" spans="1:9">
      <c r="A1500" s="8"/>
      <c r="B1500" s="17"/>
      <c r="C1500" s="16"/>
      <c r="D1500" s="8"/>
      <c r="E1500" s="8"/>
      <c r="F1500" s="8"/>
      <c r="G1500" s="8"/>
      <c r="H1500" s="17"/>
      <c r="I1500" s="17"/>
    </row>
    <row r="1501" spans="1:9">
      <c r="A1501" s="8"/>
      <c r="B1501" s="17"/>
      <c r="C1501" s="16"/>
      <c r="D1501" s="8"/>
      <c r="E1501" s="8"/>
      <c r="F1501" s="8"/>
      <c r="G1501" s="8"/>
      <c r="H1501" s="17"/>
      <c r="I1501" s="17"/>
    </row>
    <row r="1502" spans="1:9">
      <c r="A1502" s="8"/>
      <c r="B1502" s="17"/>
      <c r="C1502" s="16"/>
      <c r="D1502" s="8"/>
      <c r="E1502" s="8"/>
      <c r="F1502" s="8"/>
      <c r="G1502" s="8"/>
      <c r="H1502" s="17"/>
      <c r="I1502" s="17"/>
    </row>
    <row r="1503" spans="1:9">
      <c r="A1503" s="8"/>
      <c r="B1503" s="17"/>
      <c r="C1503" s="16"/>
      <c r="D1503" s="8"/>
      <c r="E1503" s="8"/>
      <c r="F1503" s="8"/>
      <c r="G1503" s="8"/>
      <c r="H1503" s="17"/>
      <c r="I1503" s="17"/>
    </row>
    <row r="1504" spans="1:9">
      <c r="A1504" s="8"/>
      <c r="B1504" s="17"/>
      <c r="C1504" s="16"/>
      <c r="D1504" s="8"/>
      <c r="E1504" s="8"/>
      <c r="F1504" s="8"/>
      <c r="G1504" s="8"/>
      <c r="H1504" s="17"/>
      <c r="I1504" s="17"/>
    </row>
    <row r="1505" spans="1:9">
      <c r="A1505" s="8"/>
      <c r="B1505" s="17"/>
      <c r="C1505" s="16"/>
      <c r="D1505" s="8"/>
      <c r="E1505" s="8"/>
      <c r="F1505" s="8"/>
      <c r="G1505" s="8"/>
      <c r="H1505" s="17"/>
      <c r="I1505" s="17"/>
    </row>
    <row r="1506" spans="1:9">
      <c r="A1506" s="8"/>
      <c r="B1506" s="17"/>
      <c r="C1506" s="16"/>
      <c r="D1506" s="8"/>
      <c r="E1506" s="8"/>
      <c r="F1506" s="8"/>
      <c r="G1506" s="8"/>
      <c r="H1506" s="17"/>
      <c r="I1506" s="17"/>
    </row>
    <row r="1507" spans="1:9">
      <c r="A1507" s="8"/>
      <c r="B1507" s="17"/>
      <c r="C1507" s="16"/>
      <c r="D1507" s="8"/>
      <c r="E1507" s="8"/>
      <c r="F1507" s="8"/>
      <c r="G1507" s="8"/>
      <c r="H1507" s="17"/>
      <c r="I1507" s="17"/>
    </row>
    <row r="1508" spans="1:9">
      <c r="A1508" s="8"/>
      <c r="B1508" s="17"/>
      <c r="C1508" s="16"/>
      <c r="D1508" s="8"/>
      <c r="E1508" s="8"/>
      <c r="F1508" s="8"/>
      <c r="G1508" s="8"/>
      <c r="H1508" s="17"/>
      <c r="I1508" s="17"/>
    </row>
    <row r="1509" spans="1:9">
      <c r="A1509" s="8"/>
      <c r="B1509" s="17"/>
      <c r="C1509" s="16"/>
      <c r="D1509" s="8"/>
      <c r="E1509" s="8"/>
      <c r="F1509" s="8"/>
      <c r="G1509" s="8"/>
      <c r="H1509" s="17"/>
      <c r="I1509" s="17"/>
    </row>
    <row r="1510" spans="1:9">
      <c r="A1510" s="8"/>
      <c r="B1510" s="17"/>
      <c r="C1510" s="16"/>
      <c r="D1510" s="8"/>
      <c r="E1510" s="8"/>
      <c r="F1510" s="8"/>
      <c r="G1510" s="8"/>
      <c r="H1510" s="17"/>
      <c r="I1510" s="17"/>
    </row>
    <row r="1511" spans="1:9">
      <c r="A1511" s="8"/>
      <c r="B1511" s="17"/>
      <c r="C1511" s="16"/>
      <c r="D1511" s="8"/>
      <c r="E1511" s="8"/>
      <c r="F1511" s="8"/>
      <c r="G1511" s="8"/>
      <c r="H1511" s="17"/>
      <c r="I1511" s="17"/>
    </row>
    <row r="1512" spans="1:9">
      <c r="A1512" s="8"/>
      <c r="B1512" s="17"/>
      <c r="C1512" s="16"/>
      <c r="D1512" s="8"/>
      <c r="E1512" s="8"/>
      <c r="F1512" s="8"/>
      <c r="G1512" s="8"/>
      <c r="H1512" s="17"/>
      <c r="I1512" s="17"/>
    </row>
    <row r="1513" spans="1:9">
      <c r="A1513" s="8"/>
      <c r="B1513" s="17"/>
      <c r="C1513" s="16"/>
      <c r="D1513" s="8"/>
      <c r="E1513" s="8"/>
      <c r="F1513" s="8"/>
      <c r="G1513" s="8"/>
      <c r="H1513" s="17"/>
      <c r="I1513" s="17"/>
    </row>
    <row r="1514" spans="1:9">
      <c r="A1514" s="8"/>
      <c r="B1514" s="17"/>
      <c r="C1514" s="16"/>
      <c r="D1514" s="8"/>
      <c r="E1514" s="8"/>
      <c r="F1514" s="8"/>
      <c r="G1514" s="8"/>
      <c r="H1514" s="17"/>
      <c r="I1514" s="17"/>
    </row>
    <row r="1515" spans="1:9">
      <c r="A1515" s="8"/>
      <c r="B1515" s="17"/>
      <c r="C1515" s="16"/>
      <c r="D1515" s="8"/>
      <c r="E1515" s="8"/>
      <c r="F1515" s="8"/>
      <c r="G1515" s="8"/>
      <c r="H1515" s="17"/>
      <c r="I1515" s="17"/>
    </row>
    <row r="1516" spans="1:9">
      <c r="A1516" s="8"/>
      <c r="B1516" s="17"/>
      <c r="C1516" s="16"/>
      <c r="D1516" s="8"/>
      <c r="E1516" s="8"/>
      <c r="F1516" s="8"/>
      <c r="G1516" s="8"/>
      <c r="H1516" s="17"/>
      <c r="I1516" s="17"/>
    </row>
    <row r="1517" spans="1:9">
      <c r="A1517" s="8"/>
      <c r="B1517" s="17"/>
      <c r="C1517" s="16"/>
      <c r="D1517" s="8"/>
      <c r="E1517" s="8"/>
      <c r="F1517" s="8"/>
      <c r="G1517" s="8"/>
      <c r="H1517" s="17"/>
      <c r="I1517" s="17"/>
    </row>
    <row r="1518" spans="1:9">
      <c r="A1518" s="8"/>
      <c r="B1518" s="17"/>
      <c r="C1518" s="16"/>
      <c r="D1518" s="8"/>
      <c r="E1518" s="8"/>
      <c r="F1518" s="8"/>
      <c r="G1518" s="8"/>
      <c r="H1518" s="17"/>
      <c r="I1518" s="17"/>
    </row>
    <row r="1519" spans="1:9">
      <c r="A1519" s="8"/>
      <c r="B1519" s="17"/>
      <c r="C1519" s="16"/>
      <c r="D1519" s="8"/>
      <c r="E1519" s="8"/>
      <c r="F1519" s="8"/>
      <c r="G1519" s="8"/>
      <c r="H1519" s="17"/>
      <c r="I1519" s="17"/>
    </row>
    <row r="1520" spans="1:9">
      <c r="A1520" s="8"/>
      <c r="B1520" s="17"/>
      <c r="C1520" s="16"/>
      <c r="D1520" s="8"/>
      <c r="E1520" s="8"/>
      <c r="F1520" s="8"/>
      <c r="G1520" s="8"/>
      <c r="H1520" s="17"/>
      <c r="I1520" s="17"/>
    </row>
    <row r="1521" spans="1:9">
      <c r="A1521" s="8"/>
      <c r="B1521" s="17"/>
      <c r="C1521" s="16"/>
      <c r="D1521" s="8"/>
      <c r="E1521" s="8"/>
      <c r="F1521" s="8"/>
      <c r="G1521" s="8"/>
      <c r="H1521" s="17"/>
      <c r="I1521" s="17"/>
    </row>
    <row r="1522" spans="1:9">
      <c r="A1522" s="8"/>
      <c r="B1522" s="17"/>
      <c r="C1522" s="16"/>
      <c r="D1522" s="8"/>
      <c r="E1522" s="8"/>
      <c r="F1522" s="8"/>
      <c r="G1522" s="8"/>
      <c r="H1522" s="17"/>
      <c r="I1522" s="17"/>
    </row>
    <row r="1523" spans="1:9">
      <c r="A1523" s="8"/>
      <c r="B1523" s="17"/>
      <c r="C1523" s="16"/>
      <c r="D1523" s="8"/>
      <c r="E1523" s="8"/>
      <c r="F1523" s="8"/>
      <c r="G1523" s="8"/>
      <c r="H1523" s="17"/>
      <c r="I1523" s="17"/>
    </row>
    <row r="1524" spans="1:9">
      <c r="A1524" s="8"/>
      <c r="B1524" s="17"/>
      <c r="C1524" s="16"/>
      <c r="D1524" s="8"/>
      <c r="E1524" s="8"/>
      <c r="F1524" s="8"/>
      <c r="G1524" s="8"/>
      <c r="H1524" s="17"/>
      <c r="I1524" s="17"/>
    </row>
    <row r="1525" spans="1:9">
      <c r="A1525" s="8"/>
      <c r="B1525" s="17"/>
      <c r="C1525" s="16"/>
      <c r="D1525" s="8"/>
      <c r="E1525" s="8"/>
      <c r="F1525" s="8"/>
      <c r="G1525" s="8"/>
      <c r="H1525" s="17"/>
      <c r="I1525" s="17"/>
    </row>
    <row r="1526" spans="1:9">
      <c r="A1526" s="8"/>
      <c r="B1526" s="17"/>
      <c r="C1526" s="16"/>
      <c r="D1526" s="8"/>
      <c r="E1526" s="8"/>
      <c r="F1526" s="8"/>
      <c r="G1526" s="8"/>
      <c r="H1526" s="17"/>
      <c r="I1526" s="17"/>
    </row>
    <row r="1527" spans="1:9">
      <c r="A1527" s="8"/>
      <c r="B1527" s="17"/>
      <c r="C1527" s="16"/>
      <c r="D1527" s="8"/>
      <c r="E1527" s="8"/>
      <c r="F1527" s="8"/>
      <c r="G1527" s="8"/>
      <c r="H1527" s="17"/>
      <c r="I1527" s="17"/>
    </row>
    <row r="1528" spans="1:9">
      <c r="A1528" s="8"/>
      <c r="B1528" s="17"/>
      <c r="C1528" s="16"/>
      <c r="D1528" s="8"/>
      <c r="E1528" s="8"/>
      <c r="F1528" s="8"/>
      <c r="G1528" s="8"/>
      <c r="H1528" s="17"/>
      <c r="I1528" s="17"/>
    </row>
    <row r="1529" spans="1:9">
      <c r="A1529" s="8"/>
      <c r="B1529" s="17"/>
      <c r="C1529" s="16"/>
      <c r="D1529" s="8"/>
      <c r="E1529" s="8"/>
      <c r="F1529" s="8"/>
      <c r="G1529" s="8"/>
      <c r="H1529" s="17"/>
      <c r="I1529" s="17"/>
    </row>
    <row r="1530" spans="1:9">
      <c r="A1530" s="8"/>
      <c r="B1530" s="17"/>
      <c r="C1530" s="16"/>
      <c r="D1530" s="8"/>
      <c r="E1530" s="8"/>
      <c r="F1530" s="8"/>
      <c r="G1530" s="8"/>
      <c r="H1530" s="17"/>
      <c r="I1530" s="17"/>
    </row>
    <row r="1531" spans="1:9">
      <c r="A1531" s="8"/>
      <c r="B1531" s="17"/>
      <c r="C1531" s="16"/>
      <c r="D1531" s="8"/>
      <c r="E1531" s="8"/>
      <c r="F1531" s="8"/>
      <c r="G1531" s="8"/>
      <c r="H1531" s="17"/>
      <c r="I1531" s="17"/>
    </row>
    <row r="1532" spans="1:9">
      <c r="A1532" s="8"/>
      <c r="B1532" s="17"/>
      <c r="C1532" s="16"/>
      <c r="D1532" s="8"/>
      <c r="E1532" s="8"/>
      <c r="F1532" s="8"/>
      <c r="G1532" s="8"/>
      <c r="H1532" s="17"/>
      <c r="I1532" s="17"/>
    </row>
    <row r="1533" spans="1:9">
      <c r="A1533" s="8"/>
      <c r="B1533" s="17"/>
      <c r="C1533" s="16"/>
      <c r="D1533" s="8"/>
      <c r="E1533" s="8"/>
      <c r="F1533" s="8"/>
      <c r="G1533" s="8"/>
      <c r="H1533" s="17"/>
      <c r="I1533" s="17"/>
    </row>
    <row r="1534" spans="1:9">
      <c r="A1534" s="8"/>
      <c r="B1534" s="17"/>
      <c r="C1534" s="16"/>
      <c r="D1534" s="8"/>
      <c r="E1534" s="8"/>
      <c r="F1534" s="8"/>
      <c r="G1534" s="8"/>
      <c r="H1534" s="17"/>
      <c r="I1534" s="17"/>
    </row>
    <row r="1535" spans="1:9">
      <c r="A1535" s="8"/>
      <c r="B1535" s="17"/>
      <c r="C1535" s="16"/>
      <c r="D1535" s="8"/>
      <c r="E1535" s="8"/>
      <c r="F1535" s="8"/>
      <c r="G1535" s="8"/>
      <c r="H1535" s="17"/>
      <c r="I1535" s="17"/>
    </row>
    <row r="1536" spans="1:9">
      <c r="A1536" s="8"/>
      <c r="B1536" s="17"/>
      <c r="C1536" s="16"/>
      <c r="D1536" s="8"/>
      <c r="E1536" s="8"/>
      <c r="F1536" s="8"/>
      <c r="G1536" s="8"/>
      <c r="H1536" s="17"/>
      <c r="I1536" s="17"/>
    </row>
    <row r="1537" spans="1:9">
      <c r="A1537" s="8"/>
      <c r="B1537" s="17"/>
      <c r="C1537" s="16"/>
      <c r="D1537" s="8"/>
      <c r="E1537" s="8"/>
      <c r="F1537" s="8"/>
      <c r="G1537" s="8"/>
      <c r="H1537" s="17"/>
      <c r="I1537" s="17"/>
    </row>
    <row r="1538" spans="1:9">
      <c r="A1538" s="8"/>
      <c r="B1538" s="17"/>
      <c r="C1538" s="16"/>
      <c r="D1538" s="8"/>
      <c r="E1538" s="8"/>
      <c r="F1538" s="8"/>
      <c r="G1538" s="8"/>
      <c r="H1538" s="17"/>
      <c r="I1538" s="17"/>
    </row>
    <row r="1539" spans="1:9">
      <c r="A1539" s="8"/>
      <c r="B1539" s="17"/>
      <c r="C1539" s="16"/>
      <c r="D1539" s="8"/>
      <c r="E1539" s="8"/>
      <c r="F1539" s="8"/>
      <c r="G1539" s="8"/>
      <c r="H1539" s="17"/>
      <c r="I1539" s="17"/>
    </row>
    <row r="1540" spans="1:9">
      <c r="A1540" s="8"/>
      <c r="B1540" s="17"/>
      <c r="C1540" s="16"/>
      <c r="D1540" s="8"/>
      <c r="E1540" s="8"/>
      <c r="F1540" s="8"/>
      <c r="G1540" s="8"/>
      <c r="H1540" s="17"/>
      <c r="I1540" s="17"/>
    </row>
    <row r="1541" spans="1:9">
      <c r="A1541" s="8"/>
      <c r="B1541" s="17"/>
      <c r="C1541" s="16"/>
      <c r="D1541" s="8"/>
      <c r="E1541" s="8"/>
      <c r="F1541" s="8"/>
      <c r="G1541" s="8"/>
      <c r="H1541" s="17"/>
      <c r="I1541" s="17"/>
    </row>
    <row r="1542" spans="1:9">
      <c r="A1542" s="8"/>
      <c r="B1542" s="17"/>
      <c r="C1542" s="16"/>
      <c r="D1542" s="8"/>
      <c r="E1542" s="8"/>
      <c r="F1542" s="8"/>
      <c r="G1542" s="8"/>
      <c r="H1542" s="17"/>
      <c r="I1542" s="17"/>
    </row>
    <row r="1543" spans="1:9">
      <c r="A1543" s="8"/>
      <c r="B1543" s="17"/>
      <c r="C1543" s="16"/>
      <c r="D1543" s="8"/>
      <c r="E1543" s="8"/>
      <c r="F1543" s="8"/>
      <c r="G1543" s="8"/>
      <c r="H1543" s="17"/>
      <c r="I1543" s="17"/>
    </row>
    <row r="1544" spans="1:9">
      <c r="A1544" s="8"/>
      <c r="B1544" s="17"/>
      <c r="C1544" s="16"/>
      <c r="D1544" s="8"/>
      <c r="E1544" s="8"/>
      <c r="F1544" s="8"/>
      <c r="G1544" s="8"/>
      <c r="H1544" s="17"/>
      <c r="I1544" s="17"/>
    </row>
    <row r="1545" spans="1:9">
      <c r="A1545" s="8"/>
      <c r="B1545" s="17"/>
      <c r="C1545" s="16"/>
      <c r="D1545" s="8"/>
      <c r="E1545" s="8"/>
      <c r="F1545" s="8"/>
      <c r="G1545" s="8"/>
      <c r="H1545" s="17"/>
      <c r="I1545" s="17"/>
    </row>
    <row r="1546" spans="1:9">
      <c r="A1546" s="8"/>
      <c r="B1546" s="17"/>
      <c r="C1546" s="16"/>
      <c r="D1546" s="8"/>
      <c r="E1546" s="8"/>
      <c r="F1546" s="8"/>
      <c r="G1546" s="8"/>
      <c r="H1546" s="17"/>
      <c r="I1546" s="17"/>
    </row>
    <row r="1547" spans="1:9">
      <c r="A1547" s="8"/>
      <c r="B1547" s="17"/>
      <c r="C1547" s="16"/>
      <c r="D1547" s="8"/>
      <c r="E1547" s="8"/>
      <c r="F1547" s="8"/>
      <c r="G1547" s="8"/>
      <c r="H1547" s="17"/>
      <c r="I1547" s="17"/>
    </row>
    <row r="1548" spans="1:9">
      <c r="A1548" s="8"/>
      <c r="B1548" s="17"/>
      <c r="C1548" s="16"/>
      <c r="D1548" s="8"/>
      <c r="E1548" s="8"/>
      <c r="F1548" s="8"/>
      <c r="G1548" s="8"/>
      <c r="H1548" s="17"/>
      <c r="I1548" s="17"/>
    </row>
    <row r="1549" spans="1:9">
      <c r="A1549" s="8"/>
      <c r="B1549" s="17"/>
      <c r="C1549" s="16"/>
      <c r="D1549" s="8"/>
      <c r="E1549" s="8"/>
      <c r="F1549" s="8"/>
      <c r="G1549" s="8"/>
      <c r="H1549" s="17"/>
      <c r="I1549" s="17"/>
    </row>
    <row r="1550" spans="1:9">
      <c r="A1550" s="8"/>
      <c r="B1550" s="17"/>
      <c r="C1550" s="16"/>
      <c r="D1550" s="8"/>
      <c r="E1550" s="8"/>
      <c r="F1550" s="8"/>
      <c r="G1550" s="8"/>
      <c r="H1550" s="17"/>
      <c r="I1550" s="17"/>
    </row>
    <row r="1551" spans="1:9">
      <c r="A1551" s="8"/>
      <c r="B1551" s="17"/>
      <c r="C1551" s="16"/>
      <c r="D1551" s="8"/>
      <c r="E1551" s="8"/>
      <c r="F1551" s="8"/>
      <c r="G1551" s="8"/>
      <c r="H1551" s="17"/>
      <c r="I1551" s="17"/>
    </row>
    <row r="1552" spans="1:9">
      <c r="A1552" s="8"/>
      <c r="B1552" s="17"/>
      <c r="C1552" s="16"/>
      <c r="D1552" s="8"/>
      <c r="E1552" s="8"/>
      <c r="F1552" s="8"/>
      <c r="G1552" s="8"/>
      <c r="H1552" s="17"/>
      <c r="I1552" s="17"/>
    </row>
    <row r="1553" spans="1:9">
      <c r="A1553" s="8"/>
      <c r="B1553" s="17"/>
      <c r="C1553" s="16"/>
      <c r="D1553" s="8"/>
      <c r="E1553" s="8"/>
      <c r="F1553" s="8"/>
      <c r="G1553" s="8"/>
      <c r="H1553" s="17"/>
      <c r="I1553" s="17"/>
    </row>
    <row r="1554" spans="1:9">
      <c r="A1554" s="8"/>
      <c r="B1554" s="17"/>
      <c r="C1554" s="16"/>
      <c r="D1554" s="8"/>
      <c r="E1554" s="8"/>
      <c r="F1554" s="8"/>
      <c r="G1554" s="8"/>
      <c r="H1554" s="17"/>
      <c r="I1554" s="17"/>
    </row>
    <row r="1555" spans="1:9">
      <c r="A1555" s="8"/>
      <c r="B1555" s="17"/>
      <c r="C1555" s="16"/>
      <c r="D1555" s="8"/>
      <c r="E1555" s="8"/>
      <c r="F1555" s="8"/>
      <c r="G1555" s="8"/>
      <c r="H1555" s="17"/>
      <c r="I1555" s="17"/>
    </row>
    <row r="1556" spans="1:9">
      <c r="A1556" s="8"/>
      <c r="B1556" s="17"/>
      <c r="C1556" s="16"/>
      <c r="D1556" s="8"/>
      <c r="E1556" s="8"/>
      <c r="F1556" s="8"/>
      <c r="G1556" s="8"/>
      <c r="H1556" s="17"/>
      <c r="I1556" s="17"/>
    </row>
    <row r="1557" spans="1:9">
      <c r="A1557" s="8"/>
      <c r="B1557" s="17"/>
      <c r="C1557" s="16"/>
      <c r="D1557" s="8"/>
      <c r="E1557" s="8"/>
      <c r="F1557" s="8"/>
      <c r="G1557" s="8"/>
      <c r="H1557" s="17"/>
      <c r="I1557" s="17"/>
    </row>
    <row r="1558" spans="1:9">
      <c r="A1558" s="8"/>
      <c r="B1558" s="17"/>
      <c r="C1558" s="16"/>
      <c r="D1558" s="8"/>
      <c r="E1558" s="8"/>
      <c r="F1558" s="8"/>
      <c r="G1558" s="8"/>
      <c r="H1558" s="17"/>
      <c r="I1558" s="17"/>
    </row>
    <row r="1559" spans="1:9">
      <c r="A1559" s="8"/>
      <c r="B1559" s="17"/>
      <c r="C1559" s="16"/>
      <c r="D1559" s="8"/>
      <c r="E1559" s="8"/>
      <c r="F1559" s="8"/>
      <c r="G1559" s="8"/>
      <c r="H1559" s="17"/>
      <c r="I1559" s="17"/>
    </row>
    <row r="1560" spans="1:9">
      <c r="A1560" s="8"/>
      <c r="B1560" s="17"/>
      <c r="C1560" s="16"/>
      <c r="D1560" s="8"/>
      <c r="E1560" s="8"/>
      <c r="F1560" s="8"/>
      <c r="G1560" s="8"/>
      <c r="H1560" s="17"/>
      <c r="I1560" s="17"/>
    </row>
    <row r="1561" spans="1:9">
      <c r="A1561" s="8"/>
      <c r="B1561" s="17"/>
      <c r="C1561" s="16"/>
      <c r="D1561" s="8"/>
      <c r="E1561" s="8"/>
      <c r="F1561" s="8"/>
      <c r="G1561" s="8"/>
      <c r="H1561" s="17"/>
      <c r="I1561" s="17"/>
    </row>
    <row r="1562" spans="1:9">
      <c r="A1562" s="8"/>
      <c r="B1562" s="17"/>
      <c r="C1562" s="16"/>
      <c r="D1562" s="8"/>
      <c r="E1562" s="8"/>
      <c r="F1562" s="8"/>
      <c r="G1562" s="8"/>
      <c r="H1562" s="17"/>
      <c r="I1562" s="17"/>
    </row>
    <row r="1563" spans="1:9">
      <c r="A1563" s="8"/>
      <c r="B1563" s="17"/>
      <c r="C1563" s="16"/>
      <c r="D1563" s="8"/>
      <c r="E1563" s="8"/>
      <c r="F1563" s="8"/>
      <c r="G1563" s="8"/>
      <c r="H1563" s="17"/>
      <c r="I1563" s="17"/>
    </row>
    <row r="1564" spans="1:9">
      <c r="A1564" s="8"/>
      <c r="B1564" s="17"/>
      <c r="C1564" s="16"/>
      <c r="D1564" s="8"/>
      <c r="E1564" s="8"/>
      <c r="F1564" s="8"/>
      <c r="G1564" s="8"/>
      <c r="H1564" s="17"/>
      <c r="I1564" s="17"/>
    </row>
    <row r="1565" spans="1:9">
      <c r="A1565" s="8"/>
      <c r="B1565" s="17"/>
      <c r="C1565" s="16"/>
      <c r="D1565" s="8"/>
      <c r="E1565" s="8"/>
      <c r="F1565" s="8"/>
      <c r="G1565" s="8"/>
      <c r="H1565" s="17"/>
      <c r="I1565" s="17"/>
    </row>
    <row r="1566" spans="1:9">
      <c r="A1566" s="8"/>
      <c r="B1566" s="17"/>
      <c r="C1566" s="16"/>
      <c r="D1566" s="8"/>
      <c r="E1566" s="8"/>
      <c r="F1566" s="8"/>
      <c r="G1566" s="8"/>
      <c r="H1566" s="17"/>
      <c r="I1566" s="17"/>
    </row>
    <row r="1567" spans="1:9">
      <c r="A1567" s="8"/>
      <c r="B1567" s="17"/>
      <c r="C1567" s="16"/>
      <c r="D1567" s="8"/>
      <c r="E1567" s="8"/>
      <c r="F1567" s="8"/>
      <c r="G1567" s="8"/>
      <c r="H1567" s="17"/>
      <c r="I1567" s="17"/>
    </row>
    <row r="1568" spans="1:9">
      <c r="A1568" s="8"/>
      <c r="B1568" s="17"/>
      <c r="C1568" s="16"/>
      <c r="D1568" s="8"/>
      <c r="E1568" s="8"/>
      <c r="F1568" s="8"/>
      <c r="G1568" s="8"/>
      <c r="H1568" s="17"/>
      <c r="I1568" s="17"/>
    </row>
    <row r="1569" spans="1:9">
      <c r="A1569" s="8"/>
      <c r="B1569" s="17"/>
      <c r="C1569" s="16"/>
      <c r="D1569" s="8"/>
      <c r="E1569" s="8"/>
      <c r="F1569" s="8"/>
      <c r="G1569" s="8"/>
      <c r="H1569" s="17"/>
      <c r="I1569" s="17"/>
    </row>
    <row r="1570" spans="1:9">
      <c r="A1570" s="8"/>
      <c r="B1570" s="17"/>
      <c r="C1570" s="16"/>
      <c r="D1570" s="8"/>
      <c r="E1570" s="8"/>
      <c r="F1570" s="8"/>
      <c r="G1570" s="8"/>
      <c r="H1570" s="17"/>
      <c r="I1570" s="17"/>
    </row>
    <row r="1571" spans="1:9">
      <c r="A1571" s="8"/>
      <c r="B1571" s="17"/>
      <c r="C1571" s="16"/>
      <c r="D1571" s="8"/>
      <c r="E1571" s="8"/>
      <c r="F1571" s="8"/>
      <c r="G1571" s="8"/>
      <c r="H1571" s="17"/>
      <c r="I1571" s="17"/>
    </row>
    <row r="1572" spans="1:9">
      <c r="A1572" s="8"/>
      <c r="B1572" s="17"/>
      <c r="C1572" s="16"/>
      <c r="D1572" s="8"/>
      <c r="E1572" s="8"/>
      <c r="F1572" s="8"/>
      <c r="G1572" s="8"/>
      <c r="H1572" s="17"/>
      <c r="I1572" s="17"/>
    </row>
    <row r="1573" spans="1:9">
      <c r="A1573" s="8"/>
      <c r="B1573" s="17"/>
      <c r="C1573" s="16"/>
      <c r="D1573" s="8"/>
      <c r="E1573" s="8"/>
      <c r="F1573" s="8"/>
      <c r="G1573" s="8"/>
      <c r="H1573" s="17"/>
      <c r="I1573" s="17"/>
    </row>
    <row r="1574" spans="1:9">
      <c r="A1574" s="8"/>
      <c r="B1574" s="17"/>
      <c r="C1574" s="16"/>
      <c r="D1574" s="8"/>
      <c r="E1574" s="8"/>
      <c r="F1574" s="8"/>
      <c r="G1574" s="8"/>
      <c r="H1574" s="17"/>
      <c r="I1574" s="17"/>
    </row>
    <row r="1575" spans="1:9">
      <c r="A1575" s="8"/>
      <c r="B1575" s="17"/>
      <c r="C1575" s="16"/>
      <c r="D1575" s="8"/>
      <c r="E1575" s="8"/>
      <c r="F1575" s="8"/>
      <c r="G1575" s="8"/>
      <c r="H1575" s="17"/>
      <c r="I1575" s="17"/>
    </row>
    <row r="1576" spans="1:9">
      <c r="A1576" s="8"/>
      <c r="B1576" s="17"/>
      <c r="C1576" s="16"/>
      <c r="D1576" s="8"/>
      <c r="E1576" s="8"/>
      <c r="F1576" s="8"/>
      <c r="G1576" s="8"/>
      <c r="H1576" s="17"/>
      <c r="I1576" s="17"/>
    </row>
    <row r="1577" spans="1:9">
      <c r="A1577" s="8"/>
      <c r="B1577" s="17"/>
      <c r="C1577" s="16"/>
      <c r="D1577" s="8"/>
      <c r="E1577" s="8"/>
      <c r="F1577" s="8"/>
      <c r="G1577" s="8"/>
      <c r="H1577" s="17"/>
      <c r="I1577" s="17"/>
    </row>
    <row r="1578" spans="1:9">
      <c r="A1578" s="8"/>
      <c r="B1578" s="17"/>
      <c r="C1578" s="16"/>
      <c r="D1578" s="8"/>
      <c r="E1578" s="8"/>
      <c r="F1578" s="8"/>
      <c r="G1578" s="8"/>
      <c r="H1578" s="17"/>
      <c r="I1578" s="17"/>
    </row>
    <row r="1579" spans="1:9">
      <c r="A1579" s="8"/>
      <c r="B1579" s="17"/>
      <c r="C1579" s="16"/>
      <c r="D1579" s="8"/>
      <c r="E1579" s="8"/>
      <c r="F1579" s="8"/>
      <c r="G1579" s="8"/>
      <c r="H1579" s="17"/>
      <c r="I1579" s="17"/>
    </row>
    <row r="1580" spans="1:9">
      <c r="A1580" s="8"/>
      <c r="B1580" s="17"/>
      <c r="C1580" s="16"/>
      <c r="D1580" s="8"/>
      <c r="E1580" s="8"/>
      <c r="F1580" s="8"/>
      <c r="G1580" s="8"/>
      <c r="H1580" s="17"/>
      <c r="I1580" s="17"/>
    </row>
    <row r="1581" spans="1:9">
      <c r="A1581" s="8"/>
      <c r="B1581" s="17"/>
      <c r="C1581" s="16"/>
      <c r="D1581" s="8"/>
      <c r="E1581" s="8"/>
      <c r="F1581" s="8"/>
      <c r="G1581" s="8"/>
      <c r="H1581" s="17"/>
      <c r="I1581" s="17"/>
    </row>
    <row r="1582" spans="1:9">
      <c r="A1582" s="8"/>
      <c r="B1582" s="17"/>
      <c r="C1582" s="16"/>
      <c r="D1582" s="8"/>
      <c r="E1582" s="8"/>
      <c r="F1582" s="8"/>
      <c r="G1582" s="8"/>
      <c r="H1582" s="17"/>
      <c r="I1582" s="17"/>
    </row>
    <row r="1583" spans="1:9">
      <c r="A1583" s="8"/>
      <c r="B1583" s="17"/>
      <c r="C1583" s="16"/>
      <c r="D1583" s="8"/>
      <c r="E1583" s="8"/>
      <c r="F1583" s="8"/>
      <c r="G1583" s="8"/>
      <c r="H1583" s="17"/>
      <c r="I1583" s="17"/>
    </row>
    <row r="1584" spans="1:9">
      <c r="A1584" s="8"/>
      <c r="B1584" s="17"/>
      <c r="C1584" s="16"/>
      <c r="D1584" s="8"/>
      <c r="E1584" s="8"/>
      <c r="F1584" s="8"/>
      <c r="G1584" s="8"/>
      <c r="H1584" s="17"/>
      <c r="I1584" s="17"/>
    </row>
    <row r="1585" spans="1:9">
      <c r="A1585" s="8"/>
      <c r="B1585" s="17"/>
      <c r="C1585" s="16"/>
      <c r="D1585" s="8"/>
      <c r="E1585" s="8"/>
      <c r="F1585" s="8"/>
      <c r="G1585" s="8"/>
      <c r="H1585" s="17"/>
      <c r="I1585" s="17"/>
    </row>
    <row r="1586" spans="1:9">
      <c r="A1586" s="8"/>
      <c r="B1586" s="17"/>
      <c r="C1586" s="16"/>
      <c r="D1586" s="8"/>
      <c r="E1586" s="8"/>
      <c r="F1586" s="8"/>
      <c r="G1586" s="8"/>
      <c r="H1586" s="17"/>
      <c r="I1586" s="17"/>
    </row>
    <row r="1587" spans="1:9">
      <c r="A1587" s="8"/>
      <c r="B1587" s="17"/>
      <c r="C1587" s="16"/>
      <c r="D1587" s="8"/>
      <c r="E1587" s="8"/>
      <c r="F1587" s="8"/>
      <c r="G1587" s="8"/>
      <c r="H1587" s="17"/>
      <c r="I1587" s="17"/>
    </row>
    <row r="1588" spans="1:9">
      <c r="A1588" s="8"/>
      <c r="B1588" s="17"/>
      <c r="C1588" s="16"/>
      <c r="D1588" s="8"/>
      <c r="E1588" s="8"/>
      <c r="F1588" s="8"/>
      <c r="G1588" s="8"/>
      <c r="H1588" s="17"/>
      <c r="I1588" s="17"/>
    </row>
    <row r="1589" spans="1:9">
      <c r="A1589" s="8"/>
      <c r="B1589" s="17"/>
      <c r="C1589" s="16"/>
      <c r="D1589" s="8"/>
      <c r="E1589" s="8"/>
      <c r="F1589" s="8"/>
      <c r="G1589" s="8"/>
      <c r="H1589" s="17"/>
      <c r="I1589" s="17"/>
    </row>
    <row r="1590" spans="1:9">
      <c r="A1590" s="8"/>
      <c r="B1590" s="17"/>
      <c r="C1590" s="16"/>
      <c r="D1590" s="8"/>
      <c r="E1590" s="8"/>
      <c r="F1590" s="8"/>
      <c r="G1590" s="8"/>
      <c r="H1590" s="17"/>
      <c r="I1590" s="17"/>
    </row>
    <row r="1591" spans="1:9">
      <c r="A1591" s="8"/>
      <c r="B1591" s="17"/>
      <c r="C1591" s="16"/>
      <c r="D1591" s="8"/>
      <c r="E1591" s="8"/>
      <c r="F1591" s="8"/>
      <c r="G1591" s="8"/>
      <c r="H1591" s="17"/>
      <c r="I1591" s="17"/>
    </row>
    <row r="1592" spans="1:9">
      <c r="A1592" s="8"/>
      <c r="B1592" s="17"/>
      <c r="C1592" s="16"/>
      <c r="D1592" s="8"/>
      <c r="E1592" s="8"/>
      <c r="F1592" s="8"/>
      <c r="G1592" s="8"/>
      <c r="H1592" s="17"/>
      <c r="I1592" s="17"/>
    </row>
    <row r="1593" spans="1:9">
      <c r="A1593" s="8"/>
      <c r="B1593" s="17"/>
      <c r="C1593" s="16"/>
      <c r="D1593" s="8"/>
      <c r="E1593" s="8"/>
      <c r="F1593" s="8"/>
      <c r="G1593" s="8"/>
      <c r="H1593" s="17"/>
      <c r="I1593" s="17"/>
    </row>
    <row r="1594" spans="1:9">
      <c r="A1594" s="8"/>
      <c r="B1594" s="17"/>
      <c r="C1594" s="16"/>
      <c r="D1594" s="8"/>
      <c r="E1594" s="8"/>
      <c r="F1594" s="8"/>
      <c r="G1594" s="8"/>
      <c r="H1594" s="17"/>
      <c r="I1594" s="17"/>
    </row>
    <row r="1595" spans="1:9">
      <c r="A1595" s="8"/>
      <c r="B1595" s="17"/>
      <c r="C1595" s="16"/>
      <c r="D1595" s="8"/>
      <c r="E1595" s="8"/>
      <c r="F1595" s="8"/>
      <c r="G1595" s="8"/>
      <c r="H1595" s="17"/>
      <c r="I1595" s="17"/>
    </row>
    <row r="1596" spans="1:9">
      <c r="A1596" s="8"/>
      <c r="B1596" s="17"/>
      <c r="C1596" s="16"/>
      <c r="D1596" s="8"/>
      <c r="E1596" s="8"/>
      <c r="F1596" s="8"/>
      <c r="G1596" s="8"/>
      <c r="H1596" s="17"/>
      <c r="I1596" s="17"/>
    </row>
    <row r="1597" spans="1:9">
      <c r="A1597" s="8"/>
      <c r="B1597" s="17"/>
      <c r="C1597" s="16"/>
      <c r="D1597" s="8"/>
      <c r="E1597" s="8"/>
      <c r="F1597" s="8"/>
      <c r="G1597" s="8"/>
      <c r="H1597" s="17"/>
      <c r="I1597" s="17"/>
    </row>
    <row r="1598" spans="1:9">
      <c r="A1598" s="8"/>
      <c r="B1598" s="17"/>
      <c r="C1598" s="16"/>
      <c r="D1598" s="8"/>
      <c r="E1598" s="8"/>
      <c r="F1598" s="8"/>
      <c r="G1598" s="8"/>
      <c r="H1598" s="17"/>
      <c r="I1598" s="17"/>
    </row>
    <row r="1599" spans="1:9">
      <c r="A1599" s="8"/>
      <c r="B1599" s="17"/>
      <c r="C1599" s="16"/>
      <c r="D1599" s="8"/>
      <c r="E1599" s="8"/>
      <c r="F1599" s="8"/>
      <c r="G1599" s="8"/>
      <c r="H1599" s="17"/>
      <c r="I1599" s="17"/>
    </row>
    <row r="1600" spans="1:9">
      <c r="A1600" s="8"/>
      <c r="B1600" s="17"/>
      <c r="C1600" s="16"/>
      <c r="D1600" s="8"/>
      <c r="E1600" s="8"/>
      <c r="F1600" s="8"/>
      <c r="G1600" s="8"/>
      <c r="H1600" s="17"/>
      <c r="I1600" s="17"/>
    </row>
    <row r="1601" spans="1:9">
      <c r="A1601" s="8"/>
      <c r="B1601" s="17"/>
      <c r="C1601" s="16"/>
      <c r="D1601" s="8"/>
      <c r="E1601" s="8"/>
      <c r="F1601" s="8"/>
      <c r="G1601" s="8"/>
      <c r="H1601" s="17"/>
      <c r="I1601" s="17"/>
    </row>
    <row r="1602" spans="1:9">
      <c r="A1602" s="8"/>
      <c r="B1602" s="17"/>
      <c r="C1602" s="16"/>
      <c r="D1602" s="8"/>
      <c r="E1602" s="8"/>
      <c r="F1602" s="8"/>
      <c r="G1602" s="8"/>
      <c r="H1602" s="17"/>
      <c r="I1602" s="17"/>
    </row>
    <row r="1603" spans="1:9">
      <c r="A1603" s="8"/>
      <c r="B1603" s="17"/>
      <c r="C1603" s="16"/>
      <c r="D1603" s="8"/>
      <c r="E1603" s="8"/>
      <c r="F1603" s="8"/>
      <c r="G1603" s="8"/>
      <c r="H1603" s="17"/>
      <c r="I1603" s="17"/>
    </row>
    <row r="1604" spans="1:9">
      <c r="A1604" s="8"/>
      <c r="B1604" s="17"/>
      <c r="C1604" s="16"/>
      <c r="D1604" s="8"/>
      <c r="E1604" s="8"/>
      <c r="F1604" s="8"/>
      <c r="G1604" s="8"/>
      <c r="H1604" s="17"/>
      <c r="I1604" s="17"/>
    </row>
    <row r="1605" spans="1:9">
      <c r="A1605" s="8"/>
      <c r="B1605" s="17"/>
      <c r="C1605" s="16"/>
      <c r="D1605" s="8"/>
      <c r="E1605" s="8"/>
      <c r="F1605" s="8"/>
      <c r="G1605" s="8"/>
      <c r="H1605" s="17"/>
      <c r="I1605" s="17"/>
    </row>
    <row r="1606" spans="1:9">
      <c r="A1606" s="8"/>
      <c r="B1606" s="17"/>
      <c r="C1606" s="16"/>
      <c r="D1606" s="8"/>
      <c r="E1606" s="8"/>
      <c r="F1606" s="8"/>
      <c r="G1606" s="8"/>
      <c r="H1606" s="17"/>
      <c r="I1606" s="17"/>
    </row>
    <row r="1607" spans="1:9">
      <c r="A1607" s="8"/>
      <c r="B1607" s="17"/>
      <c r="C1607" s="16"/>
      <c r="D1607" s="8"/>
      <c r="E1607" s="8"/>
      <c r="F1607" s="8"/>
      <c r="G1607" s="8"/>
      <c r="H1607" s="17"/>
      <c r="I1607" s="17"/>
    </row>
    <row r="1608" spans="1:9">
      <c r="A1608" s="8"/>
      <c r="B1608" s="17"/>
      <c r="C1608" s="16"/>
      <c r="D1608" s="8"/>
      <c r="E1608" s="8"/>
      <c r="F1608" s="8"/>
      <c r="G1608" s="8"/>
      <c r="H1608" s="17"/>
      <c r="I1608" s="17"/>
    </row>
    <row r="1609" spans="1:9">
      <c r="A1609" s="8"/>
      <c r="B1609" s="17"/>
      <c r="C1609" s="16"/>
      <c r="D1609" s="8"/>
      <c r="E1609" s="8"/>
      <c r="F1609" s="8"/>
      <c r="G1609" s="8"/>
      <c r="H1609" s="17"/>
      <c r="I1609" s="17"/>
    </row>
    <row r="1610" spans="1:9">
      <c r="A1610" s="8"/>
      <c r="B1610" s="17"/>
      <c r="C1610" s="16"/>
      <c r="D1610" s="8"/>
      <c r="E1610" s="8"/>
      <c r="F1610" s="8"/>
      <c r="G1610" s="8"/>
      <c r="H1610" s="17"/>
      <c r="I1610" s="17"/>
    </row>
    <row r="1611" spans="1:9">
      <c r="A1611" s="8"/>
      <c r="B1611" s="17"/>
      <c r="C1611" s="16"/>
      <c r="D1611" s="8"/>
      <c r="E1611" s="8"/>
      <c r="F1611" s="8"/>
      <c r="G1611" s="8"/>
      <c r="H1611" s="17"/>
      <c r="I1611" s="17"/>
    </row>
    <row r="1612" spans="1:9">
      <c r="A1612" s="8"/>
      <c r="B1612" s="17"/>
      <c r="C1612" s="16"/>
      <c r="D1612" s="8"/>
      <c r="E1612" s="8"/>
      <c r="F1612" s="8"/>
      <c r="G1612" s="8"/>
      <c r="H1612" s="17"/>
      <c r="I1612" s="17"/>
    </row>
    <row r="1613" spans="1:9">
      <c r="A1613" s="8"/>
      <c r="B1613" s="17"/>
      <c r="C1613" s="16"/>
      <c r="D1613" s="8"/>
      <c r="E1613" s="8"/>
      <c r="F1613" s="8"/>
      <c r="G1613" s="8"/>
      <c r="H1613" s="17"/>
      <c r="I1613" s="17"/>
    </row>
    <row r="1614" spans="1:9">
      <c r="A1614" s="8"/>
      <c r="B1614" s="17"/>
      <c r="C1614" s="16"/>
      <c r="D1614" s="8"/>
      <c r="E1614" s="8"/>
      <c r="F1614" s="8"/>
      <c r="G1614" s="8"/>
      <c r="H1614" s="17"/>
      <c r="I1614" s="17"/>
    </row>
    <row r="1615" spans="1:9">
      <c r="A1615" s="8"/>
      <c r="B1615" s="17"/>
      <c r="C1615" s="16"/>
      <c r="D1615" s="8"/>
      <c r="E1615" s="8"/>
      <c r="F1615" s="8"/>
      <c r="G1615" s="8"/>
      <c r="H1615" s="17"/>
      <c r="I1615" s="17"/>
    </row>
    <row r="1616" spans="1:9">
      <c r="A1616" s="8"/>
      <c r="B1616" s="17"/>
      <c r="C1616" s="16"/>
      <c r="D1616" s="8"/>
      <c r="E1616" s="8"/>
      <c r="F1616" s="8"/>
      <c r="G1616" s="8"/>
      <c r="H1616" s="17"/>
      <c r="I1616" s="17"/>
    </row>
    <row r="1617" spans="1:9">
      <c r="A1617" s="8"/>
      <c r="B1617" s="17"/>
      <c r="C1617" s="16"/>
      <c r="D1617" s="8"/>
      <c r="E1617" s="8"/>
      <c r="F1617" s="8"/>
      <c r="G1617" s="8"/>
      <c r="H1617" s="17"/>
      <c r="I1617" s="17"/>
    </row>
    <row r="1618" spans="1:9">
      <c r="A1618" s="8"/>
      <c r="B1618" s="17"/>
      <c r="C1618" s="16"/>
      <c r="D1618" s="8"/>
      <c r="E1618" s="8"/>
      <c r="F1618" s="8"/>
      <c r="G1618" s="8"/>
      <c r="H1618" s="17"/>
      <c r="I1618" s="17"/>
    </row>
    <row r="1619" spans="1:9">
      <c r="A1619" s="8"/>
      <c r="B1619" s="17"/>
      <c r="C1619" s="16"/>
      <c r="D1619" s="8"/>
      <c r="E1619" s="8"/>
      <c r="F1619" s="8"/>
      <c r="G1619" s="8"/>
      <c r="H1619" s="17"/>
      <c r="I1619" s="17"/>
    </row>
    <row r="1620" spans="1:9">
      <c r="A1620" s="8"/>
      <c r="B1620" s="17"/>
      <c r="C1620" s="16"/>
      <c r="D1620" s="8"/>
      <c r="E1620" s="8"/>
      <c r="F1620" s="8"/>
      <c r="G1620" s="8"/>
      <c r="H1620" s="17"/>
      <c r="I1620" s="17"/>
    </row>
    <row r="1621" spans="1:9">
      <c r="A1621" s="8"/>
      <c r="B1621" s="17"/>
      <c r="C1621" s="16"/>
      <c r="D1621" s="8"/>
      <c r="E1621" s="8"/>
      <c r="F1621" s="8"/>
      <c r="G1621" s="8"/>
      <c r="H1621" s="17"/>
      <c r="I1621" s="17"/>
    </row>
    <row r="1622" spans="1:9">
      <c r="A1622" s="8"/>
      <c r="B1622" s="17"/>
      <c r="C1622" s="16"/>
      <c r="D1622" s="8"/>
      <c r="E1622" s="8"/>
      <c r="F1622" s="8"/>
      <c r="G1622" s="8"/>
      <c r="H1622" s="17"/>
      <c r="I1622" s="17"/>
    </row>
    <row r="1623" spans="1:9">
      <c r="A1623" s="8"/>
      <c r="B1623" s="17"/>
      <c r="C1623" s="16"/>
      <c r="D1623" s="8"/>
      <c r="E1623" s="8"/>
      <c r="F1623" s="8"/>
      <c r="G1623" s="8"/>
      <c r="H1623" s="17"/>
      <c r="I1623" s="17"/>
    </row>
    <row r="1624" spans="1:9">
      <c r="A1624" s="8"/>
      <c r="B1624" s="17"/>
      <c r="C1624" s="16"/>
      <c r="D1624" s="8"/>
      <c r="E1624" s="8"/>
      <c r="F1624" s="8"/>
      <c r="G1624" s="8"/>
      <c r="H1624" s="17"/>
      <c r="I1624" s="17"/>
    </row>
    <row r="1625" spans="1:9">
      <c r="A1625" s="8"/>
      <c r="B1625" s="17"/>
      <c r="C1625" s="16"/>
      <c r="D1625" s="8"/>
      <c r="E1625" s="8"/>
      <c r="F1625" s="8"/>
      <c r="G1625" s="8"/>
      <c r="H1625" s="17"/>
      <c r="I1625" s="17"/>
    </row>
    <row r="1626" spans="1:9">
      <c r="A1626" s="8"/>
      <c r="B1626" s="17"/>
      <c r="C1626" s="16"/>
      <c r="D1626" s="8"/>
      <c r="E1626" s="8"/>
      <c r="F1626" s="8"/>
      <c r="G1626" s="8"/>
      <c r="H1626" s="17"/>
      <c r="I1626" s="17"/>
    </row>
    <row r="1627" spans="1:9">
      <c r="A1627" s="8"/>
      <c r="B1627" s="17"/>
      <c r="C1627" s="16"/>
      <c r="D1627" s="8"/>
      <c r="E1627" s="8"/>
      <c r="F1627" s="8"/>
      <c r="G1627" s="8"/>
      <c r="H1627" s="17"/>
      <c r="I1627" s="17"/>
    </row>
    <row r="1628" spans="1:9">
      <c r="A1628" s="8"/>
      <c r="B1628" s="17"/>
      <c r="C1628" s="16"/>
      <c r="D1628" s="8"/>
      <c r="E1628" s="8"/>
      <c r="F1628" s="8"/>
      <c r="G1628" s="8"/>
      <c r="H1628" s="17"/>
      <c r="I1628" s="17"/>
    </row>
    <row r="1629" spans="1:9">
      <c r="A1629" s="8"/>
      <c r="B1629" s="17"/>
      <c r="C1629" s="16"/>
      <c r="D1629" s="8"/>
      <c r="E1629" s="8"/>
      <c r="F1629" s="8"/>
      <c r="G1629" s="8"/>
      <c r="H1629" s="17"/>
      <c r="I1629" s="17"/>
    </row>
    <row r="1630" spans="1:9">
      <c r="A1630" s="8"/>
      <c r="B1630" s="17"/>
      <c r="C1630" s="16"/>
      <c r="D1630" s="8"/>
      <c r="E1630" s="8"/>
      <c r="F1630" s="8"/>
      <c r="G1630" s="8"/>
      <c r="H1630" s="17"/>
      <c r="I1630" s="17"/>
    </row>
    <row r="1631" spans="1:9">
      <c r="A1631" s="8"/>
      <c r="B1631" s="17"/>
      <c r="C1631" s="16"/>
      <c r="D1631" s="8"/>
      <c r="E1631" s="8"/>
      <c r="F1631" s="8"/>
      <c r="G1631" s="8"/>
      <c r="H1631" s="17"/>
      <c r="I1631" s="17"/>
    </row>
    <row r="1632" spans="1:9">
      <c r="A1632" s="8"/>
      <c r="B1632" s="17"/>
      <c r="C1632" s="16"/>
      <c r="D1632" s="8"/>
      <c r="E1632" s="8"/>
      <c r="F1632" s="8"/>
      <c r="G1632" s="8"/>
      <c r="H1632" s="17"/>
      <c r="I1632" s="17"/>
    </row>
    <row r="1633" spans="1:9">
      <c r="A1633" s="8"/>
      <c r="B1633" s="17"/>
      <c r="C1633" s="16"/>
      <c r="D1633" s="8"/>
      <c r="E1633" s="8"/>
      <c r="F1633" s="8"/>
      <c r="G1633" s="8"/>
      <c r="H1633" s="17"/>
      <c r="I1633" s="17"/>
    </row>
    <row r="1634" spans="1:9">
      <c r="A1634" s="8"/>
      <c r="B1634" s="17"/>
      <c r="C1634" s="16"/>
      <c r="D1634" s="8"/>
      <c r="E1634" s="8"/>
      <c r="F1634" s="8"/>
      <c r="G1634" s="8"/>
      <c r="H1634" s="17"/>
      <c r="I1634" s="17"/>
    </row>
    <row r="1635" spans="1:9">
      <c r="A1635" s="8"/>
      <c r="B1635" s="17"/>
      <c r="C1635" s="16"/>
      <c r="D1635" s="8"/>
      <c r="E1635" s="8"/>
      <c r="F1635" s="8"/>
      <c r="G1635" s="8"/>
      <c r="H1635" s="17"/>
      <c r="I1635" s="17"/>
    </row>
    <row r="1636" spans="1:9">
      <c r="A1636" s="8"/>
      <c r="B1636" s="17"/>
      <c r="C1636" s="16"/>
      <c r="D1636" s="8"/>
      <c r="E1636" s="8"/>
      <c r="F1636" s="8"/>
      <c r="G1636" s="8"/>
      <c r="H1636" s="17"/>
      <c r="I1636" s="17"/>
    </row>
    <row r="1637" spans="1:9">
      <c r="A1637" s="8"/>
      <c r="B1637" s="17"/>
      <c r="C1637" s="16"/>
      <c r="D1637" s="8"/>
      <c r="E1637" s="8"/>
      <c r="F1637" s="8"/>
      <c r="G1637" s="8"/>
      <c r="H1637" s="17"/>
      <c r="I1637" s="17"/>
    </row>
    <row r="1638" spans="1:9">
      <c r="A1638" s="8"/>
      <c r="B1638" s="17"/>
      <c r="C1638" s="16"/>
      <c r="D1638" s="8"/>
      <c r="E1638" s="8"/>
      <c r="F1638" s="8"/>
      <c r="G1638" s="8"/>
      <c r="H1638" s="17"/>
      <c r="I1638" s="17"/>
    </row>
    <row r="1639" spans="1:9">
      <c r="A1639" s="8"/>
      <c r="B1639" s="17"/>
      <c r="C1639" s="16"/>
      <c r="D1639" s="8"/>
      <c r="E1639" s="8"/>
      <c r="F1639" s="8"/>
      <c r="G1639" s="8"/>
      <c r="H1639" s="17"/>
      <c r="I1639" s="17"/>
    </row>
    <row r="1640" spans="1:9">
      <c r="A1640" s="8"/>
      <c r="B1640" s="17"/>
      <c r="C1640" s="16"/>
      <c r="D1640" s="8"/>
      <c r="E1640" s="8"/>
      <c r="F1640" s="8"/>
      <c r="G1640" s="8"/>
      <c r="H1640" s="17"/>
      <c r="I1640" s="17"/>
    </row>
    <row r="1641" spans="1:9">
      <c r="A1641" s="8"/>
      <c r="B1641" s="17"/>
      <c r="C1641" s="16"/>
      <c r="D1641" s="8"/>
      <c r="E1641" s="8"/>
      <c r="F1641" s="8"/>
      <c r="G1641" s="8"/>
      <c r="H1641" s="17"/>
      <c r="I1641" s="17"/>
    </row>
    <row r="1642" spans="1:9">
      <c r="A1642" s="8"/>
      <c r="B1642" s="17"/>
      <c r="C1642" s="16"/>
      <c r="D1642" s="8"/>
      <c r="E1642" s="8"/>
      <c r="F1642" s="8"/>
      <c r="G1642" s="8"/>
      <c r="H1642" s="17"/>
      <c r="I1642" s="17"/>
    </row>
    <row r="1643" spans="1:9">
      <c r="A1643" s="8"/>
      <c r="B1643" s="17"/>
      <c r="C1643" s="16"/>
      <c r="D1643" s="8"/>
      <c r="E1643" s="8"/>
      <c r="F1643" s="8"/>
      <c r="G1643" s="8"/>
      <c r="H1643" s="17"/>
      <c r="I1643" s="17"/>
    </row>
    <row r="1644" spans="1:9">
      <c r="A1644" s="8"/>
      <c r="B1644" s="17"/>
      <c r="C1644" s="16"/>
      <c r="D1644" s="8"/>
      <c r="E1644" s="8"/>
      <c r="F1644" s="8"/>
      <c r="G1644" s="8"/>
      <c r="H1644" s="17"/>
      <c r="I1644" s="17"/>
    </row>
    <row r="1645" spans="1:9">
      <c r="A1645" s="8"/>
      <c r="B1645" s="17"/>
      <c r="C1645" s="16"/>
      <c r="D1645" s="8"/>
      <c r="E1645" s="8"/>
      <c r="F1645" s="8"/>
      <c r="G1645" s="8"/>
      <c r="H1645" s="17"/>
      <c r="I1645" s="17"/>
    </row>
    <row r="1646" spans="1:9">
      <c r="A1646" s="8"/>
      <c r="B1646" s="17"/>
      <c r="C1646" s="16"/>
      <c r="D1646" s="8"/>
      <c r="E1646" s="8"/>
      <c r="F1646" s="8"/>
      <c r="G1646" s="8"/>
      <c r="H1646" s="17"/>
      <c r="I1646" s="17"/>
    </row>
    <row r="1647" spans="1:9">
      <c r="A1647" s="8"/>
      <c r="B1647" s="17"/>
      <c r="C1647" s="16"/>
      <c r="D1647" s="8"/>
      <c r="E1647" s="8"/>
      <c r="F1647" s="8"/>
      <c r="G1647" s="8"/>
      <c r="H1647" s="17"/>
      <c r="I1647" s="17"/>
    </row>
    <row r="1648" spans="1:9">
      <c r="A1648" s="8"/>
      <c r="B1648" s="17"/>
      <c r="C1648" s="16"/>
      <c r="D1648" s="8"/>
      <c r="E1648" s="8"/>
      <c r="F1648" s="8"/>
      <c r="G1648" s="8"/>
      <c r="H1648" s="17"/>
      <c r="I1648" s="17"/>
    </row>
    <row r="1649" spans="1:9">
      <c r="A1649" s="8"/>
      <c r="B1649" s="17"/>
      <c r="C1649" s="16"/>
      <c r="D1649" s="8"/>
      <c r="E1649" s="8"/>
      <c r="F1649" s="8"/>
      <c r="G1649" s="8"/>
      <c r="H1649" s="17"/>
      <c r="I1649" s="17"/>
    </row>
    <row r="1650" spans="1:9">
      <c r="A1650" s="8"/>
      <c r="B1650" s="17"/>
      <c r="C1650" s="16"/>
      <c r="D1650" s="8"/>
      <c r="E1650" s="8"/>
      <c r="F1650" s="8"/>
      <c r="G1650" s="8"/>
      <c r="H1650" s="17"/>
      <c r="I1650" s="17"/>
    </row>
    <row r="1651" spans="1:9">
      <c r="A1651" s="8"/>
      <c r="B1651" s="17"/>
      <c r="C1651" s="16"/>
      <c r="D1651" s="8"/>
      <c r="E1651" s="8"/>
      <c r="F1651" s="8"/>
      <c r="G1651" s="8"/>
      <c r="H1651" s="17"/>
      <c r="I1651" s="17"/>
    </row>
    <row r="1652" spans="1:9">
      <c r="A1652" s="8"/>
      <c r="B1652" s="17"/>
      <c r="C1652" s="16"/>
      <c r="D1652" s="8"/>
      <c r="E1652" s="8"/>
      <c r="F1652" s="8"/>
      <c r="G1652" s="8"/>
      <c r="H1652" s="17"/>
      <c r="I1652" s="17"/>
    </row>
    <row r="1653" spans="1:9">
      <c r="A1653" s="8"/>
      <c r="B1653" s="17"/>
      <c r="C1653" s="16"/>
      <c r="D1653" s="8"/>
      <c r="E1653" s="8"/>
      <c r="F1653" s="8"/>
      <c r="G1653" s="8"/>
      <c r="H1653" s="17"/>
      <c r="I1653" s="17"/>
    </row>
    <row r="1654" spans="1:9">
      <c r="A1654" s="8"/>
      <c r="B1654" s="17"/>
      <c r="C1654" s="16"/>
      <c r="D1654" s="8"/>
      <c r="E1654" s="8"/>
      <c r="F1654" s="8"/>
      <c r="G1654" s="8"/>
      <c r="H1654" s="17"/>
      <c r="I1654" s="17"/>
    </row>
    <row r="1655" spans="1:9">
      <c r="A1655" s="8"/>
      <c r="B1655" s="17"/>
      <c r="C1655" s="16"/>
      <c r="D1655" s="8"/>
      <c r="E1655" s="8"/>
      <c r="F1655" s="8"/>
      <c r="G1655" s="8"/>
      <c r="H1655" s="17"/>
      <c r="I1655" s="17"/>
    </row>
    <row r="1656" spans="1:9">
      <c r="A1656" s="8"/>
      <c r="B1656" s="17"/>
      <c r="C1656" s="16"/>
      <c r="D1656" s="8"/>
      <c r="E1656" s="8"/>
      <c r="F1656" s="8"/>
      <c r="G1656" s="8"/>
      <c r="H1656" s="17"/>
      <c r="I1656" s="17"/>
    </row>
    <row r="1657" spans="1:9">
      <c r="A1657" s="8"/>
      <c r="B1657" s="17"/>
      <c r="C1657" s="16"/>
      <c r="D1657" s="8"/>
      <c r="E1657" s="8"/>
      <c r="F1657" s="8"/>
      <c r="G1657" s="8"/>
      <c r="H1657" s="17"/>
      <c r="I1657" s="17"/>
    </row>
    <row r="1658" spans="1:9">
      <c r="A1658" s="8"/>
      <c r="B1658" s="17"/>
      <c r="C1658" s="16"/>
      <c r="D1658" s="8"/>
      <c r="E1658" s="8"/>
      <c r="F1658" s="8"/>
      <c r="G1658" s="8"/>
      <c r="H1658" s="17"/>
      <c r="I1658" s="17"/>
    </row>
    <row r="1659" spans="1:9">
      <c r="A1659" s="8"/>
      <c r="B1659" s="17"/>
      <c r="C1659" s="16"/>
      <c r="D1659" s="8"/>
      <c r="E1659" s="8"/>
      <c r="F1659" s="8"/>
      <c r="G1659" s="8"/>
      <c r="H1659" s="17"/>
      <c r="I1659" s="17"/>
    </row>
    <row r="1660" spans="1:9">
      <c r="A1660" s="8"/>
      <c r="B1660" s="17"/>
      <c r="C1660" s="16"/>
      <c r="D1660" s="8"/>
      <c r="E1660" s="8"/>
      <c r="F1660" s="8"/>
      <c r="G1660" s="8"/>
      <c r="H1660" s="17"/>
      <c r="I1660" s="17"/>
    </row>
    <row r="1661" spans="1:9">
      <c r="A1661" s="8"/>
      <c r="B1661" s="17"/>
      <c r="C1661" s="16"/>
      <c r="D1661" s="8"/>
      <c r="E1661" s="8"/>
      <c r="F1661" s="8"/>
      <c r="G1661" s="8"/>
      <c r="H1661" s="17"/>
      <c r="I1661" s="17"/>
    </row>
    <row r="1662" spans="1:9">
      <c r="A1662" s="8"/>
      <c r="B1662" s="17"/>
      <c r="C1662" s="16"/>
      <c r="D1662" s="8"/>
      <c r="E1662" s="8"/>
      <c r="F1662" s="8"/>
      <c r="G1662" s="8"/>
      <c r="H1662" s="17"/>
      <c r="I1662" s="17"/>
    </row>
    <row r="1663" spans="1:9">
      <c r="A1663" s="8"/>
      <c r="B1663" s="17"/>
      <c r="C1663" s="16"/>
      <c r="D1663" s="8"/>
      <c r="E1663" s="8"/>
      <c r="F1663" s="8"/>
      <c r="G1663" s="8"/>
      <c r="H1663" s="17"/>
      <c r="I1663" s="17"/>
    </row>
    <row r="1664" spans="1:9">
      <c r="A1664" s="8"/>
      <c r="B1664" s="17"/>
      <c r="C1664" s="16"/>
      <c r="D1664" s="8"/>
      <c r="E1664" s="8"/>
      <c r="F1664" s="8"/>
      <c r="G1664" s="8"/>
      <c r="H1664" s="17"/>
      <c r="I1664" s="17"/>
    </row>
    <row r="1665" spans="1:9">
      <c r="A1665" s="8"/>
      <c r="B1665" s="17"/>
      <c r="C1665" s="16"/>
      <c r="D1665" s="8"/>
      <c r="E1665" s="8"/>
      <c r="F1665" s="8"/>
      <c r="G1665" s="8"/>
      <c r="H1665" s="17"/>
      <c r="I1665" s="17"/>
    </row>
    <row r="1666" spans="1:9">
      <c r="A1666" s="8"/>
      <c r="B1666" s="17"/>
      <c r="C1666" s="16"/>
      <c r="D1666" s="8"/>
      <c r="E1666" s="8"/>
      <c r="F1666" s="8"/>
      <c r="G1666" s="8"/>
      <c r="H1666" s="17"/>
      <c r="I1666" s="17"/>
    </row>
    <row r="1667" spans="1:9">
      <c r="A1667" s="8"/>
      <c r="B1667" s="17"/>
      <c r="C1667" s="16"/>
      <c r="D1667" s="8"/>
      <c r="E1667" s="8"/>
      <c r="F1667" s="8"/>
      <c r="G1667" s="8"/>
      <c r="H1667" s="17"/>
      <c r="I1667" s="17"/>
    </row>
    <row r="1668" spans="1:9">
      <c r="A1668" s="8"/>
      <c r="B1668" s="17"/>
      <c r="C1668" s="16"/>
      <c r="D1668" s="8"/>
      <c r="E1668" s="8"/>
      <c r="F1668" s="8"/>
      <c r="G1668" s="8"/>
      <c r="H1668" s="17"/>
      <c r="I1668" s="17"/>
    </row>
    <row r="1669" spans="1:9">
      <c r="A1669" s="8"/>
      <c r="B1669" s="17"/>
      <c r="C1669" s="16"/>
      <c r="D1669" s="8"/>
      <c r="E1669" s="8"/>
      <c r="F1669" s="8"/>
      <c r="G1669" s="8"/>
      <c r="H1669" s="17"/>
      <c r="I1669" s="17"/>
    </row>
    <row r="1670" spans="1:9">
      <c r="A1670" s="8"/>
      <c r="B1670" s="17"/>
      <c r="C1670" s="16"/>
      <c r="D1670" s="8"/>
      <c r="E1670" s="8"/>
      <c r="F1670" s="8"/>
      <c r="G1670" s="8"/>
      <c r="H1670" s="17"/>
      <c r="I1670" s="17"/>
    </row>
    <row r="1671" spans="1:9">
      <c r="A1671" s="8"/>
      <c r="B1671" s="17"/>
      <c r="C1671" s="16"/>
      <c r="D1671" s="8"/>
      <c r="E1671" s="8"/>
      <c r="F1671" s="8"/>
      <c r="G1671" s="8"/>
      <c r="H1671" s="17"/>
      <c r="I1671" s="17"/>
    </row>
    <row r="1672" spans="1:9">
      <c r="A1672" s="8"/>
      <c r="B1672" s="17"/>
      <c r="C1672" s="16"/>
      <c r="D1672" s="8"/>
      <c r="E1672" s="8"/>
      <c r="F1672" s="8"/>
      <c r="G1672" s="8"/>
      <c r="H1672" s="17"/>
      <c r="I1672" s="17"/>
    </row>
    <row r="1673" spans="1:9">
      <c r="A1673" s="8"/>
      <c r="B1673" s="17"/>
      <c r="C1673" s="16"/>
      <c r="D1673" s="8"/>
      <c r="E1673" s="8"/>
      <c r="F1673" s="8"/>
      <c r="G1673" s="8"/>
      <c r="H1673" s="17"/>
      <c r="I1673" s="17"/>
    </row>
    <row r="1674" spans="1:9">
      <c r="A1674" s="8"/>
      <c r="B1674" s="17"/>
      <c r="C1674" s="16"/>
      <c r="D1674" s="8"/>
      <c r="E1674" s="8"/>
      <c r="F1674" s="8"/>
      <c r="G1674" s="8"/>
      <c r="H1674" s="17"/>
      <c r="I1674" s="17"/>
    </row>
    <row r="1675" spans="1:9">
      <c r="A1675" s="8"/>
      <c r="B1675" s="17"/>
      <c r="C1675" s="16"/>
      <c r="D1675" s="8"/>
      <c r="E1675" s="8"/>
      <c r="F1675" s="8"/>
      <c r="G1675" s="8"/>
      <c r="H1675" s="17"/>
      <c r="I1675" s="17"/>
    </row>
    <row r="1676" spans="1:9">
      <c r="A1676" s="8"/>
      <c r="B1676" s="17"/>
      <c r="C1676" s="16"/>
      <c r="D1676" s="8"/>
      <c r="E1676" s="8"/>
      <c r="F1676" s="8"/>
      <c r="G1676" s="8"/>
      <c r="H1676" s="17"/>
      <c r="I1676" s="17"/>
    </row>
    <row r="1677" spans="1:9">
      <c r="A1677" s="8"/>
      <c r="B1677" s="17"/>
      <c r="C1677" s="16"/>
      <c r="D1677" s="8"/>
      <c r="E1677" s="8"/>
      <c r="F1677" s="8"/>
      <c r="G1677" s="8"/>
      <c r="H1677" s="17"/>
      <c r="I1677" s="17"/>
    </row>
    <row r="1678" spans="1:9">
      <c r="A1678" s="8"/>
      <c r="B1678" s="17"/>
      <c r="C1678" s="16"/>
      <c r="D1678" s="8"/>
      <c r="E1678" s="8"/>
      <c r="F1678" s="8"/>
      <c r="G1678" s="8"/>
      <c r="H1678" s="17"/>
      <c r="I1678" s="17"/>
    </row>
    <row r="1679" spans="1:9">
      <c r="A1679" s="8"/>
      <c r="B1679" s="17"/>
      <c r="C1679" s="16"/>
      <c r="D1679" s="8"/>
      <c r="E1679" s="8"/>
      <c r="F1679" s="8"/>
      <c r="G1679" s="8"/>
      <c r="H1679" s="17"/>
      <c r="I1679" s="17"/>
    </row>
    <row r="1680" spans="1:9">
      <c r="A1680" s="8"/>
      <c r="B1680" s="17"/>
      <c r="C1680" s="16"/>
      <c r="D1680" s="8"/>
      <c r="E1680" s="8"/>
      <c r="F1680" s="8"/>
      <c r="G1680" s="8"/>
      <c r="H1680" s="17"/>
      <c r="I1680" s="17"/>
    </row>
    <row r="1681" spans="1:9">
      <c r="A1681" s="8"/>
      <c r="B1681" s="17"/>
      <c r="C1681" s="16"/>
      <c r="D1681" s="8"/>
      <c r="E1681" s="8"/>
      <c r="F1681" s="8"/>
      <c r="G1681" s="8"/>
      <c r="H1681" s="17"/>
      <c r="I1681" s="17"/>
    </row>
    <row r="1682" spans="1:9">
      <c r="A1682" s="8"/>
      <c r="B1682" s="17"/>
      <c r="C1682" s="16"/>
      <c r="D1682" s="8"/>
      <c r="E1682" s="8"/>
      <c r="F1682" s="8"/>
      <c r="G1682" s="8"/>
      <c r="H1682" s="17"/>
      <c r="I1682" s="17"/>
    </row>
    <row r="1683" spans="1:9">
      <c r="A1683" s="8"/>
      <c r="B1683" s="17"/>
      <c r="C1683" s="16"/>
      <c r="D1683" s="8"/>
      <c r="E1683" s="8"/>
      <c r="F1683" s="8"/>
      <c r="G1683" s="8"/>
      <c r="H1683" s="17"/>
      <c r="I1683" s="17"/>
    </row>
    <row r="1684" spans="1:9">
      <c r="A1684" s="8"/>
      <c r="B1684" s="17"/>
      <c r="C1684" s="16"/>
      <c r="D1684" s="8"/>
      <c r="E1684" s="8"/>
      <c r="F1684" s="8"/>
      <c r="G1684" s="8"/>
      <c r="H1684" s="17"/>
      <c r="I1684" s="17"/>
    </row>
    <row r="1685" spans="1:9">
      <c r="A1685" s="8"/>
      <c r="B1685" s="17"/>
      <c r="C1685" s="16"/>
      <c r="D1685" s="8"/>
      <c r="E1685" s="8"/>
      <c r="F1685" s="8"/>
      <c r="G1685" s="8"/>
      <c r="H1685" s="17"/>
      <c r="I1685" s="17"/>
    </row>
    <row r="1686" spans="1:9">
      <c r="A1686" s="8"/>
      <c r="B1686" s="17"/>
      <c r="C1686" s="16"/>
      <c r="D1686" s="8"/>
      <c r="E1686" s="8"/>
      <c r="F1686" s="8"/>
      <c r="G1686" s="8"/>
      <c r="H1686" s="17"/>
      <c r="I1686" s="17"/>
    </row>
    <row r="1687" spans="1:9">
      <c r="A1687" s="8"/>
      <c r="B1687" s="17"/>
      <c r="C1687" s="16"/>
      <c r="D1687" s="8"/>
      <c r="E1687" s="8"/>
      <c r="F1687" s="8"/>
      <c r="G1687" s="8"/>
      <c r="H1687" s="17"/>
      <c r="I1687" s="17"/>
    </row>
    <row r="1688" spans="1:9">
      <c r="A1688" s="8"/>
      <c r="B1688" s="17"/>
      <c r="C1688" s="16"/>
      <c r="D1688" s="8"/>
      <c r="E1688" s="8"/>
      <c r="F1688" s="8"/>
      <c r="G1688" s="8"/>
      <c r="H1688" s="17"/>
      <c r="I1688" s="17"/>
    </row>
    <row r="1689" spans="1:9">
      <c r="A1689" s="8"/>
      <c r="B1689" s="17"/>
      <c r="C1689" s="16"/>
      <c r="D1689" s="8"/>
      <c r="E1689" s="8"/>
      <c r="F1689" s="8"/>
      <c r="G1689" s="8"/>
      <c r="H1689" s="17"/>
      <c r="I1689" s="17"/>
    </row>
    <row r="1690" spans="1:9">
      <c r="A1690" s="8"/>
      <c r="B1690" s="17"/>
      <c r="C1690" s="16"/>
      <c r="D1690" s="8"/>
      <c r="E1690" s="8"/>
      <c r="F1690" s="8"/>
      <c r="G1690" s="8"/>
      <c r="H1690" s="17"/>
      <c r="I1690" s="17"/>
    </row>
    <row r="1691" spans="1:9">
      <c r="A1691" s="8"/>
      <c r="B1691" s="17"/>
      <c r="C1691" s="16"/>
      <c r="D1691" s="8"/>
      <c r="E1691" s="8"/>
      <c r="F1691" s="8"/>
      <c r="G1691" s="8"/>
      <c r="H1691" s="17"/>
      <c r="I1691" s="17"/>
    </row>
    <row r="1692" spans="1:9">
      <c r="A1692" s="8"/>
      <c r="B1692" s="17"/>
      <c r="C1692" s="16"/>
      <c r="D1692" s="8"/>
      <c r="E1692" s="8"/>
      <c r="F1692" s="8"/>
      <c r="G1692" s="8"/>
      <c r="H1692" s="17"/>
      <c r="I1692" s="17"/>
    </row>
    <row r="1693" spans="1:9">
      <c r="A1693" s="8"/>
      <c r="B1693" s="17"/>
      <c r="C1693" s="16"/>
      <c r="D1693" s="8"/>
      <c r="E1693" s="8"/>
      <c r="F1693" s="8"/>
      <c r="G1693" s="8"/>
      <c r="H1693" s="17"/>
      <c r="I1693" s="17"/>
    </row>
    <row r="1694" spans="1:9">
      <c r="A1694" s="8"/>
      <c r="B1694" s="17"/>
      <c r="C1694" s="16"/>
      <c r="D1694" s="8"/>
      <c r="E1694" s="8"/>
      <c r="F1694" s="8"/>
      <c r="G1694" s="8"/>
      <c r="H1694" s="17"/>
      <c r="I1694" s="17"/>
    </row>
    <row r="1695" spans="1:9">
      <c r="A1695" s="8"/>
      <c r="B1695" s="17"/>
      <c r="C1695" s="16"/>
      <c r="D1695" s="8"/>
      <c r="E1695" s="8"/>
      <c r="F1695" s="8"/>
      <c r="G1695" s="8"/>
      <c r="H1695" s="17"/>
      <c r="I1695" s="17"/>
    </row>
    <row r="1696" spans="1:9">
      <c r="A1696" s="8"/>
      <c r="B1696" s="17"/>
      <c r="C1696" s="16"/>
      <c r="D1696" s="8"/>
      <c r="E1696" s="8"/>
      <c r="F1696" s="8"/>
      <c r="G1696" s="8"/>
      <c r="H1696" s="17"/>
      <c r="I1696" s="17"/>
    </row>
    <row r="1697" spans="1:9">
      <c r="A1697" s="8"/>
      <c r="B1697" s="17"/>
      <c r="C1697" s="16"/>
      <c r="D1697" s="8"/>
      <c r="E1697" s="8"/>
      <c r="F1697" s="8"/>
      <c r="G1697" s="8"/>
      <c r="H1697" s="17"/>
      <c r="I1697" s="17"/>
    </row>
    <row r="1698" spans="1:9">
      <c r="A1698" s="8"/>
      <c r="B1698" s="17"/>
      <c r="C1698" s="16"/>
      <c r="D1698" s="8"/>
      <c r="E1698" s="8"/>
      <c r="F1698" s="8"/>
      <c r="G1698" s="8"/>
      <c r="H1698" s="17"/>
      <c r="I1698" s="17"/>
    </row>
    <row r="1699" spans="1:9">
      <c r="A1699" s="8"/>
      <c r="B1699" s="17"/>
      <c r="C1699" s="16"/>
      <c r="D1699" s="8"/>
      <c r="E1699" s="8"/>
      <c r="F1699" s="8"/>
      <c r="G1699" s="8"/>
      <c r="H1699" s="17"/>
      <c r="I1699" s="17"/>
    </row>
    <row r="1700" spans="1:9">
      <c r="A1700" s="8"/>
      <c r="B1700" s="17"/>
      <c r="C1700" s="16"/>
      <c r="D1700" s="8"/>
      <c r="E1700" s="8"/>
      <c r="F1700" s="8"/>
      <c r="G1700" s="8"/>
      <c r="H1700" s="17"/>
      <c r="I1700" s="17"/>
    </row>
    <row r="1701" spans="1:9">
      <c r="A1701" s="8"/>
      <c r="B1701" s="17"/>
      <c r="C1701" s="16"/>
      <c r="D1701" s="8"/>
      <c r="E1701" s="8"/>
      <c r="F1701" s="8"/>
      <c r="G1701" s="8"/>
      <c r="H1701" s="17"/>
      <c r="I1701" s="17"/>
    </row>
    <row r="1702" spans="1:9">
      <c r="A1702" s="8"/>
      <c r="B1702" s="17"/>
      <c r="C1702" s="16"/>
      <c r="D1702" s="8"/>
      <c r="E1702" s="8"/>
      <c r="F1702" s="8"/>
      <c r="G1702" s="8"/>
      <c r="H1702" s="17"/>
      <c r="I1702" s="17"/>
    </row>
    <row r="1703" spans="1:9">
      <c r="A1703" s="8"/>
      <c r="B1703" s="17"/>
      <c r="C1703" s="16"/>
      <c r="D1703" s="8"/>
      <c r="E1703" s="8"/>
      <c r="F1703" s="8"/>
      <c r="G1703" s="8"/>
      <c r="H1703" s="17"/>
      <c r="I1703" s="17"/>
    </row>
    <row r="1704" spans="1:9">
      <c r="A1704" s="8"/>
      <c r="B1704" s="17"/>
      <c r="C1704" s="16"/>
      <c r="D1704" s="8"/>
      <c r="E1704" s="8"/>
      <c r="F1704" s="8"/>
      <c r="G1704" s="8"/>
      <c r="H1704" s="17"/>
      <c r="I1704" s="17"/>
    </row>
    <row r="1705" spans="1:9">
      <c r="A1705" s="8"/>
      <c r="B1705" s="17"/>
      <c r="C1705" s="16"/>
      <c r="D1705" s="8"/>
      <c r="E1705" s="8"/>
      <c r="F1705" s="8"/>
      <c r="G1705" s="8"/>
      <c r="H1705" s="17"/>
      <c r="I1705" s="17"/>
    </row>
    <row r="1706" spans="1:9">
      <c r="A1706" s="8"/>
      <c r="B1706" s="17"/>
      <c r="C1706" s="16"/>
      <c r="D1706" s="8"/>
      <c r="E1706" s="8"/>
      <c r="F1706" s="8"/>
      <c r="G1706" s="8"/>
      <c r="H1706" s="17"/>
      <c r="I1706" s="17"/>
    </row>
    <row r="1707" spans="1:9">
      <c r="A1707" s="8"/>
      <c r="B1707" s="17"/>
      <c r="C1707" s="16"/>
      <c r="D1707" s="8"/>
      <c r="E1707" s="8"/>
      <c r="F1707" s="8"/>
      <c r="G1707" s="8"/>
      <c r="H1707" s="17"/>
      <c r="I1707" s="17"/>
    </row>
    <row r="1708" spans="1:9">
      <c r="A1708" s="8"/>
      <c r="B1708" s="17"/>
      <c r="C1708" s="16"/>
      <c r="D1708" s="8"/>
      <c r="E1708" s="8"/>
      <c r="F1708" s="8"/>
      <c r="G1708" s="8"/>
      <c r="H1708" s="17"/>
      <c r="I1708" s="17"/>
    </row>
    <row r="1709" spans="1:9">
      <c r="A1709" s="8"/>
      <c r="B1709" s="17"/>
      <c r="C1709" s="16"/>
      <c r="D1709" s="8"/>
      <c r="E1709" s="8"/>
      <c r="F1709" s="8"/>
      <c r="G1709" s="8"/>
      <c r="H1709" s="17"/>
      <c r="I1709" s="17"/>
    </row>
    <row r="1710" spans="1:9">
      <c r="A1710" s="8"/>
      <c r="B1710" s="17"/>
      <c r="C1710" s="16"/>
      <c r="D1710" s="8"/>
      <c r="E1710" s="8"/>
      <c r="F1710" s="8"/>
      <c r="G1710" s="8"/>
      <c r="H1710" s="17"/>
      <c r="I1710" s="17"/>
    </row>
    <row r="1711" spans="1:9">
      <c r="A1711" s="8"/>
      <c r="B1711" s="17"/>
      <c r="C1711" s="16"/>
      <c r="D1711" s="8"/>
      <c r="E1711" s="8"/>
      <c r="F1711" s="8"/>
      <c r="G1711" s="8"/>
      <c r="H1711" s="17"/>
      <c r="I1711" s="17"/>
    </row>
    <row r="1712" spans="1:9">
      <c r="A1712" s="8"/>
      <c r="B1712" s="17"/>
      <c r="C1712" s="16"/>
      <c r="D1712" s="8"/>
      <c r="E1712" s="8"/>
      <c r="F1712" s="8"/>
      <c r="G1712" s="8"/>
      <c r="H1712" s="17"/>
      <c r="I1712" s="17"/>
    </row>
    <row r="1713" spans="1:9">
      <c r="A1713" s="8"/>
      <c r="B1713" s="17"/>
      <c r="C1713" s="16"/>
      <c r="D1713" s="8"/>
      <c r="E1713" s="8"/>
      <c r="F1713" s="8"/>
      <c r="G1713" s="8"/>
      <c r="H1713" s="17"/>
      <c r="I1713" s="17"/>
    </row>
    <row r="1714" spans="1:9">
      <c r="A1714" s="8"/>
      <c r="B1714" s="17"/>
      <c r="C1714" s="16"/>
      <c r="D1714" s="8"/>
      <c r="E1714" s="8"/>
      <c r="F1714" s="8"/>
      <c r="G1714" s="8"/>
      <c r="H1714" s="17"/>
      <c r="I1714" s="17"/>
    </row>
    <row r="1715" spans="1:9">
      <c r="A1715" s="8"/>
      <c r="B1715" s="17"/>
      <c r="C1715" s="16"/>
      <c r="D1715" s="8"/>
      <c r="E1715" s="8"/>
      <c r="F1715" s="8"/>
      <c r="G1715" s="8"/>
      <c r="H1715" s="17"/>
      <c r="I1715" s="17"/>
    </row>
    <row r="1716" spans="1:9">
      <c r="A1716" s="8"/>
      <c r="B1716" s="17"/>
      <c r="C1716" s="16"/>
      <c r="D1716" s="8"/>
      <c r="E1716" s="8"/>
      <c r="F1716" s="8"/>
      <c r="G1716" s="8"/>
      <c r="H1716" s="17"/>
      <c r="I1716" s="17"/>
    </row>
    <row r="1717" spans="1:9">
      <c r="A1717" s="8"/>
      <c r="B1717" s="17"/>
      <c r="C1717" s="16"/>
      <c r="D1717" s="8"/>
      <c r="E1717" s="8"/>
      <c r="F1717" s="8"/>
      <c r="G1717" s="8"/>
      <c r="H1717" s="17"/>
      <c r="I1717" s="17"/>
    </row>
    <row r="1718" spans="1:9">
      <c r="A1718" s="8"/>
      <c r="B1718" s="17"/>
      <c r="C1718" s="16"/>
      <c r="D1718" s="8"/>
      <c r="E1718" s="8"/>
      <c r="F1718" s="8"/>
      <c r="G1718" s="8"/>
      <c r="H1718" s="17"/>
      <c r="I1718" s="17"/>
    </row>
    <row r="1719" spans="1:9">
      <c r="A1719" s="8"/>
      <c r="B1719" s="17"/>
      <c r="C1719" s="16"/>
      <c r="D1719" s="8"/>
      <c r="E1719" s="8"/>
      <c r="F1719" s="8"/>
      <c r="G1719" s="8"/>
      <c r="H1719" s="17"/>
      <c r="I1719" s="17"/>
    </row>
    <row r="1720" spans="1:9">
      <c r="A1720" s="8"/>
      <c r="B1720" s="17"/>
      <c r="C1720" s="16"/>
      <c r="D1720" s="8"/>
      <c r="E1720" s="8"/>
      <c r="F1720" s="8"/>
      <c r="G1720" s="8"/>
      <c r="H1720" s="17"/>
      <c r="I1720" s="17"/>
    </row>
    <row r="1721" spans="1:9">
      <c r="A1721" s="8"/>
      <c r="B1721" s="17"/>
      <c r="C1721" s="16"/>
      <c r="D1721" s="8"/>
      <c r="E1721" s="8"/>
      <c r="F1721" s="8"/>
      <c r="G1721" s="8"/>
      <c r="H1721" s="17"/>
      <c r="I1721" s="17"/>
    </row>
    <row r="1722" spans="1:9">
      <c r="A1722" s="8"/>
      <c r="B1722" s="17"/>
      <c r="C1722" s="16"/>
      <c r="D1722" s="8"/>
      <c r="E1722" s="8"/>
      <c r="F1722" s="8"/>
      <c r="G1722" s="8"/>
      <c r="H1722" s="17"/>
      <c r="I1722" s="17"/>
    </row>
    <row r="1723" spans="1:9">
      <c r="A1723" s="8"/>
      <c r="B1723" s="17"/>
      <c r="C1723" s="16"/>
      <c r="D1723" s="8"/>
      <c r="E1723" s="8"/>
      <c r="F1723" s="8"/>
      <c r="G1723" s="8"/>
      <c r="H1723" s="17"/>
      <c r="I1723" s="17"/>
    </row>
    <row r="1724" spans="1:9">
      <c r="A1724" s="8"/>
      <c r="B1724" s="17"/>
      <c r="C1724" s="16"/>
      <c r="D1724" s="8"/>
      <c r="E1724" s="8"/>
      <c r="F1724" s="8"/>
      <c r="G1724" s="8"/>
      <c r="H1724" s="17"/>
      <c r="I1724" s="17"/>
    </row>
    <row r="1725" spans="1:9">
      <c r="A1725" s="8"/>
      <c r="B1725" s="17"/>
      <c r="C1725" s="16"/>
      <c r="D1725" s="8"/>
      <c r="E1725" s="8"/>
      <c r="F1725" s="8"/>
      <c r="G1725" s="8"/>
      <c r="H1725" s="17"/>
      <c r="I1725" s="17"/>
    </row>
    <row r="1726" spans="1:9">
      <c r="A1726" s="8"/>
      <c r="B1726" s="17"/>
      <c r="C1726" s="16"/>
      <c r="D1726" s="8"/>
      <c r="E1726" s="8"/>
      <c r="F1726" s="8"/>
      <c r="G1726" s="8"/>
      <c r="H1726" s="17"/>
      <c r="I1726" s="17"/>
    </row>
    <row r="1727" spans="1:9">
      <c r="A1727" s="8"/>
      <c r="B1727" s="17"/>
      <c r="C1727" s="16"/>
      <c r="D1727" s="8"/>
      <c r="E1727" s="8"/>
      <c r="F1727" s="8"/>
      <c r="G1727" s="8"/>
      <c r="H1727" s="17"/>
      <c r="I1727" s="17"/>
    </row>
    <row r="1728" spans="1:9">
      <c r="A1728" s="8"/>
      <c r="B1728" s="17"/>
      <c r="C1728" s="16"/>
      <c r="D1728" s="8"/>
      <c r="E1728" s="8"/>
      <c r="F1728" s="8"/>
      <c r="G1728" s="8"/>
      <c r="H1728" s="17"/>
      <c r="I1728" s="17"/>
    </row>
    <row r="1729" spans="1:9">
      <c r="A1729" s="8"/>
      <c r="B1729" s="17"/>
      <c r="C1729" s="16"/>
      <c r="D1729" s="8"/>
      <c r="E1729" s="8"/>
      <c r="F1729" s="8"/>
      <c r="G1729" s="8"/>
      <c r="H1729" s="17"/>
      <c r="I1729" s="17"/>
    </row>
    <row r="1730" spans="1:9">
      <c r="A1730" s="8"/>
      <c r="B1730" s="17"/>
      <c r="C1730" s="16"/>
      <c r="D1730" s="8"/>
      <c r="E1730" s="8"/>
      <c r="F1730" s="8"/>
      <c r="G1730" s="8"/>
      <c r="H1730" s="17"/>
      <c r="I1730" s="17"/>
    </row>
    <row r="1731" spans="1:9">
      <c r="A1731" s="8"/>
      <c r="B1731" s="17"/>
      <c r="C1731" s="16"/>
      <c r="D1731" s="8"/>
      <c r="E1731" s="8"/>
      <c r="F1731" s="8"/>
      <c r="G1731" s="8"/>
      <c r="H1731" s="17"/>
      <c r="I1731" s="17"/>
    </row>
    <row r="1732" spans="1:9">
      <c r="A1732" s="8"/>
      <c r="B1732" s="17"/>
      <c r="C1732" s="16"/>
      <c r="D1732" s="8"/>
      <c r="E1732" s="8"/>
      <c r="F1732" s="8"/>
      <c r="G1732" s="8"/>
      <c r="H1732" s="17"/>
      <c r="I1732" s="17"/>
    </row>
    <row r="1733" spans="1:9">
      <c r="A1733" s="8"/>
      <c r="B1733" s="17"/>
      <c r="C1733" s="16"/>
      <c r="D1733" s="8"/>
      <c r="E1733" s="8"/>
      <c r="F1733" s="8"/>
      <c r="G1733" s="8"/>
      <c r="H1733" s="17"/>
      <c r="I1733" s="17"/>
    </row>
    <row r="1734" spans="1:9">
      <c r="A1734" s="8"/>
      <c r="B1734" s="17"/>
      <c r="C1734" s="16"/>
      <c r="D1734" s="8"/>
      <c r="E1734" s="8"/>
      <c r="F1734" s="8"/>
      <c r="G1734" s="8"/>
      <c r="H1734" s="17"/>
      <c r="I1734" s="17"/>
    </row>
    <row r="1735" spans="1:9">
      <c r="A1735" s="8"/>
      <c r="B1735" s="17"/>
      <c r="C1735" s="16"/>
      <c r="D1735" s="8"/>
      <c r="E1735" s="8"/>
      <c r="F1735" s="8"/>
      <c r="G1735" s="8"/>
      <c r="H1735" s="17"/>
      <c r="I1735" s="17"/>
    </row>
    <row r="1736" spans="1:9">
      <c r="A1736" s="8"/>
      <c r="B1736" s="17"/>
      <c r="C1736" s="16"/>
      <c r="D1736" s="8"/>
      <c r="E1736" s="8"/>
      <c r="F1736" s="8"/>
      <c r="G1736" s="8"/>
      <c r="H1736" s="17"/>
      <c r="I1736" s="17"/>
    </row>
    <row r="1737" spans="1:9">
      <c r="A1737" s="8"/>
      <c r="B1737" s="17"/>
      <c r="C1737" s="16"/>
      <c r="D1737" s="8"/>
      <c r="E1737" s="8"/>
      <c r="F1737" s="8"/>
      <c r="G1737" s="8"/>
      <c r="H1737" s="17"/>
      <c r="I1737" s="17"/>
    </row>
    <row r="1738" spans="1:9">
      <c r="A1738" s="8"/>
      <c r="B1738" s="17"/>
      <c r="C1738" s="16"/>
      <c r="D1738" s="8"/>
      <c r="E1738" s="8"/>
      <c r="F1738" s="8"/>
      <c r="G1738" s="8"/>
      <c r="H1738" s="17"/>
      <c r="I1738" s="17"/>
    </row>
    <row r="1739" spans="1:9">
      <c r="A1739" s="8"/>
      <c r="B1739" s="17"/>
      <c r="C1739" s="16"/>
      <c r="D1739" s="8"/>
      <c r="E1739" s="8"/>
      <c r="F1739" s="8"/>
      <c r="G1739" s="8"/>
      <c r="H1739" s="17"/>
      <c r="I1739" s="17"/>
    </row>
    <row r="1740" spans="1:9">
      <c r="A1740" s="8"/>
      <c r="B1740" s="17"/>
      <c r="C1740" s="16"/>
      <c r="D1740" s="8"/>
      <c r="E1740" s="8"/>
      <c r="F1740" s="8"/>
      <c r="G1740" s="8"/>
      <c r="H1740" s="17"/>
      <c r="I1740" s="17"/>
    </row>
    <row r="1741" spans="1:9">
      <c r="A1741" s="8"/>
      <c r="B1741" s="17"/>
      <c r="C1741" s="16"/>
      <c r="D1741" s="8"/>
      <c r="E1741" s="8"/>
      <c r="F1741" s="8"/>
      <c r="G1741" s="8"/>
      <c r="H1741" s="17"/>
      <c r="I1741" s="17"/>
    </row>
    <row r="1742" spans="1:9">
      <c r="A1742" s="8"/>
      <c r="B1742" s="17"/>
      <c r="C1742" s="16"/>
      <c r="D1742" s="8"/>
      <c r="E1742" s="8"/>
      <c r="F1742" s="8"/>
      <c r="G1742" s="8"/>
      <c r="H1742" s="17"/>
      <c r="I1742" s="17"/>
    </row>
    <row r="1743" spans="1:9">
      <c r="A1743" s="8"/>
      <c r="B1743" s="17"/>
      <c r="C1743" s="16"/>
      <c r="D1743" s="8"/>
      <c r="E1743" s="8"/>
      <c r="F1743" s="8"/>
      <c r="G1743" s="8"/>
      <c r="H1743" s="17"/>
      <c r="I1743" s="17"/>
    </row>
    <row r="1744" spans="1:9">
      <c r="A1744" s="8"/>
      <c r="B1744" s="17"/>
      <c r="C1744" s="16"/>
      <c r="D1744" s="8"/>
      <c r="E1744" s="8"/>
      <c r="F1744" s="8"/>
      <c r="G1744" s="8"/>
      <c r="H1744" s="17"/>
      <c r="I1744" s="17"/>
    </row>
    <row r="1745" spans="1:9">
      <c r="A1745" s="8"/>
      <c r="B1745" s="17"/>
      <c r="C1745" s="16"/>
      <c r="D1745" s="8"/>
      <c r="E1745" s="8"/>
      <c r="F1745" s="8"/>
      <c r="G1745" s="8"/>
      <c r="H1745" s="17"/>
      <c r="I1745" s="17"/>
    </row>
    <row r="1746" spans="1:9">
      <c r="A1746" s="8"/>
      <c r="B1746" s="17"/>
      <c r="C1746" s="16"/>
      <c r="D1746" s="8"/>
      <c r="E1746" s="8"/>
      <c r="F1746" s="8"/>
      <c r="G1746" s="8"/>
      <c r="H1746" s="17"/>
      <c r="I1746" s="17"/>
    </row>
    <row r="1747" spans="1:9">
      <c r="A1747" s="8"/>
      <c r="B1747" s="17"/>
      <c r="C1747" s="16"/>
      <c r="D1747" s="8"/>
      <c r="E1747" s="8"/>
      <c r="F1747" s="8"/>
      <c r="G1747" s="8"/>
      <c r="H1747" s="17"/>
      <c r="I1747" s="17"/>
    </row>
    <row r="1748" spans="1:9">
      <c r="A1748" s="8"/>
      <c r="B1748" s="17"/>
      <c r="C1748" s="16"/>
      <c r="D1748" s="8"/>
      <c r="E1748" s="8"/>
      <c r="F1748" s="8"/>
      <c r="G1748" s="8"/>
      <c r="H1748" s="17"/>
      <c r="I1748" s="17"/>
    </row>
    <row r="1749" spans="1:9">
      <c r="A1749" s="8"/>
      <c r="B1749" s="17"/>
      <c r="C1749" s="16"/>
      <c r="D1749" s="8"/>
      <c r="E1749" s="8"/>
      <c r="F1749" s="8"/>
      <c r="G1749" s="8"/>
      <c r="H1749" s="17"/>
      <c r="I1749" s="17"/>
    </row>
    <row r="1750" spans="1:9">
      <c r="A1750" s="8"/>
      <c r="B1750" s="17"/>
      <c r="C1750" s="16"/>
      <c r="D1750" s="8"/>
      <c r="E1750" s="8"/>
      <c r="F1750" s="8"/>
      <c r="G1750" s="8"/>
      <c r="H1750" s="17"/>
      <c r="I1750" s="17"/>
    </row>
    <row r="1751" spans="1:9">
      <c r="A1751" s="8"/>
      <c r="B1751" s="17"/>
      <c r="C1751" s="16"/>
      <c r="D1751" s="8"/>
      <c r="E1751" s="8"/>
      <c r="F1751" s="8"/>
      <c r="G1751" s="8"/>
      <c r="H1751" s="17"/>
      <c r="I1751" s="17"/>
    </row>
    <row r="1752" spans="1:9">
      <c r="A1752" s="8"/>
      <c r="B1752" s="17"/>
      <c r="C1752" s="16"/>
      <c r="D1752" s="8"/>
      <c r="E1752" s="8"/>
      <c r="F1752" s="8"/>
      <c r="G1752" s="8"/>
      <c r="H1752" s="17"/>
      <c r="I1752" s="17"/>
    </row>
    <row r="1753" spans="1:9">
      <c r="A1753" s="8"/>
      <c r="B1753" s="17"/>
      <c r="C1753" s="16"/>
      <c r="D1753" s="8"/>
      <c r="E1753" s="8"/>
      <c r="F1753" s="8"/>
      <c r="G1753" s="8"/>
      <c r="H1753" s="17"/>
      <c r="I1753" s="17"/>
    </row>
    <row r="1754" spans="1:9">
      <c r="A1754" s="8"/>
      <c r="B1754" s="17"/>
      <c r="C1754" s="16"/>
      <c r="D1754" s="8"/>
      <c r="E1754" s="8"/>
      <c r="F1754" s="8"/>
      <c r="G1754" s="8"/>
      <c r="H1754" s="17"/>
      <c r="I1754" s="17"/>
    </row>
    <row r="1755" spans="1:9">
      <c r="A1755" s="8"/>
      <c r="B1755" s="17"/>
      <c r="C1755" s="16"/>
      <c r="D1755" s="8"/>
      <c r="E1755" s="8"/>
      <c r="F1755" s="8"/>
      <c r="G1755" s="8"/>
      <c r="H1755" s="17"/>
      <c r="I1755" s="17"/>
    </row>
    <row r="1756" spans="1:9">
      <c r="A1756" s="8"/>
      <c r="B1756" s="17"/>
      <c r="C1756" s="16"/>
      <c r="D1756" s="8"/>
      <c r="E1756" s="8"/>
      <c r="F1756" s="8"/>
      <c r="G1756" s="8"/>
      <c r="H1756" s="17"/>
      <c r="I1756" s="17"/>
    </row>
    <row r="1757" spans="1:9">
      <c r="A1757" s="8"/>
      <c r="B1757" s="17"/>
      <c r="C1757" s="16"/>
      <c r="D1757" s="8"/>
      <c r="E1757" s="8"/>
      <c r="F1757" s="8"/>
      <c r="G1757" s="8"/>
      <c r="H1757" s="17"/>
      <c r="I1757" s="17"/>
    </row>
    <row r="1758" spans="1:9">
      <c r="A1758" s="8"/>
      <c r="B1758" s="17"/>
      <c r="C1758" s="16"/>
      <c r="D1758" s="8"/>
      <c r="E1758" s="8"/>
      <c r="F1758" s="8"/>
      <c r="G1758" s="8"/>
      <c r="H1758" s="17"/>
      <c r="I1758" s="17"/>
    </row>
    <row r="1759" spans="1:9">
      <c r="A1759" s="8"/>
      <c r="B1759" s="17"/>
      <c r="C1759" s="16"/>
      <c r="D1759" s="8"/>
      <c r="E1759" s="8"/>
      <c r="F1759" s="8"/>
      <c r="G1759" s="8"/>
      <c r="H1759" s="17"/>
      <c r="I1759" s="17"/>
    </row>
    <row r="1760" spans="1:9">
      <c r="A1760" s="8"/>
      <c r="B1760" s="17"/>
      <c r="C1760" s="16"/>
      <c r="D1760" s="8"/>
      <c r="E1760" s="8"/>
      <c r="F1760" s="8"/>
      <c r="G1760" s="8"/>
      <c r="H1760" s="17"/>
      <c r="I1760" s="17"/>
    </row>
    <row r="1761" spans="1:9">
      <c r="A1761" s="8"/>
      <c r="B1761" s="17"/>
      <c r="C1761" s="16"/>
      <c r="D1761" s="8"/>
      <c r="E1761" s="8"/>
      <c r="F1761" s="8"/>
      <c r="G1761" s="8"/>
      <c r="H1761" s="17"/>
      <c r="I1761" s="17"/>
    </row>
    <row r="1762" spans="1:9">
      <c r="A1762" s="8"/>
      <c r="B1762" s="17"/>
      <c r="C1762" s="16"/>
      <c r="D1762" s="8"/>
      <c r="E1762" s="8"/>
      <c r="F1762" s="8"/>
      <c r="G1762" s="8"/>
      <c r="H1762" s="17"/>
      <c r="I1762" s="17"/>
    </row>
    <row r="1763" spans="1:9">
      <c r="A1763" s="8"/>
      <c r="B1763" s="17"/>
      <c r="C1763" s="16"/>
      <c r="D1763" s="8"/>
      <c r="E1763" s="8"/>
      <c r="F1763" s="8"/>
      <c r="G1763" s="8"/>
      <c r="H1763" s="17"/>
      <c r="I1763" s="17"/>
    </row>
    <row r="1764" spans="1:9">
      <c r="A1764" s="8"/>
      <c r="B1764" s="17"/>
      <c r="C1764" s="16"/>
      <c r="D1764" s="8"/>
      <c r="E1764" s="8"/>
      <c r="F1764" s="8"/>
      <c r="G1764" s="8"/>
      <c r="H1764" s="17"/>
      <c r="I1764" s="17"/>
    </row>
    <row r="1765" spans="1:9">
      <c r="A1765" s="8"/>
      <c r="B1765" s="17"/>
      <c r="C1765" s="16"/>
      <c r="D1765" s="8"/>
      <c r="E1765" s="8"/>
      <c r="F1765" s="8"/>
      <c r="G1765" s="8"/>
      <c r="H1765" s="17"/>
      <c r="I1765" s="17"/>
    </row>
    <row r="1766" spans="1:9">
      <c r="A1766" s="8"/>
      <c r="B1766" s="17"/>
      <c r="C1766" s="16"/>
      <c r="D1766" s="8"/>
      <c r="E1766" s="8"/>
      <c r="F1766" s="8"/>
      <c r="G1766" s="8"/>
      <c r="H1766" s="17"/>
      <c r="I1766" s="17"/>
    </row>
    <row r="1767" spans="1:9">
      <c r="A1767" s="8"/>
      <c r="B1767" s="17"/>
      <c r="C1767" s="16"/>
      <c r="D1767" s="8"/>
      <c r="E1767" s="8"/>
      <c r="F1767" s="8"/>
      <c r="G1767" s="8"/>
      <c r="H1767" s="17"/>
      <c r="I1767" s="17"/>
    </row>
    <row r="1768" spans="1:9">
      <c r="A1768" s="8"/>
      <c r="B1768" s="17"/>
      <c r="C1768" s="16"/>
      <c r="D1768" s="8"/>
      <c r="E1768" s="8"/>
      <c r="F1768" s="8"/>
      <c r="G1768" s="8"/>
      <c r="H1768" s="17"/>
      <c r="I1768" s="17"/>
    </row>
    <row r="1769" spans="1:9">
      <c r="A1769" s="8"/>
      <c r="B1769" s="17"/>
      <c r="C1769" s="16"/>
      <c r="D1769" s="8"/>
      <c r="E1769" s="8"/>
      <c r="F1769" s="8"/>
      <c r="G1769" s="8"/>
      <c r="H1769" s="17"/>
      <c r="I1769" s="17"/>
    </row>
    <row r="1770" spans="1:9">
      <c r="A1770" s="8"/>
      <c r="B1770" s="17"/>
      <c r="C1770" s="16"/>
      <c r="D1770" s="8"/>
      <c r="E1770" s="8"/>
      <c r="F1770" s="8"/>
      <c r="G1770" s="8"/>
      <c r="H1770" s="17"/>
      <c r="I1770" s="17"/>
    </row>
    <row r="1771" spans="1:9">
      <c r="A1771" s="8"/>
      <c r="B1771" s="17"/>
      <c r="C1771" s="16"/>
      <c r="D1771" s="8"/>
      <c r="E1771" s="8"/>
      <c r="F1771" s="8"/>
      <c r="G1771" s="8"/>
      <c r="H1771" s="17"/>
      <c r="I1771" s="17"/>
    </row>
    <row r="1772" spans="1:9">
      <c r="A1772" s="8"/>
      <c r="B1772" s="17"/>
      <c r="C1772" s="16"/>
      <c r="D1772" s="8"/>
      <c r="E1772" s="8"/>
      <c r="F1772" s="8"/>
      <c r="G1772" s="8"/>
      <c r="H1772" s="17"/>
      <c r="I1772" s="17"/>
    </row>
    <row r="1773" spans="1:9">
      <c r="A1773" s="8"/>
      <c r="B1773" s="17"/>
      <c r="C1773" s="16"/>
      <c r="D1773" s="8"/>
      <c r="E1773" s="8"/>
      <c r="F1773" s="8"/>
      <c r="G1773" s="8"/>
      <c r="H1773" s="17"/>
      <c r="I1773" s="17"/>
    </row>
    <row r="1774" spans="1:9">
      <c r="A1774" s="8"/>
      <c r="B1774" s="17"/>
      <c r="C1774" s="16"/>
      <c r="D1774" s="8"/>
      <c r="E1774" s="8"/>
      <c r="F1774" s="8"/>
      <c r="G1774" s="8"/>
      <c r="H1774" s="17"/>
      <c r="I1774" s="17"/>
    </row>
    <row r="1775" spans="1:9">
      <c r="A1775" s="8"/>
      <c r="B1775" s="17"/>
      <c r="C1775" s="16"/>
      <c r="D1775" s="8"/>
      <c r="E1775" s="8"/>
      <c r="F1775" s="8"/>
      <c r="G1775" s="8"/>
      <c r="H1775" s="17"/>
      <c r="I1775" s="17"/>
    </row>
    <row r="1776" spans="1:9">
      <c r="A1776" s="8"/>
      <c r="B1776" s="17"/>
      <c r="C1776" s="16"/>
      <c r="D1776" s="8"/>
      <c r="E1776" s="8"/>
      <c r="F1776" s="8"/>
      <c r="G1776" s="8"/>
      <c r="H1776" s="17"/>
      <c r="I1776" s="17"/>
    </row>
    <row r="1777" spans="1:9">
      <c r="A1777" s="8"/>
      <c r="B1777" s="17"/>
      <c r="C1777" s="16"/>
      <c r="D1777" s="8"/>
      <c r="E1777" s="8"/>
      <c r="F1777" s="8"/>
      <c r="G1777" s="8"/>
      <c r="H1777" s="17"/>
      <c r="I1777" s="17"/>
    </row>
    <row r="1778" spans="1:9">
      <c r="A1778" s="8"/>
      <c r="B1778" s="17"/>
      <c r="C1778" s="16"/>
      <c r="D1778" s="8"/>
      <c r="E1778" s="8"/>
      <c r="F1778" s="8"/>
      <c r="G1778" s="8"/>
      <c r="H1778" s="17"/>
      <c r="I1778" s="17"/>
    </row>
    <row r="1779" spans="1:9">
      <c r="A1779" s="8"/>
      <c r="B1779" s="17"/>
      <c r="C1779" s="16"/>
      <c r="D1779" s="8"/>
      <c r="E1779" s="8"/>
      <c r="F1779" s="8"/>
      <c r="G1779" s="8"/>
      <c r="H1779" s="17"/>
      <c r="I1779" s="17"/>
    </row>
    <row r="1780" spans="1:9">
      <c r="A1780" s="8"/>
      <c r="B1780" s="17"/>
      <c r="C1780" s="16"/>
      <c r="D1780" s="8"/>
      <c r="E1780" s="8"/>
      <c r="F1780" s="8"/>
      <c r="G1780" s="8"/>
      <c r="H1780" s="17"/>
      <c r="I1780" s="17"/>
    </row>
    <row r="1781" spans="1:9">
      <c r="A1781" s="8"/>
      <c r="B1781" s="17"/>
      <c r="C1781" s="16"/>
      <c r="D1781" s="8"/>
      <c r="E1781" s="8"/>
      <c r="F1781" s="8"/>
      <c r="G1781" s="8"/>
      <c r="H1781" s="17"/>
      <c r="I1781" s="17"/>
    </row>
    <row r="1782" spans="1:9">
      <c r="A1782" s="8"/>
      <c r="B1782" s="17"/>
      <c r="C1782" s="16"/>
      <c r="D1782" s="8"/>
      <c r="E1782" s="8"/>
      <c r="F1782" s="8"/>
      <c r="G1782" s="8"/>
      <c r="H1782" s="17"/>
      <c r="I1782" s="17"/>
    </row>
    <row r="1783" spans="1:9">
      <c r="A1783" s="8"/>
      <c r="B1783" s="17"/>
      <c r="C1783" s="16"/>
      <c r="D1783" s="8"/>
      <c r="E1783" s="8"/>
      <c r="F1783" s="8"/>
      <c r="G1783" s="8"/>
      <c r="H1783" s="17"/>
      <c r="I1783" s="17"/>
    </row>
    <row r="1784" spans="1:9">
      <c r="A1784" s="8"/>
      <c r="B1784" s="17"/>
      <c r="C1784" s="16"/>
      <c r="D1784" s="8"/>
      <c r="E1784" s="8"/>
      <c r="F1784" s="8"/>
      <c r="G1784" s="8"/>
      <c r="H1784" s="17"/>
      <c r="I1784" s="17"/>
    </row>
    <row r="1785" spans="1:9">
      <c r="A1785" s="8"/>
      <c r="B1785" s="17"/>
      <c r="C1785" s="16"/>
      <c r="D1785" s="8"/>
      <c r="E1785" s="8"/>
      <c r="F1785" s="8"/>
      <c r="G1785" s="8"/>
      <c r="H1785" s="17"/>
      <c r="I1785" s="17"/>
    </row>
    <row r="1786" spans="1:9">
      <c r="A1786" s="8"/>
      <c r="B1786" s="17"/>
      <c r="C1786" s="16"/>
      <c r="D1786" s="8"/>
      <c r="E1786" s="8"/>
      <c r="F1786" s="8"/>
      <c r="G1786" s="8"/>
      <c r="H1786" s="17"/>
      <c r="I1786" s="17"/>
    </row>
    <row r="1787" spans="1:9">
      <c r="A1787" s="8"/>
      <c r="B1787" s="17"/>
      <c r="C1787" s="16"/>
      <c r="D1787" s="8"/>
      <c r="E1787" s="8"/>
      <c r="F1787" s="8"/>
      <c r="G1787" s="8"/>
      <c r="H1787" s="17"/>
      <c r="I1787" s="17"/>
    </row>
    <row r="1788" spans="1:9">
      <c r="A1788" s="8"/>
      <c r="B1788" s="17"/>
      <c r="C1788" s="16"/>
      <c r="D1788" s="8"/>
      <c r="E1788" s="8"/>
      <c r="F1788" s="8"/>
      <c r="G1788" s="8"/>
      <c r="H1788" s="17"/>
      <c r="I1788" s="17"/>
    </row>
    <row r="1789" spans="1:9">
      <c r="A1789" s="8"/>
      <c r="B1789" s="17"/>
      <c r="C1789" s="16"/>
      <c r="D1789" s="8"/>
      <c r="E1789" s="8"/>
      <c r="F1789" s="8"/>
      <c r="G1789" s="8"/>
      <c r="H1789" s="17"/>
      <c r="I1789" s="17"/>
    </row>
    <row r="1790" spans="1:9">
      <c r="A1790" s="8"/>
      <c r="B1790" s="17"/>
      <c r="C1790" s="16"/>
      <c r="D1790" s="8"/>
      <c r="E1790" s="8"/>
      <c r="F1790" s="8"/>
      <c r="G1790" s="8"/>
      <c r="H1790" s="17"/>
      <c r="I1790" s="17"/>
    </row>
    <row r="1791" spans="1:9">
      <c r="A1791" s="8"/>
      <c r="B1791" s="17"/>
      <c r="C1791" s="16"/>
      <c r="D1791" s="8"/>
      <c r="E1791" s="8"/>
      <c r="F1791" s="8"/>
      <c r="G1791" s="8"/>
      <c r="H1791" s="17"/>
      <c r="I1791" s="17"/>
    </row>
    <row r="1792" spans="1:9">
      <c r="A1792" s="8"/>
      <c r="B1792" s="17"/>
      <c r="C1792" s="16"/>
      <c r="D1792" s="8"/>
      <c r="E1792" s="8"/>
      <c r="F1792" s="8"/>
      <c r="G1792" s="8"/>
      <c r="H1792" s="17"/>
      <c r="I1792" s="17"/>
    </row>
    <row r="1793" spans="1:9">
      <c r="A1793" s="8"/>
      <c r="B1793" s="17"/>
      <c r="C1793" s="16"/>
      <c r="D1793" s="8"/>
      <c r="E1793" s="8"/>
      <c r="F1793" s="8"/>
      <c r="G1793" s="8"/>
      <c r="H1793" s="17"/>
      <c r="I1793" s="17"/>
    </row>
    <row r="1794" spans="1:9">
      <c r="A1794" s="8"/>
      <c r="B1794" s="17"/>
      <c r="C1794" s="16"/>
      <c r="D1794" s="8"/>
      <c r="E1794" s="8"/>
      <c r="F1794" s="8"/>
      <c r="G1794" s="8"/>
      <c r="H1794" s="17"/>
      <c r="I1794" s="17"/>
    </row>
    <row r="1795" spans="1:9">
      <c r="A1795" s="8"/>
      <c r="B1795" s="17"/>
      <c r="C1795" s="16"/>
      <c r="D1795" s="8"/>
      <c r="E1795" s="8"/>
      <c r="F1795" s="8"/>
      <c r="G1795" s="8"/>
      <c r="H1795" s="17"/>
      <c r="I1795" s="17"/>
    </row>
    <row r="1796" spans="1:9">
      <c r="A1796" s="8"/>
      <c r="B1796" s="17"/>
      <c r="C1796" s="16"/>
      <c r="D1796" s="8"/>
      <c r="E1796" s="8"/>
      <c r="F1796" s="8"/>
      <c r="G1796" s="8"/>
      <c r="H1796" s="17"/>
      <c r="I1796" s="17"/>
    </row>
    <row r="1797" spans="1:9">
      <c r="A1797" s="8"/>
      <c r="B1797" s="17"/>
      <c r="C1797" s="16"/>
      <c r="D1797" s="8"/>
      <c r="E1797" s="8"/>
      <c r="F1797" s="8"/>
      <c r="G1797" s="8"/>
      <c r="H1797" s="17"/>
      <c r="I1797" s="17"/>
    </row>
    <row r="1798" spans="1:9">
      <c r="A1798" s="8"/>
      <c r="B1798" s="17"/>
      <c r="C1798" s="16"/>
      <c r="D1798" s="8"/>
      <c r="E1798" s="8"/>
      <c r="F1798" s="8"/>
      <c r="G1798" s="8"/>
      <c r="H1798" s="17"/>
      <c r="I1798" s="17"/>
    </row>
    <row r="1799" spans="1:9">
      <c r="A1799" s="8"/>
      <c r="B1799" s="17"/>
      <c r="C1799" s="16"/>
      <c r="D1799" s="8"/>
      <c r="E1799" s="8"/>
      <c r="F1799" s="8"/>
      <c r="G1799" s="8"/>
      <c r="H1799" s="17"/>
      <c r="I1799" s="17"/>
    </row>
    <row r="1800" spans="1:9">
      <c r="A1800" s="8"/>
      <c r="B1800" s="17"/>
      <c r="C1800" s="16"/>
      <c r="D1800" s="8"/>
      <c r="E1800" s="8"/>
      <c r="F1800" s="8"/>
      <c r="G1800" s="8"/>
      <c r="H1800" s="17"/>
      <c r="I1800" s="17"/>
    </row>
    <row r="1801" spans="1:9">
      <c r="A1801" s="8"/>
      <c r="B1801" s="17"/>
      <c r="C1801" s="16"/>
      <c r="D1801" s="8"/>
      <c r="E1801" s="8"/>
      <c r="F1801" s="8"/>
      <c r="G1801" s="8"/>
      <c r="H1801" s="17"/>
      <c r="I1801" s="17"/>
    </row>
    <row r="1802" spans="1:9">
      <c r="A1802" s="8"/>
      <c r="B1802" s="17"/>
      <c r="C1802" s="16"/>
      <c r="D1802" s="8"/>
      <c r="E1802" s="8"/>
      <c r="F1802" s="8"/>
      <c r="G1802" s="8"/>
      <c r="H1802" s="17"/>
      <c r="I1802" s="17"/>
    </row>
    <row r="1803" spans="1:9">
      <c r="A1803" s="8"/>
      <c r="B1803" s="17"/>
      <c r="C1803" s="16"/>
      <c r="D1803" s="8"/>
      <c r="E1803" s="8"/>
      <c r="F1803" s="8"/>
      <c r="G1803" s="8"/>
      <c r="H1803" s="17"/>
      <c r="I1803" s="17"/>
    </row>
    <row r="1804" spans="1:9">
      <c r="A1804" s="8"/>
      <c r="B1804" s="17"/>
      <c r="C1804" s="16"/>
      <c r="D1804" s="8"/>
      <c r="E1804" s="8"/>
      <c r="F1804" s="8"/>
      <c r="G1804" s="8"/>
      <c r="H1804" s="17"/>
      <c r="I1804" s="17"/>
    </row>
    <row r="1805" spans="1:9">
      <c r="A1805" s="8"/>
      <c r="B1805" s="17"/>
      <c r="C1805" s="16"/>
      <c r="D1805" s="8"/>
      <c r="E1805" s="8"/>
      <c r="F1805" s="8"/>
      <c r="G1805" s="8"/>
      <c r="H1805" s="17"/>
      <c r="I1805" s="17"/>
    </row>
    <row r="1806" spans="1:9">
      <c r="A1806" s="8"/>
      <c r="B1806" s="17"/>
      <c r="C1806" s="16"/>
      <c r="D1806" s="8"/>
      <c r="E1806" s="8"/>
      <c r="F1806" s="8"/>
      <c r="G1806" s="8"/>
      <c r="H1806" s="17"/>
      <c r="I1806" s="17"/>
    </row>
    <row r="1807" spans="1:9">
      <c r="A1807" s="8"/>
      <c r="B1807" s="17"/>
      <c r="C1807" s="16"/>
      <c r="D1807" s="8"/>
      <c r="E1807" s="8"/>
      <c r="F1807" s="8"/>
      <c r="G1807" s="8"/>
      <c r="H1807" s="17"/>
      <c r="I1807" s="17"/>
    </row>
    <row r="1808" spans="1:9">
      <c r="A1808" s="8"/>
      <c r="B1808" s="17"/>
      <c r="C1808" s="16"/>
      <c r="D1808" s="8"/>
      <c r="E1808" s="8"/>
      <c r="F1808" s="8"/>
      <c r="G1808" s="8"/>
      <c r="H1808" s="17"/>
      <c r="I1808" s="17"/>
    </row>
    <row r="1809" spans="1:9">
      <c r="A1809" s="8"/>
      <c r="B1809" s="17"/>
      <c r="C1809" s="16"/>
      <c r="D1809" s="8"/>
      <c r="E1809" s="8"/>
      <c r="F1809" s="8"/>
      <c r="G1809" s="8"/>
      <c r="H1809" s="17"/>
      <c r="I1809" s="17"/>
    </row>
    <row r="1810" spans="1:9">
      <c r="A1810" s="8"/>
      <c r="B1810" s="17"/>
      <c r="C1810" s="16"/>
      <c r="D1810" s="8"/>
      <c r="E1810" s="8"/>
      <c r="F1810" s="8"/>
      <c r="G1810" s="8"/>
      <c r="H1810" s="17"/>
      <c r="I1810" s="17"/>
    </row>
    <row r="1811" spans="1:9">
      <c r="A1811" s="8"/>
      <c r="B1811" s="17"/>
      <c r="C1811" s="16"/>
      <c r="D1811" s="8"/>
      <c r="E1811" s="8"/>
      <c r="F1811" s="8"/>
      <c r="G1811" s="8"/>
      <c r="H1811" s="17"/>
      <c r="I1811" s="17"/>
    </row>
    <row r="1812" spans="1:9">
      <c r="A1812" s="8"/>
      <c r="B1812" s="17"/>
      <c r="C1812" s="16"/>
      <c r="D1812" s="8"/>
      <c r="E1812" s="8"/>
      <c r="F1812" s="8"/>
      <c r="G1812" s="8"/>
      <c r="H1812" s="17"/>
      <c r="I1812" s="17"/>
    </row>
    <row r="1813" spans="1:9">
      <c r="A1813" s="8"/>
      <c r="B1813" s="17"/>
      <c r="C1813" s="16"/>
      <c r="D1813" s="8"/>
      <c r="E1813" s="8"/>
      <c r="F1813" s="8"/>
      <c r="G1813" s="8"/>
      <c r="H1813" s="17"/>
      <c r="I1813" s="17"/>
    </row>
    <row r="1814" spans="1:9">
      <c r="A1814" s="8"/>
      <c r="B1814" s="17"/>
      <c r="C1814" s="16"/>
      <c r="D1814" s="8"/>
      <c r="E1814" s="8"/>
      <c r="F1814" s="8"/>
      <c r="G1814" s="8"/>
      <c r="H1814" s="17"/>
      <c r="I1814" s="17"/>
    </row>
    <row r="1815" spans="1:9">
      <c r="A1815" s="8"/>
      <c r="B1815" s="17"/>
      <c r="C1815" s="16"/>
      <c r="D1815" s="8"/>
      <c r="E1815" s="8"/>
      <c r="F1815" s="8"/>
      <c r="G1815" s="8"/>
      <c r="H1815" s="17"/>
      <c r="I1815" s="17"/>
    </row>
    <row r="1816" spans="1:9">
      <c r="A1816" s="8"/>
      <c r="B1816" s="17"/>
      <c r="C1816" s="16"/>
      <c r="D1816" s="8"/>
      <c r="E1816" s="8"/>
      <c r="F1816" s="8"/>
      <c r="G1816" s="8"/>
      <c r="H1816" s="17"/>
      <c r="I1816" s="17"/>
    </row>
    <row r="1817" spans="1:9">
      <c r="A1817" s="8"/>
      <c r="B1817" s="17"/>
      <c r="C1817" s="16"/>
      <c r="D1817" s="8"/>
      <c r="E1817" s="8"/>
      <c r="F1817" s="8"/>
      <c r="G1817" s="8"/>
      <c r="H1817" s="17"/>
      <c r="I1817" s="17"/>
    </row>
    <row r="1818" spans="1:9">
      <c r="A1818" s="8"/>
      <c r="B1818" s="17"/>
      <c r="C1818" s="16"/>
      <c r="D1818" s="8"/>
      <c r="E1818" s="8"/>
      <c r="F1818" s="8"/>
      <c r="G1818" s="8"/>
      <c r="H1818" s="17"/>
      <c r="I1818" s="17"/>
    </row>
    <row r="1819" spans="1:9">
      <c r="A1819" s="8"/>
      <c r="B1819" s="17"/>
      <c r="C1819" s="16"/>
      <c r="D1819" s="8"/>
      <c r="E1819" s="8"/>
      <c r="F1819" s="8"/>
      <c r="G1819" s="8"/>
      <c r="H1819" s="17"/>
      <c r="I1819" s="17"/>
    </row>
    <row r="1820" spans="1:9">
      <c r="A1820" s="8"/>
      <c r="B1820" s="17"/>
      <c r="C1820" s="16"/>
      <c r="D1820" s="8"/>
      <c r="E1820" s="8"/>
      <c r="F1820" s="8"/>
      <c r="G1820" s="8"/>
      <c r="H1820" s="17"/>
      <c r="I1820" s="17"/>
    </row>
    <row r="1821" spans="1:9">
      <c r="A1821" s="8"/>
      <c r="B1821" s="17"/>
      <c r="C1821" s="16"/>
      <c r="D1821" s="8"/>
      <c r="E1821" s="8"/>
      <c r="F1821" s="8"/>
      <c r="G1821" s="8"/>
      <c r="H1821" s="17"/>
      <c r="I1821" s="17"/>
    </row>
    <row r="1822" spans="1:9">
      <c r="A1822" s="8"/>
      <c r="B1822" s="17"/>
      <c r="C1822" s="16"/>
      <c r="D1822" s="8"/>
      <c r="E1822" s="8"/>
      <c r="F1822" s="8"/>
      <c r="G1822" s="8"/>
      <c r="H1822" s="17"/>
      <c r="I1822" s="17"/>
    </row>
    <row r="1823" spans="1:9">
      <c r="A1823" s="8"/>
      <c r="B1823" s="17"/>
      <c r="C1823" s="16"/>
      <c r="D1823" s="8"/>
      <c r="E1823" s="8"/>
      <c r="F1823" s="8"/>
      <c r="G1823" s="8"/>
      <c r="H1823" s="17"/>
      <c r="I1823" s="17"/>
    </row>
    <row r="1824" spans="1:9">
      <c r="A1824" s="8"/>
      <c r="B1824" s="17"/>
      <c r="C1824" s="16"/>
      <c r="D1824" s="8"/>
      <c r="E1824" s="8"/>
      <c r="F1824" s="8"/>
      <c r="G1824" s="8"/>
      <c r="H1824" s="17"/>
      <c r="I1824" s="17"/>
    </row>
    <row r="1825" spans="1:9">
      <c r="A1825" s="8"/>
      <c r="B1825" s="17"/>
      <c r="C1825" s="16"/>
      <c r="D1825" s="8"/>
      <c r="E1825" s="8"/>
      <c r="F1825" s="8"/>
      <c r="G1825" s="8"/>
      <c r="H1825" s="17"/>
      <c r="I1825" s="17"/>
    </row>
    <row r="1826" spans="1:9">
      <c r="A1826" s="8"/>
      <c r="B1826" s="17"/>
      <c r="C1826" s="16"/>
      <c r="D1826" s="8"/>
      <c r="E1826" s="8"/>
      <c r="F1826" s="8"/>
      <c r="G1826" s="8"/>
      <c r="H1826" s="17"/>
      <c r="I1826" s="17"/>
    </row>
    <row r="1827" spans="1:9">
      <c r="A1827" s="8"/>
      <c r="B1827" s="17"/>
      <c r="C1827" s="16"/>
      <c r="D1827" s="8"/>
      <c r="E1827" s="8"/>
      <c r="F1827" s="8"/>
      <c r="G1827" s="8"/>
      <c r="H1827" s="17"/>
      <c r="I1827" s="17"/>
    </row>
    <row r="1828" spans="1:9">
      <c r="A1828" s="8"/>
      <c r="B1828" s="17"/>
      <c r="C1828" s="16"/>
      <c r="D1828" s="8"/>
      <c r="E1828" s="8"/>
      <c r="F1828" s="8"/>
      <c r="G1828" s="8"/>
      <c r="H1828" s="17"/>
      <c r="I1828" s="17"/>
    </row>
    <row r="1829" spans="1:9">
      <c r="A1829" s="8"/>
      <c r="B1829" s="17"/>
      <c r="C1829" s="16"/>
      <c r="D1829" s="8"/>
      <c r="E1829" s="8"/>
      <c r="F1829" s="8"/>
      <c r="G1829" s="8"/>
      <c r="H1829" s="17"/>
      <c r="I1829" s="17"/>
    </row>
    <row r="1830" spans="1:9">
      <c r="A1830" s="8"/>
      <c r="B1830" s="17"/>
      <c r="C1830" s="16"/>
      <c r="D1830" s="8"/>
      <c r="E1830" s="8"/>
      <c r="F1830" s="8"/>
      <c r="G1830" s="8"/>
      <c r="H1830" s="17"/>
      <c r="I1830" s="17"/>
    </row>
    <row r="1831" spans="1:9">
      <c r="A1831" s="8"/>
      <c r="B1831" s="17"/>
      <c r="C1831" s="16"/>
      <c r="D1831" s="8"/>
      <c r="E1831" s="8"/>
      <c r="F1831" s="8"/>
      <c r="G1831" s="8"/>
      <c r="H1831" s="17"/>
      <c r="I1831" s="17"/>
    </row>
    <row r="1832" spans="1:9">
      <c r="A1832" s="8"/>
      <c r="B1832" s="17"/>
      <c r="C1832" s="16"/>
      <c r="D1832" s="8"/>
      <c r="E1832" s="8"/>
      <c r="F1832" s="8"/>
      <c r="G1832" s="8"/>
      <c r="H1832" s="17"/>
      <c r="I1832" s="17"/>
    </row>
    <row r="1833" spans="1:9">
      <c r="A1833" s="8"/>
      <c r="B1833" s="17"/>
      <c r="C1833" s="16"/>
      <c r="D1833" s="8"/>
      <c r="E1833" s="8"/>
      <c r="F1833" s="8"/>
      <c r="G1833" s="8"/>
      <c r="H1833" s="17"/>
      <c r="I1833" s="17"/>
    </row>
    <row r="1834" spans="1:9">
      <c r="A1834" s="8"/>
      <c r="B1834" s="17"/>
      <c r="C1834" s="16"/>
      <c r="D1834" s="8"/>
      <c r="E1834" s="8"/>
      <c r="F1834" s="8"/>
      <c r="G1834" s="8"/>
      <c r="H1834" s="17"/>
      <c r="I1834" s="17"/>
    </row>
    <row r="1835" spans="1:9">
      <c r="A1835" s="8"/>
      <c r="B1835" s="17"/>
      <c r="C1835" s="16"/>
      <c r="D1835" s="8"/>
      <c r="E1835" s="8"/>
      <c r="F1835" s="8"/>
      <c r="G1835" s="8"/>
      <c r="H1835" s="17"/>
      <c r="I1835" s="17"/>
    </row>
    <row r="1836" spans="1:9">
      <c r="A1836" s="8"/>
      <c r="B1836" s="17"/>
      <c r="C1836" s="16"/>
      <c r="D1836" s="8"/>
      <c r="E1836" s="8"/>
      <c r="F1836" s="8"/>
      <c r="G1836" s="8"/>
      <c r="H1836" s="17"/>
      <c r="I1836" s="17"/>
    </row>
    <row r="1837" spans="1:9">
      <c r="A1837" s="8"/>
      <c r="B1837" s="17"/>
      <c r="C1837" s="16"/>
      <c r="D1837" s="8"/>
      <c r="E1837" s="8"/>
      <c r="F1837" s="8"/>
      <c r="G1837" s="8"/>
      <c r="H1837" s="17"/>
      <c r="I1837" s="17"/>
    </row>
    <row r="1838" spans="1:9">
      <c r="A1838" s="8"/>
      <c r="B1838" s="17"/>
      <c r="C1838" s="16"/>
      <c r="D1838" s="8"/>
      <c r="E1838" s="8"/>
      <c r="F1838" s="8"/>
      <c r="G1838" s="8"/>
      <c r="H1838" s="17"/>
      <c r="I1838" s="17"/>
    </row>
    <row r="1839" spans="1:9">
      <c r="A1839" s="8"/>
      <c r="B1839" s="17"/>
      <c r="C1839" s="16"/>
      <c r="D1839" s="8"/>
      <c r="E1839" s="8"/>
      <c r="F1839" s="8"/>
      <c r="G1839" s="8"/>
      <c r="H1839" s="17"/>
      <c r="I1839" s="17"/>
    </row>
    <row r="1840" spans="1:9">
      <c r="A1840" s="8"/>
      <c r="B1840" s="17"/>
      <c r="C1840" s="16"/>
      <c r="D1840" s="8"/>
      <c r="E1840" s="8"/>
      <c r="F1840" s="8"/>
      <c r="G1840" s="8"/>
      <c r="H1840" s="17"/>
      <c r="I1840" s="17"/>
    </row>
    <row r="1841" spans="1:9">
      <c r="A1841" s="8"/>
      <c r="B1841" s="17"/>
      <c r="C1841" s="16"/>
      <c r="D1841" s="8"/>
      <c r="E1841" s="8"/>
      <c r="F1841" s="8"/>
      <c r="G1841" s="8"/>
      <c r="H1841" s="17"/>
      <c r="I1841" s="17"/>
    </row>
    <row r="1842" spans="1:9">
      <c r="A1842" s="8"/>
      <c r="B1842" s="17"/>
      <c r="C1842" s="16"/>
      <c r="D1842" s="8"/>
      <c r="E1842" s="8"/>
      <c r="F1842" s="8"/>
      <c r="G1842" s="8"/>
      <c r="H1842" s="17"/>
      <c r="I1842" s="17"/>
    </row>
    <row r="1843" spans="1:9">
      <c r="A1843" s="8"/>
      <c r="B1843" s="17"/>
      <c r="C1843" s="16"/>
      <c r="D1843" s="8"/>
      <c r="E1843" s="8"/>
      <c r="F1843" s="8"/>
      <c r="G1843" s="8"/>
      <c r="H1843" s="17"/>
      <c r="I1843" s="17"/>
    </row>
    <row r="1844" spans="1:9">
      <c r="A1844" s="8"/>
      <c r="B1844" s="17"/>
      <c r="C1844" s="16"/>
      <c r="D1844" s="8"/>
      <c r="E1844" s="8"/>
      <c r="F1844" s="8"/>
      <c r="G1844" s="8"/>
      <c r="H1844" s="17"/>
      <c r="I1844" s="17"/>
    </row>
    <row r="1845" spans="1:9">
      <c r="A1845" s="8"/>
      <c r="B1845" s="17"/>
      <c r="C1845" s="16"/>
      <c r="D1845" s="8"/>
      <c r="E1845" s="8"/>
      <c r="F1845" s="8"/>
      <c r="G1845" s="8"/>
      <c r="H1845" s="17"/>
      <c r="I1845" s="17"/>
    </row>
    <row r="1846" spans="1:9">
      <c r="A1846" s="8"/>
      <c r="B1846" s="17"/>
      <c r="C1846" s="16"/>
      <c r="D1846" s="8"/>
      <c r="E1846" s="8"/>
      <c r="F1846" s="8"/>
      <c r="G1846" s="8"/>
      <c r="H1846" s="17"/>
      <c r="I1846" s="17"/>
    </row>
    <row r="1847" spans="1:9">
      <c r="A1847" s="8"/>
      <c r="B1847" s="17"/>
      <c r="C1847" s="16"/>
      <c r="D1847" s="8"/>
      <c r="E1847" s="8"/>
      <c r="F1847" s="8"/>
      <c r="G1847" s="8"/>
      <c r="H1847" s="17"/>
      <c r="I1847" s="17"/>
    </row>
    <row r="1848" spans="1:9">
      <c r="A1848" s="8"/>
      <c r="B1848" s="17"/>
      <c r="C1848" s="16"/>
      <c r="D1848" s="8"/>
      <c r="E1848" s="8"/>
      <c r="F1848" s="8"/>
      <c r="G1848" s="8"/>
      <c r="H1848" s="17"/>
      <c r="I1848" s="17"/>
    </row>
    <row r="1849" spans="1:9">
      <c r="A1849" s="8"/>
      <c r="B1849" s="17"/>
      <c r="C1849" s="16"/>
      <c r="D1849" s="8"/>
      <c r="E1849" s="8"/>
      <c r="F1849" s="8"/>
      <c r="G1849" s="8"/>
      <c r="H1849" s="17"/>
      <c r="I1849" s="17"/>
    </row>
    <row r="1850" spans="1:9">
      <c r="A1850" s="8"/>
      <c r="B1850" s="17"/>
      <c r="C1850" s="16"/>
      <c r="D1850" s="8"/>
      <c r="E1850" s="8"/>
      <c r="F1850" s="8"/>
      <c r="G1850" s="8"/>
      <c r="H1850" s="17"/>
      <c r="I1850" s="17"/>
    </row>
    <row r="1851" spans="1:9">
      <c r="A1851" s="8"/>
      <c r="B1851" s="17"/>
      <c r="C1851" s="16"/>
      <c r="D1851" s="8"/>
      <c r="E1851" s="8"/>
      <c r="F1851" s="8"/>
      <c r="G1851" s="8"/>
      <c r="H1851" s="17"/>
      <c r="I1851" s="17"/>
    </row>
    <row r="1852" spans="1:9">
      <c r="A1852" s="8"/>
      <c r="B1852" s="17"/>
      <c r="C1852" s="16"/>
      <c r="D1852" s="8"/>
      <c r="E1852" s="8"/>
      <c r="F1852" s="8"/>
      <c r="G1852" s="8"/>
      <c r="H1852" s="17"/>
      <c r="I1852" s="17"/>
    </row>
    <row r="1853" spans="1:9">
      <c r="A1853" s="8"/>
      <c r="B1853" s="17"/>
      <c r="C1853" s="16"/>
      <c r="D1853" s="8"/>
      <c r="E1853" s="8"/>
      <c r="F1853" s="8"/>
      <c r="G1853" s="8"/>
      <c r="H1853" s="17"/>
      <c r="I1853" s="17"/>
    </row>
    <row r="1854" spans="1:9">
      <c r="A1854" s="8"/>
      <c r="B1854" s="17"/>
      <c r="C1854" s="16"/>
      <c r="D1854" s="8"/>
      <c r="E1854" s="8"/>
      <c r="F1854" s="8"/>
      <c r="G1854" s="8"/>
      <c r="H1854" s="17"/>
      <c r="I1854" s="17"/>
    </row>
    <row r="1855" spans="1:9">
      <c r="A1855" s="8"/>
      <c r="B1855" s="17"/>
      <c r="C1855" s="16"/>
      <c r="D1855" s="8"/>
      <c r="E1855" s="8"/>
      <c r="F1855" s="8"/>
      <c r="G1855" s="8"/>
      <c r="H1855" s="17"/>
      <c r="I1855" s="17"/>
    </row>
    <row r="1856" spans="1:9">
      <c r="A1856" s="8"/>
      <c r="B1856" s="17"/>
      <c r="C1856" s="16"/>
      <c r="D1856" s="8"/>
      <c r="E1856" s="8"/>
      <c r="F1856" s="8"/>
      <c r="G1856" s="8"/>
      <c r="H1856" s="17"/>
      <c r="I1856" s="17"/>
    </row>
    <row r="1857" spans="1:9">
      <c r="A1857" s="8"/>
      <c r="B1857" s="17"/>
      <c r="C1857" s="16"/>
      <c r="D1857" s="8"/>
      <c r="E1857" s="8"/>
      <c r="F1857" s="8"/>
      <c r="G1857" s="8"/>
      <c r="H1857" s="17"/>
      <c r="I1857" s="17"/>
    </row>
    <row r="1858" spans="1:9">
      <c r="A1858" s="8"/>
      <c r="B1858" s="17"/>
      <c r="C1858" s="16"/>
      <c r="D1858" s="8"/>
      <c r="E1858" s="8"/>
      <c r="F1858" s="8"/>
      <c r="G1858" s="8"/>
      <c r="H1858" s="17"/>
      <c r="I1858" s="17"/>
    </row>
    <row r="1859" spans="1:9">
      <c r="A1859" s="8"/>
      <c r="B1859" s="17"/>
      <c r="C1859" s="16"/>
      <c r="D1859" s="8"/>
      <c r="E1859" s="8"/>
      <c r="F1859" s="8"/>
      <c r="G1859" s="8"/>
      <c r="H1859" s="17"/>
      <c r="I1859" s="17"/>
    </row>
    <row r="1860" spans="1:9">
      <c r="A1860" s="8"/>
      <c r="B1860" s="17"/>
      <c r="C1860" s="16"/>
      <c r="D1860" s="8"/>
      <c r="E1860" s="8"/>
      <c r="F1860" s="8"/>
      <c r="G1860" s="8"/>
      <c r="H1860" s="17"/>
      <c r="I1860" s="17"/>
    </row>
    <row r="1861" spans="1:9">
      <c r="A1861" s="8"/>
      <c r="B1861" s="17"/>
      <c r="C1861" s="16"/>
      <c r="D1861" s="8"/>
      <c r="E1861" s="8"/>
      <c r="F1861" s="8"/>
      <c r="G1861" s="8"/>
      <c r="H1861" s="17"/>
      <c r="I1861" s="17"/>
    </row>
    <row r="1862" spans="1:9">
      <c r="A1862" s="8"/>
      <c r="B1862" s="17"/>
      <c r="C1862" s="16"/>
      <c r="D1862" s="8"/>
      <c r="E1862" s="8"/>
      <c r="F1862" s="8"/>
      <c r="G1862" s="8"/>
      <c r="H1862" s="17"/>
      <c r="I1862" s="17"/>
    </row>
    <row r="1863" spans="1:9">
      <c r="A1863" s="8"/>
      <c r="B1863" s="17"/>
      <c r="C1863" s="16"/>
      <c r="D1863" s="8"/>
      <c r="E1863" s="8"/>
      <c r="F1863" s="8"/>
      <c r="G1863" s="8"/>
      <c r="H1863" s="17"/>
      <c r="I1863" s="17"/>
    </row>
    <row r="1864" spans="1:9">
      <c r="A1864" s="8"/>
      <c r="B1864" s="17"/>
      <c r="C1864" s="16"/>
      <c r="D1864" s="8"/>
      <c r="E1864" s="8"/>
      <c r="F1864" s="8"/>
      <c r="G1864" s="8"/>
      <c r="H1864" s="17"/>
      <c r="I1864" s="17"/>
    </row>
    <row r="1865" spans="1:9">
      <c r="A1865" s="8"/>
      <c r="B1865" s="17"/>
      <c r="C1865" s="16"/>
      <c r="D1865" s="8"/>
      <c r="E1865" s="8"/>
      <c r="F1865" s="8"/>
      <c r="G1865" s="8"/>
      <c r="H1865" s="17"/>
      <c r="I1865" s="17"/>
    </row>
    <row r="1866" spans="1:9">
      <c r="A1866" s="8"/>
      <c r="B1866" s="17"/>
      <c r="C1866" s="16"/>
      <c r="D1866" s="8"/>
      <c r="E1866" s="8"/>
      <c r="F1866" s="8"/>
      <c r="G1866" s="8"/>
      <c r="H1866" s="17"/>
      <c r="I1866" s="17"/>
    </row>
    <row r="1867" spans="1:9">
      <c r="A1867" s="8"/>
      <c r="B1867" s="17"/>
      <c r="C1867" s="16"/>
      <c r="D1867" s="8"/>
      <c r="E1867" s="8"/>
      <c r="F1867" s="8"/>
      <c r="G1867" s="8"/>
      <c r="H1867" s="17"/>
      <c r="I1867" s="17"/>
    </row>
    <row r="1868" spans="1:9">
      <c r="A1868" s="8"/>
      <c r="B1868" s="17"/>
      <c r="C1868" s="16"/>
      <c r="D1868" s="8"/>
      <c r="E1868" s="8"/>
      <c r="F1868" s="8"/>
      <c r="G1868" s="8"/>
      <c r="H1868" s="17"/>
      <c r="I1868" s="17"/>
    </row>
    <row r="1869" spans="1:9">
      <c r="A1869" s="8"/>
      <c r="B1869" s="17"/>
      <c r="C1869" s="16"/>
      <c r="D1869" s="8"/>
      <c r="E1869" s="8"/>
      <c r="F1869" s="8"/>
      <c r="G1869" s="8"/>
      <c r="H1869" s="17"/>
      <c r="I1869" s="17"/>
    </row>
    <row r="1870" spans="1:9">
      <c r="A1870" s="8"/>
      <c r="B1870" s="17"/>
      <c r="C1870" s="16"/>
      <c r="D1870" s="8"/>
      <c r="E1870" s="8"/>
      <c r="F1870" s="8"/>
      <c r="G1870" s="8"/>
      <c r="H1870" s="17"/>
      <c r="I1870" s="17"/>
    </row>
    <row r="1871" spans="1:9">
      <c r="A1871" s="8"/>
      <c r="B1871" s="17"/>
      <c r="C1871" s="16"/>
      <c r="D1871" s="8"/>
      <c r="E1871" s="8"/>
      <c r="F1871" s="8"/>
      <c r="G1871" s="8"/>
      <c r="H1871" s="17"/>
      <c r="I1871" s="17"/>
    </row>
    <row r="1872" spans="1:9">
      <c r="A1872" s="8"/>
      <c r="B1872" s="17"/>
      <c r="C1872" s="16"/>
      <c r="D1872" s="8"/>
      <c r="E1872" s="8"/>
      <c r="F1872" s="8"/>
      <c r="G1872" s="8"/>
      <c r="H1872" s="17"/>
      <c r="I1872" s="17"/>
    </row>
    <row r="1873" spans="1:9">
      <c r="A1873" s="8"/>
      <c r="B1873" s="17"/>
      <c r="C1873" s="16"/>
      <c r="D1873" s="8"/>
      <c r="E1873" s="8"/>
      <c r="F1873" s="8"/>
      <c r="G1873" s="8"/>
      <c r="H1873" s="17"/>
      <c r="I1873" s="17"/>
    </row>
    <row r="1874" spans="1:9">
      <c r="A1874" s="8"/>
      <c r="B1874" s="17"/>
      <c r="C1874" s="16"/>
      <c r="D1874" s="8"/>
      <c r="E1874" s="8"/>
      <c r="F1874" s="8"/>
      <c r="G1874" s="8"/>
      <c r="H1874" s="17"/>
      <c r="I1874" s="17"/>
    </row>
    <row r="1875" spans="1:9">
      <c r="A1875" s="8"/>
      <c r="B1875" s="17"/>
      <c r="C1875" s="16"/>
      <c r="D1875" s="8"/>
      <c r="E1875" s="8"/>
      <c r="F1875" s="8"/>
      <c r="G1875" s="8"/>
      <c r="H1875" s="17"/>
      <c r="I1875" s="17"/>
    </row>
    <row r="1876" spans="1:9">
      <c r="A1876" s="8"/>
      <c r="B1876" s="17"/>
      <c r="C1876" s="16"/>
      <c r="D1876" s="8"/>
      <c r="E1876" s="8"/>
      <c r="F1876" s="8"/>
      <c r="G1876" s="8"/>
      <c r="H1876" s="17"/>
      <c r="I1876" s="17"/>
    </row>
    <row r="1877" spans="1:9">
      <c r="A1877" s="8"/>
      <c r="B1877" s="17"/>
      <c r="C1877" s="16"/>
      <c r="D1877" s="8"/>
      <c r="E1877" s="8"/>
      <c r="F1877" s="8"/>
      <c r="G1877" s="8"/>
      <c r="H1877" s="17"/>
      <c r="I1877" s="17"/>
    </row>
    <row r="1878" spans="1:9">
      <c r="A1878" s="8"/>
      <c r="B1878" s="17"/>
      <c r="C1878" s="16"/>
      <c r="D1878" s="8"/>
      <c r="E1878" s="8"/>
      <c r="F1878" s="8"/>
      <c r="G1878" s="8"/>
      <c r="H1878" s="17"/>
      <c r="I1878" s="17"/>
    </row>
    <row r="1879" spans="1:9">
      <c r="A1879" s="8"/>
      <c r="B1879" s="17"/>
      <c r="C1879" s="16"/>
      <c r="D1879" s="8"/>
      <c r="E1879" s="8"/>
      <c r="F1879" s="8"/>
      <c r="G1879" s="8"/>
      <c r="H1879" s="17"/>
      <c r="I1879" s="17"/>
    </row>
    <row r="1880" spans="1:9">
      <c r="A1880" s="8"/>
      <c r="B1880" s="17"/>
      <c r="C1880" s="16"/>
      <c r="D1880" s="8"/>
      <c r="E1880" s="8"/>
      <c r="F1880" s="8"/>
      <c r="G1880" s="8"/>
      <c r="H1880" s="17"/>
      <c r="I1880" s="17"/>
    </row>
    <row r="1881" spans="1:9">
      <c r="A1881" s="8"/>
      <c r="B1881" s="17"/>
      <c r="C1881" s="16"/>
      <c r="D1881" s="8"/>
      <c r="E1881" s="8"/>
      <c r="F1881" s="8"/>
      <c r="G1881" s="8"/>
      <c r="H1881" s="17"/>
      <c r="I1881" s="17"/>
    </row>
    <row r="1882" spans="1:9">
      <c r="A1882" s="8"/>
      <c r="B1882" s="17"/>
      <c r="C1882" s="16"/>
      <c r="D1882" s="8"/>
      <c r="E1882" s="8"/>
      <c r="F1882" s="8"/>
      <c r="G1882" s="8"/>
      <c r="H1882" s="17"/>
      <c r="I1882" s="17"/>
    </row>
    <row r="1883" spans="1:9">
      <c r="A1883" s="8"/>
      <c r="B1883" s="17"/>
      <c r="C1883" s="16"/>
      <c r="D1883" s="8"/>
      <c r="E1883" s="8"/>
      <c r="F1883" s="8"/>
      <c r="G1883" s="8"/>
      <c r="H1883" s="17"/>
      <c r="I1883" s="17"/>
    </row>
    <row r="1884" spans="1:9">
      <c r="A1884" s="8"/>
      <c r="B1884" s="17"/>
      <c r="C1884" s="16"/>
      <c r="D1884" s="8"/>
      <c r="E1884" s="8"/>
      <c r="F1884" s="8"/>
      <c r="G1884" s="8"/>
      <c r="H1884" s="17"/>
      <c r="I1884" s="17"/>
    </row>
    <row r="1885" spans="1:9">
      <c r="A1885" s="8"/>
      <c r="B1885" s="17"/>
      <c r="C1885" s="16"/>
      <c r="D1885" s="8"/>
      <c r="E1885" s="8"/>
      <c r="F1885" s="8"/>
      <c r="G1885" s="8"/>
      <c r="H1885" s="17"/>
      <c r="I1885" s="17"/>
    </row>
    <row r="1886" spans="1:9">
      <c r="A1886" s="8"/>
      <c r="B1886" s="17"/>
      <c r="C1886" s="16"/>
      <c r="D1886" s="8"/>
      <c r="E1886" s="8"/>
      <c r="F1886" s="8"/>
      <c r="G1886" s="8"/>
      <c r="H1886" s="17"/>
      <c r="I1886" s="17"/>
    </row>
    <row r="1887" spans="1:9">
      <c r="A1887" s="8"/>
      <c r="B1887" s="17"/>
      <c r="C1887" s="16"/>
      <c r="D1887" s="8"/>
      <c r="E1887" s="8"/>
      <c r="F1887" s="8"/>
      <c r="G1887" s="8"/>
      <c r="H1887" s="17"/>
      <c r="I1887" s="17"/>
    </row>
    <row r="1888" spans="1:9">
      <c r="A1888" s="8"/>
      <c r="B1888" s="17"/>
      <c r="C1888" s="16"/>
      <c r="D1888" s="8"/>
      <c r="E1888" s="8"/>
      <c r="F1888" s="8"/>
      <c r="G1888" s="8"/>
      <c r="H1888" s="17"/>
      <c r="I1888" s="17"/>
    </row>
    <row r="1889" spans="1:9">
      <c r="A1889" s="8"/>
      <c r="B1889" s="17"/>
      <c r="C1889" s="16"/>
      <c r="D1889" s="8"/>
      <c r="E1889" s="8"/>
      <c r="F1889" s="8"/>
      <c r="G1889" s="8"/>
      <c r="H1889" s="17"/>
      <c r="I1889" s="17"/>
    </row>
    <row r="1890" spans="1:9">
      <c r="A1890" s="8"/>
      <c r="B1890" s="17"/>
      <c r="C1890" s="16"/>
      <c r="D1890" s="8"/>
      <c r="E1890" s="8"/>
      <c r="F1890" s="8"/>
      <c r="G1890" s="8"/>
      <c r="H1890" s="17"/>
      <c r="I1890" s="17"/>
    </row>
    <row r="1891" spans="1:9">
      <c r="A1891" s="8"/>
      <c r="B1891" s="17"/>
      <c r="C1891" s="16"/>
      <c r="D1891" s="8"/>
      <c r="E1891" s="8"/>
      <c r="F1891" s="8"/>
      <c r="G1891" s="8"/>
      <c r="H1891" s="17"/>
      <c r="I1891" s="17"/>
    </row>
    <row r="1892" spans="1:9">
      <c r="A1892" s="8"/>
      <c r="B1892" s="17"/>
      <c r="C1892" s="16"/>
      <c r="D1892" s="8"/>
      <c r="E1892" s="8"/>
      <c r="F1892" s="8"/>
      <c r="G1892" s="8"/>
      <c r="H1892" s="17"/>
      <c r="I1892" s="17"/>
    </row>
    <row r="1893" spans="1:9">
      <c r="A1893" s="8"/>
      <c r="B1893" s="17"/>
      <c r="C1893" s="16"/>
      <c r="D1893" s="8"/>
      <c r="E1893" s="8"/>
      <c r="F1893" s="8"/>
      <c r="G1893" s="8"/>
      <c r="H1893" s="17"/>
      <c r="I1893" s="17"/>
    </row>
    <row r="1894" spans="1:9">
      <c r="A1894" s="8"/>
      <c r="B1894" s="17"/>
      <c r="C1894" s="16"/>
      <c r="D1894" s="8"/>
      <c r="E1894" s="8"/>
      <c r="F1894" s="8"/>
      <c r="G1894" s="8"/>
      <c r="H1894" s="17"/>
      <c r="I1894" s="17"/>
    </row>
    <row r="1895" spans="1:9">
      <c r="A1895" s="8"/>
      <c r="B1895" s="17"/>
      <c r="C1895" s="16"/>
      <c r="D1895" s="8"/>
      <c r="E1895" s="8"/>
      <c r="F1895" s="8"/>
      <c r="G1895" s="8"/>
      <c r="H1895" s="17"/>
      <c r="I1895" s="17"/>
    </row>
    <row r="1896" spans="1:9">
      <c r="A1896" s="8"/>
      <c r="B1896" s="17"/>
      <c r="C1896" s="16"/>
      <c r="D1896" s="8"/>
      <c r="E1896" s="8"/>
      <c r="F1896" s="8"/>
      <c r="G1896" s="8"/>
      <c r="H1896" s="17"/>
      <c r="I1896" s="17"/>
    </row>
    <row r="1897" spans="1:9">
      <c r="A1897" s="8"/>
      <c r="B1897" s="17"/>
      <c r="C1897" s="16"/>
      <c r="D1897" s="8"/>
      <c r="E1897" s="8"/>
      <c r="F1897" s="8"/>
      <c r="G1897" s="8"/>
      <c r="H1897" s="17"/>
      <c r="I1897" s="17"/>
    </row>
    <row r="1898" spans="1:9">
      <c r="A1898" s="8"/>
      <c r="B1898" s="17"/>
      <c r="C1898" s="16"/>
      <c r="D1898" s="8"/>
      <c r="E1898" s="8"/>
      <c r="F1898" s="8"/>
      <c r="G1898" s="8"/>
      <c r="H1898" s="17"/>
      <c r="I1898" s="17"/>
    </row>
    <row r="1899" spans="1:9">
      <c r="A1899" s="8"/>
      <c r="B1899" s="17"/>
      <c r="C1899" s="16"/>
      <c r="D1899" s="8"/>
      <c r="E1899" s="8"/>
      <c r="F1899" s="8"/>
      <c r="G1899" s="8"/>
      <c r="H1899" s="17"/>
      <c r="I1899" s="17"/>
    </row>
    <row r="1900" spans="1:9">
      <c r="A1900" s="8"/>
      <c r="B1900" s="17"/>
      <c r="C1900" s="16"/>
      <c r="D1900" s="8"/>
      <c r="E1900" s="8"/>
      <c r="F1900" s="8"/>
      <c r="G1900" s="8"/>
      <c r="H1900" s="17"/>
      <c r="I1900" s="17"/>
    </row>
    <row r="1901" spans="1:9">
      <c r="A1901" s="8"/>
      <c r="B1901" s="17"/>
      <c r="C1901" s="16"/>
      <c r="D1901" s="8"/>
      <c r="E1901" s="8"/>
      <c r="F1901" s="8"/>
      <c r="G1901" s="8"/>
      <c r="H1901" s="17"/>
      <c r="I1901" s="17"/>
    </row>
    <row r="1902" spans="1:9">
      <c r="A1902" s="8"/>
      <c r="B1902" s="17"/>
      <c r="C1902" s="16"/>
      <c r="D1902" s="8"/>
      <c r="E1902" s="8"/>
      <c r="F1902" s="8"/>
      <c r="G1902" s="8"/>
      <c r="H1902" s="17"/>
      <c r="I1902" s="17"/>
    </row>
    <row r="1903" spans="1:9">
      <c r="A1903" s="8"/>
      <c r="B1903" s="17"/>
      <c r="C1903" s="16"/>
      <c r="D1903" s="8"/>
      <c r="E1903" s="8"/>
      <c r="F1903" s="8"/>
      <c r="G1903" s="8"/>
      <c r="H1903" s="17"/>
      <c r="I1903" s="17"/>
    </row>
    <row r="1904" spans="1:9">
      <c r="A1904" s="8"/>
      <c r="B1904" s="17"/>
      <c r="C1904" s="16"/>
      <c r="D1904" s="8"/>
      <c r="E1904" s="8"/>
      <c r="F1904" s="8"/>
      <c r="G1904" s="8"/>
      <c r="H1904" s="17"/>
      <c r="I1904" s="17"/>
    </row>
    <row r="1905" spans="1:9">
      <c r="A1905" s="8"/>
      <c r="B1905" s="17"/>
      <c r="C1905" s="16"/>
      <c r="D1905" s="8"/>
      <c r="E1905" s="8"/>
      <c r="F1905" s="8"/>
      <c r="G1905" s="8"/>
      <c r="H1905" s="17"/>
      <c r="I1905" s="17"/>
    </row>
    <row r="1906" spans="1:9">
      <c r="A1906" s="8"/>
      <c r="B1906" s="17"/>
      <c r="C1906" s="16"/>
      <c r="D1906" s="8"/>
      <c r="E1906" s="8"/>
      <c r="F1906" s="8"/>
      <c r="G1906" s="8"/>
      <c r="H1906" s="17"/>
      <c r="I1906" s="17"/>
    </row>
    <row r="1907" spans="1:9">
      <c r="A1907" s="8"/>
      <c r="B1907" s="17"/>
      <c r="C1907" s="16"/>
      <c r="D1907" s="8"/>
      <c r="E1907" s="8"/>
      <c r="F1907" s="8"/>
      <c r="G1907" s="8"/>
      <c r="H1907" s="17"/>
      <c r="I1907" s="17"/>
    </row>
    <row r="1908" spans="1:9">
      <c r="A1908" s="8"/>
      <c r="B1908" s="17"/>
      <c r="C1908" s="16"/>
      <c r="D1908" s="8"/>
      <c r="E1908" s="8"/>
      <c r="F1908" s="8"/>
      <c r="G1908" s="8"/>
      <c r="H1908" s="17"/>
      <c r="I1908" s="17"/>
    </row>
    <row r="1909" spans="1:9">
      <c r="A1909" s="8"/>
      <c r="B1909" s="17"/>
      <c r="C1909" s="16"/>
      <c r="D1909" s="8"/>
      <c r="E1909" s="8"/>
      <c r="F1909" s="8"/>
      <c r="G1909" s="8"/>
      <c r="H1909" s="17"/>
      <c r="I1909" s="17"/>
    </row>
    <row r="1910" spans="1:9">
      <c r="A1910" s="8"/>
      <c r="B1910" s="17"/>
      <c r="C1910" s="16"/>
      <c r="D1910" s="8"/>
      <c r="E1910" s="8"/>
      <c r="F1910" s="8"/>
      <c r="G1910" s="8"/>
      <c r="H1910" s="17"/>
      <c r="I1910" s="17"/>
    </row>
    <row r="1911" spans="1:9">
      <c r="A1911" s="8"/>
      <c r="B1911" s="17"/>
      <c r="C1911" s="16"/>
      <c r="D1911" s="8"/>
      <c r="E1911" s="8"/>
      <c r="F1911" s="8"/>
      <c r="G1911" s="8"/>
      <c r="H1911" s="17"/>
      <c r="I1911" s="17"/>
    </row>
    <row r="1912" spans="1:9">
      <c r="A1912" s="8"/>
      <c r="B1912" s="17"/>
      <c r="C1912" s="16"/>
      <c r="D1912" s="8"/>
      <c r="E1912" s="8"/>
      <c r="F1912" s="8"/>
      <c r="G1912" s="8"/>
      <c r="H1912" s="17"/>
      <c r="I1912" s="17"/>
    </row>
    <row r="1913" spans="1:9">
      <c r="A1913" s="8"/>
      <c r="B1913" s="17"/>
      <c r="C1913" s="16"/>
      <c r="D1913" s="8"/>
      <c r="E1913" s="8"/>
      <c r="F1913" s="8"/>
      <c r="G1913" s="8"/>
      <c r="H1913" s="17"/>
      <c r="I1913" s="17"/>
    </row>
    <row r="1914" spans="1:9">
      <c r="A1914" s="8"/>
      <c r="B1914" s="17"/>
      <c r="C1914" s="16"/>
      <c r="D1914" s="8"/>
      <c r="E1914" s="8"/>
      <c r="F1914" s="8"/>
      <c r="G1914" s="8"/>
      <c r="H1914" s="17"/>
      <c r="I1914" s="17"/>
    </row>
    <row r="1915" spans="1:9">
      <c r="A1915" s="8"/>
      <c r="B1915" s="17"/>
      <c r="C1915" s="16"/>
      <c r="D1915" s="8"/>
      <c r="E1915" s="8"/>
      <c r="F1915" s="8"/>
      <c r="G1915" s="8"/>
      <c r="H1915" s="17"/>
      <c r="I1915" s="17"/>
    </row>
    <row r="1916" spans="1:9">
      <c r="A1916" s="8"/>
      <c r="B1916" s="17"/>
      <c r="C1916" s="16"/>
      <c r="D1916" s="8"/>
      <c r="E1916" s="8"/>
      <c r="F1916" s="8"/>
      <c r="G1916" s="8"/>
      <c r="H1916" s="17"/>
      <c r="I1916" s="17"/>
    </row>
    <row r="1917" spans="1:9">
      <c r="A1917" s="8"/>
      <c r="B1917" s="17"/>
      <c r="C1917" s="16"/>
      <c r="D1917" s="8"/>
      <c r="E1917" s="8"/>
      <c r="F1917" s="8"/>
      <c r="G1917" s="8"/>
      <c r="H1917" s="17"/>
      <c r="I1917" s="17"/>
    </row>
    <row r="1918" spans="1:9">
      <c r="A1918" s="8"/>
      <c r="B1918" s="17"/>
      <c r="C1918" s="16"/>
      <c r="D1918" s="8"/>
      <c r="E1918" s="8"/>
      <c r="F1918" s="8"/>
      <c r="G1918" s="8"/>
      <c r="H1918" s="17"/>
      <c r="I1918" s="17"/>
    </row>
    <row r="1919" spans="1:9">
      <c r="A1919" s="8"/>
      <c r="B1919" s="17"/>
      <c r="C1919" s="16"/>
      <c r="D1919" s="8"/>
      <c r="E1919" s="8"/>
      <c r="F1919" s="8"/>
      <c r="G1919" s="8"/>
      <c r="H1919" s="17"/>
      <c r="I1919" s="17"/>
    </row>
    <row r="1920" spans="1:9">
      <c r="A1920" s="8"/>
      <c r="B1920" s="17"/>
      <c r="C1920" s="16"/>
      <c r="D1920" s="8"/>
      <c r="E1920" s="8"/>
      <c r="F1920" s="8"/>
      <c r="G1920" s="8"/>
      <c r="H1920" s="17"/>
      <c r="I1920" s="17"/>
    </row>
    <row r="1921" spans="1:9">
      <c r="A1921" s="8"/>
      <c r="B1921" s="17"/>
      <c r="C1921" s="16"/>
      <c r="D1921" s="8"/>
      <c r="E1921" s="8"/>
      <c r="F1921" s="8"/>
      <c r="G1921" s="8"/>
      <c r="H1921" s="17"/>
      <c r="I1921" s="17"/>
    </row>
    <row r="1922" spans="1:9">
      <c r="A1922" s="8"/>
      <c r="B1922" s="17"/>
      <c r="C1922" s="16"/>
      <c r="D1922" s="8"/>
      <c r="E1922" s="8"/>
      <c r="F1922" s="8"/>
      <c r="G1922" s="8"/>
      <c r="H1922" s="17"/>
      <c r="I1922" s="17"/>
    </row>
    <row r="1923" spans="1:9">
      <c r="A1923" s="8"/>
      <c r="B1923" s="17"/>
      <c r="C1923" s="16"/>
      <c r="D1923" s="8"/>
      <c r="E1923" s="8"/>
      <c r="F1923" s="8"/>
      <c r="G1923" s="8"/>
      <c r="H1923" s="17"/>
      <c r="I1923" s="17"/>
    </row>
    <row r="1924" spans="1:9">
      <c r="A1924" s="8"/>
      <c r="B1924" s="17"/>
      <c r="C1924" s="16"/>
      <c r="D1924" s="8"/>
      <c r="E1924" s="8"/>
      <c r="F1924" s="8"/>
      <c r="G1924" s="8"/>
      <c r="H1924" s="17"/>
      <c r="I1924" s="17"/>
    </row>
    <row r="1925" spans="1:9">
      <c r="A1925" s="8"/>
      <c r="B1925" s="17"/>
      <c r="C1925" s="16"/>
      <c r="D1925" s="8"/>
      <c r="E1925" s="8"/>
      <c r="F1925" s="8"/>
      <c r="G1925" s="8"/>
      <c r="H1925" s="17"/>
      <c r="I1925" s="17"/>
    </row>
    <row r="1926" spans="1:9">
      <c r="A1926" s="8"/>
      <c r="B1926" s="17"/>
      <c r="C1926" s="16"/>
      <c r="D1926" s="8"/>
      <c r="E1926" s="8"/>
      <c r="F1926" s="8"/>
      <c r="G1926" s="8"/>
      <c r="H1926" s="17"/>
      <c r="I1926" s="17"/>
    </row>
    <row r="1927" spans="1:9">
      <c r="A1927" s="8"/>
      <c r="B1927" s="17"/>
      <c r="C1927" s="16"/>
      <c r="D1927" s="8"/>
      <c r="E1927" s="8"/>
      <c r="F1927" s="8"/>
      <c r="G1927" s="8"/>
      <c r="H1927" s="17"/>
      <c r="I1927" s="17"/>
    </row>
    <row r="1928" spans="1:9">
      <c r="A1928" s="8"/>
      <c r="B1928" s="17"/>
      <c r="C1928" s="16"/>
      <c r="D1928" s="8"/>
      <c r="E1928" s="8"/>
      <c r="F1928" s="8"/>
      <c r="G1928" s="8"/>
      <c r="H1928" s="17"/>
      <c r="I1928" s="17"/>
    </row>
    <row r="1929" spans="1:9">
      <c r="A1929" s="8"/>
      <c r="B1929" s="17"/>
      <c r="C1929" s="16"/>
      <c r="D1929" s="8"/>
      <c r="E1929" s="8"/>
      <c r="F1929" s="8"/>
      <c r="G1929" s="8"/>
      <c r="H1929" s="17"/>
      <c r="I1929" s="17"/>
    </row>
    <row r="1930" spans="1:9">
      <c r="A1930" s="8"/>
      <c r="B1930" s="17"/>
      <c r="C1930" s="16"/>
      <c r="D1930" s="8"/>
      <c r="E1930" s="8"/>
      <c r="F1930" s="8"/>
      <c r="G1930" s="8"/>
      <c r="H1930" s="17"/>
      <c r="I1930" s="17"/>
    </row>
    <row r="1931" spans="1:9">
      <c r="A1931" s="8"/>
      <c r="B1931" s="17"/>
      <c r="C1931" s="16"/>
      <c r="D1931" s="8"/>
      <c r="E1931" s="8"/>
      <c r="F1931" s="8"/>
      <c r="G1931" s="8"/>
      <c r="H1931" s="17"/>
      <c r="I1931" s="17"/>
    </row>
    <row r="1932" spans="1:9">
      <c r="A1932" s="8"/>
      <c r="B1932" s="17"/>
      <c r="C1932" s="16"/>
      <c r="D1932" s="8"/>
      <c r="E1932" s="8"/>
      <c r="F1932" s="8"/>
      <c r="G1932" s="8"/>
      <c r="H1932" s="17"/>
      <c r="I1932" s="17"/>
    </row>
    <row r="1933" spans="1:9">
      <c r="A1933" s="8"/>
      <c r="B1933" s="17"/>
      <c r="C1933" s="16"/>
      <c r="D1933" s="8"/>
      <c r="E1933" s="8"/>
      <c r="F1933" s="8"/>
      <c r="G1933" s="8"/>
      <c r="H1933" s="17"/>
      <c r="I1933" s="17"/>
    </row>
    <row r="1934" spans="1:9">
      <c r="A1934" s="8"/>
      <c r="B1934" s="17"/>
      <c r="C1934" s="16"/>
      <c r="D1934" s="8"/>
      <c r="E1934" s="8"/>
      <c r="F1934" s="8"/>
      <c r="G1934" s="8"/>
      <c r="H1934" s="17"/>
      <c r="I1934" s="17"/>
    </row>
    <row r="1935" spans="1:9">
      <c r="A1935" s="8"/>
      <c r="B1935" s="17"/>
      <c r="C1935" s="16"/>
      <c r="D1935" s="8"/>
      <c r="E1935" s="8"/>
      <c r="F1935" s="8"/>
      <c r="G1935" s="8"/>
      <c r="H1935" s="17"/>
      <c r="I1935" s="17"/>
    </row>
    <row r="1936" spans="1:9">
      <c r="A1936" s="8"/>
      <c r="B1936" s="17"/>
      <c r="C1936" s="16"/>
      <c r="D1936" s="8"/>
      <c r="E1936" s="8"/>
      <c r="F1936" s="8"/>
      <c r="G1936" s="8"/>
      <c r="H1936" s="17"/>
      <c r="I1936" s="17"/>
    </row>
    <row r="1937" spans="1:9">
      <c r="A1937" s="8"/>
      <c r="B1937" s="17"/>
      <c r="C1937" s="16"/>
      <c r="D1937" s="8"/>
      <c r="E1937" s="8"/>
      <c r="F1937" s="8"/>
      <c r="G1937" s="8"/>
      <c r="H1937" s="17"/>
      <c r="I1937" s="17"/>
    </row>
    <row r="1938" spans="1:9">
      <c r="A1938" s="8"/>
      <c r="B1938" s="17"/>
      <c r="C1938" s="16"/>
      <c r="D1938" s="8"/>
      <c r="E1938" s="8"/>
      <c r="F1938" s="8"/>
      <c r="G1938" s="8"/>
      <c r="H1938" s="17"/>
      <c r="I1938" s="17"/>
    </row>
    <row r="1939" spans="1:9">
      <c r="A1939" s="8"/>
      <c r="B1939" s="17"/>
      <c r="C1939" s="16"/>
      <c r="D1939" s="8"/>
      <c r="E1939" s="8"/>
      <c r="F1939" s="8"/>
      <c r="G1939" s="8"/>
      <c r="H1939" s="17"/>
      <c r="I1939" s="17"/>
    </row>
    <row r="1940" spans="1:9">
      <c r="A1940" s="8"/>
      <c r="B1940" s="17"/>
      <c r="C1940" s="16"/>
      <c r="D1940" s="8"/>
      <c r="E1940" s="8"/>
      <c r="F1940" s="8"/>
      <c r="G1940" s="8"/>
      <c r="H1940" s="17"/>
      <c r="I1940" s="17"/>
    </row>
    <row r="1941" spans="1:9">
      <c r="A1941" s="8"/>
      <c r="B1941" s="17"/>
      <c r="C1941" s="16"/>
      <c r="D1941" s="8"/>
      <c r="E1941" s="8"/>
      <c r="F1941" s="8"/>
      <c r="G1941" s="8"/>
      <c r="H1941" s="17"/>
      <c r="I1941" s="17"/>
    </row>
    <row r="1942" spans="1:9">
      <c r="A1942" s="8"/>
      <c r="B1942" s="17"/>
      <c r="C1942" s="16"/>
      <c r="D1942" s="8"/>
      <c r="E1942" s="8"/>
      <c r="F1942" s="8"/>
      <c r="G1942" s="8"/>
      <c r="H1942" s="17"/>
      <c r="I1942" s="17"/>
    </row>
    <row r="1943" spans="1:9">
      <c r="A1943" s="8"/>
      <c r="B1943" s="17"/>
      <c r="C1943" s="16"/>
      <c r="D1943" s="8"/>
      <c r="E1943" s="8"/>
      <c r="F1943" s="8"/>
      <c r="G1943" s="8"/>
      <c r="H1943" s="17"/>
      <c r="I1943" s="17"/>
    </row>
    <row r="1944" spans="1:9">
      <c r="A1944" s="8"/>
      <c r="B1944" s="17"/>
      <c r="C1944" s="16"/>
      <c r="D1944" s="8"/>
      <c r="E1944" s="8"/>
      <c r="F1944" s="8"/>
      <c r="G1944" s="8"/>
      <c r="H1944" s="17"/>
      <c r="I1944" s="17"/>
    </row>
    <row r="1945" spans="1:9">
      <c r="A1945" s="8"/>
      <c r="B1945" s="17"/>
      <c r="C1945" s="16"/>
      <c r="D1945" s="8"/>
      <c r="E1945" s="8"/>
      <c r="F1945" s="8"/>
      <c r="G1945" s="8"/>
      <c r="H1945" s="17"/>
      <c r="I1945" s="17"/>
    </row>
    <row r="1946" spans="1:9">
      <c r="A1946" s="8"/>
      <c r="B1946" s="17"/>
      <c r="C1946" s="16"/>
      <c r="D1946" s="8"/>
      <c r="E1946" s="8"/>
      <c r="F1946" s="8"/>
      <c r="G1946" s="8"/>
      <c r="H1946" s="17"/>
      <c r="I1946" s="17"/>
    </row>
    <row r="1947" spans="1:9">
      <c r="A1947" s="8"/>
      <c r="B1947" s="17"/>
      <c r="C1947" s="16"/>
      <c r="D1947" s="8"/>
      <c r="E1947" s="8"/>
      <c r="F1947" s="8"/>
      <c r="G1947" s="8"/>
      <c r="H1947" s="17"/>
      <c r="I1947" s="17"/>
    </row>
    <row r="1948" spans="1:9">
      <c r="A1948" s="8"/>
      <c r="B1948" s="17"/>
      <c r="C1948" s="16"/>
      <c r="D1948" s="8"/>
      <c r="E1948" s="8"/>
      <c r="F1948" s="8"/>
      <c r="G1948" s="8"/>
      <c r="H1948" s="17"/>
      <c r="I1948" s="17"/>
    </row>
    <row r="1949" spans="1:9">
      <c r="A1949" s="8"/>
      <c r="B1949" s="17"/>
      <c r="C1949" s="16"/>
      <c r="D1949" s="8"/>
      <c r="E1949" s="8"/>
      <c r="F1949" s="8"/>
      <c r="G1949" s="8"/>
      <c r="H1949" s="17"/>
      <c r="I1949" s="17"/>
    </row>
    <row r="1950" spans="1:9">
      <c r="A1950" s="8"/>
      <c r="B1950" s="17"/>
      <c r="C1950" s="16"/>
      <c r="D1950" s="8"/>
      <c r="E1950" s="8"/>
      <c r="F1950" s="8"/>
      <c r="G1950" s="8"/>
      <c r="H1950" s="17"/>
      <c r="I1950" s="17"/>
    </row>
    <row r="1951" spans="1:9">
      <c r="A1951" s="8"/>
      <c r="B1951" s="17"/>
      <c r="C1951" s="16"/>
      <c r="D1951" s="8"/>
      <c r="E1951" s="8"/>
      <c r="F1951" s="8"/>
      <c r="G1951" s="8"/>
      <c r="H1951" s="17"/>
      <c r="I1951" s="17"/>
    </row>
    <row r="1952" spans="1:9">
      <c r="A1952" s="8"/>
      <c r="B1952" s="17"/>
      <c r="C1952" s="16"/>
      <c r="D1952" s="8"/>
      <c r="E1952" s="8"/>
      <c r="F1952" s="8"/>
      <c r="G1952" s="8"/>
      <c r="H1952" s="17"/>
      <c r="I1952" s="17"/>
    </row>
    <row r="1953" spans="1:9">
      <c r="A1953" s="8"/>
      <c r="B1953" s="17"/>
      <c r="C1953" s="16"/>
      <c r="D1953" s="8"/>
      <c r="E1953" s="8"/>
      <c r="F1953" s="8"/>
      <c r="G1953" s="8"/>
      <c r="H1953" s="17"/>
      <c r="I1953" s="17"/>
    </row>
    <row r="1954" spans="1:9">
      <c r="A1954" s="8"/>
      <c r="B1954" s="17"/>
      <c r="C1954" s="16"/>
      <c r="D1954" s="8"/>
      <c r="E1954" s="8"/>
      <c r="F1954" s="8"/>
      <c r="G1954" s="8"/>
      <c r="H1954" s="17"/>
      <c r="I1954" s="17"/>
    </row>
    <row r="1955" spans="1:9">
      <c r="A1955" s="8"/>
      <c r="B1955" s="17"/>
      <c r="C1955" s="16"/>
      <c r="D1955" s="8"/>
      <c r="E1955" s="8"/>
      <c r="F1955" s="8"/>
      <c r="G1955" s="8"/>
      <c r="H1955" s="17"/>
      <c r="I1955" s="17"/>
    </row>
    <row r="1956" spans="1:9">
      <c r="A1956" s="8"/>
      <c r="B1956" s="17"/>
      <c r="C1956" s="16"/>
      <c r="D1956" s="8"/>
      <c r="E1956" s="8"/>
      <c r="F1956" s="8"/>
      <c r="G1956" s="8"/>
      <c r="H1956" s="17"/>
      <c r="I1956" s="17"/>
    </row>
    <row r="1957" spans="1:9">
      <c r="A1957" s="8"/>
      <c r="B1957" s="17"/>
      <c r="C1957" s="16"/>
      <c r="D1957" s="8"/>
      <c r="E1957" s="8"/>
      <c r="F1957" s="8"/>
      <c r="G1957" s="8"/>
      <c r="H1957" s="17"/>
      <c r="I1957" s="17"/>
    </row>
    <row r="1958" spans="1:9">
      <c r="A1958" s="8"/>
      <c r="B1958" s="17"/>
      <c r="C1958" s="16"/>
      <c r="D1958" s="8"/>
      <c r="E1958" s="8"/>
      <c r="F1958" s="8"/>
      <c r="G1958" s="8"/>
      <c r="H1958" s="17"/>
      <c r="I1958" s="17"/>
    </row>
    <row r="1959" spans="1:9">
      <c r="A1959" s="8"/>
      <c r="B1959" s="17"/>
      <c r="C1959" s="16"/>
      <c r="D1959" s="8"/>
      <c r="E1959" s="8"/>
      <c r="F1959" s="8"/>
      <c r="G1959" s="8"/>
      <c r="H1959" s="17"/>
      <c r="I1959" s="17"/>
    </row>
    <row r="1960" spans="1:9">
      <c r="A1960" s="8"/>
      <c r="B1960" s="17"/>
      <c r="C1960" s="16"/>
      <c r="D1960" s="8"/>
      <c r="E1960" s="8"/>
      <c r="F1960" s="8"/>
      <c r="G1960" s="8"/>
      <c r="H1960" s="17"/>
      <c r="I1960" s="17"/>
    </row>
    <row r="1961" spans="1:9">
      <c r="A1961" s="8"/>
      <c r="B1961" s="17"/>
      <c r="C1961" s="16"/>
      <c r="D1961" s="8"/>
      <c r="E1961" s="8"/>
      <c r="F1961" s="8"/>
      <c r="G1961" s="8"/>
      <c r="H1961" s="17"/>
      <c r="I1961" s="17"/>
    </row>
    <row r="1962" spans="1:9">
      <c r="A1962" s="8"/>
      <c r="B1962" s="17"/>
      <c r="C1962" s="16"/>
      <c r="D1962" s="8"/>
      <c r="E1962" s="8"/>
      <c r="F1962" s="8"/>
      <c r="G1962" s="8"/>
      <c r="H1962" s="17"/>
      <c r="I1962" s="17"/>
    </row>
    <row r="1963" spans="1:9">
      <c r="A1963" s="8"/>
      <c r="B1963" s="17"/>
      <c r="C1963" s="16"/>
      <c r="D1963" s="8"/>
      <c r="E1963" s="8"/>
      <c r="F1963" s="8"/>
      <c r="G1963" s="8"/>
      <c r="H1963" s="17"/>
      <c r="I1963" s="17"/>
    </row>
    <row r="1964" spans="1:9">
      <c r="A1964" s="8"/>
      <c r="B1964" s="17"/>
      <c r="C1964" s="16"/>
      <c r="D1964" s="8"/>
      <c r="E1964" s="8"/>
      <c r="F1964" s="8"/>
      <c r="G1964" s="8"/>
      <c r="H1964" s="17"/>
      <c r="I1964" s="17"/>
    </row>
    <row r="1965" spans="1:9">
      <c r="A1965" s="8"/>
      <c r="B1965" s="17"/>
      <c r="C1965" s="16"/>
      <c r="D1965" s="8"/>
      <c r="E1965" s="8"/>
      <c r="F1965" s="8"/>
      <c r="G1965" s="8"/>
      <c r="H1965" s="17"/>
      <c r="I1965" s="17"/>
    </row>
    <row r="1966" spans="1:9">
      <c r="A1966" s="8"/>
      <c r="B1966" s="17"/>
      <c r="C1966" s="16"/>
      <c r="D1966" s="8"/>
      <c r="E1966" s="8"/>
      <c r="F1966" s="8"/>
      <c r="G1966" s="8"/>
      <c r="H1966" s="17"/>
      <c r="I1966" s="17"/>
    </row>
    <row r="1967" spans="1:9">
      <c r="A1967" s="8"/>
      <c r="B1967" s="17"/>
      <c r="C1967" s="16"/>
      <c r="D1967" s="8"/>
      <c r="E1967" s="8"/>
      <c r="F1967" s="8"/>
      <c r="G1967" s="8"/>
      <c r="H1967" s="17"/>
      <c r="I1967" s="17"/>
    </row>
    <row r="1968" spans="1:9">
      <c r="A1968" s="8"/>
      <c r="B1968" s="17"/>
      <c r="C1968" s="16"/>
      <c r="D1968" s="8"/>
      <c r="E1968" s="8"/>
      <c r="F1968" s="8"/>
      <c r="G1968" s="8"/>
      <c r="H1968" s="17"/>
      <c r="I1968" s="17"/>
    </row>
    <row r="1969" spans="1:9">
      <c r="A1969" s="8"/>
      <c r="B1969" s="17"/>
      <c r="C1969" s="16"/>
      <c r="D1969" s="8"/>
      <c r="E1969" s="8"/>
      <c r="F1969" s="8"/>
      <c r="G1969" s="8"/>
      <c r="H1969" s="17"/>
      <c r="I1969" s="17"/>
    </row>
    <row r="1970" spans="1:9">
      <c r="A1970" s="8"/>
      <c r="B1970" s="17"/>
      <c r="C1970" s="16"/>
      <c r="D1970" s="8"/>
      <c r="E1970" s="8"/>
      <c r="F1970" s="8"/>
      <c r="G1970" s="8"/>
      <c r="H1970" s="17"/>
      <c r="I1970" s="17"/>
    </row>
    <row r="1971" spans="1:9">
      <c r="A1971" s="8"/>
      <c r="B1971" s="17"/>
      <c r="C1971" s="16"/>
      <c r="D1971" s="8"/>
      <c r="E1971" s="8"/>
      <c r="F1971" s="8"/>
      <c r="G1971" s="8"/>
      <c r="H1971" s="17"/>
      <c r="I1971" s="17"/>
    </row>
    <row r="1972" spans="1:9">
      <c r="A1972" s="8"/>
      <c r="B1972" s="17"/>
      <c r="C1972" s="16"/>
      <c r="D1972" s="8"/>
      <c r="E1972" s="8"/>
      <c r="F1972" s="8"/>
      <c r="G1972" s="8"/>
      <c r="H1972" s="17"/>
      <c r="I1972" s="17"/>
    </row>
    <row r="1973" spans="1:9">
      <c r="A1973" s="8"/>
      <c r="B1973" s="17"/>
      <c r="C1973" s="16"/>
      <c r="D1973" s="8"/>
      <c r="E1973" s="8"/>
      <c r="F1973" s="8"/>
      <c r="G1973" s="8"/>
      <c r="H1973" s="17"/>
      <c r="I1973" s="17"/>
    </row>
    <row r="1974" spans="1:9">
      <c r="A1974" s="8"/>
      <c r="B1974" s="17"/>
      <c r="C1974" s="16"/>
      <c r="D1974" s="8"/>
      <c r="E1974" s="8"/>
      <c r="F1974" s="8"/>
      <c r="G1974" s="8"/>
      <c r="H1974" s="17"/>
      <c r="I1974" s="17"/>
    </row>
    <row r="1975" spans="1:9">
      <c r="A1975" s="8"/>
      <c r="B1975" s="17"/>
      <c r="C1975" s="16"/>
      <c r="D1975" s="8"/>
      <c r="E1975" s="8"/>
      <c r="F1975" s="8"/>
      <c r="G1975" s="8"/>
      <c r="H1975" s="17"/>
      <c r="I1975" s="17"/>
    </row>
    <row r="1976" spans="1:9">
      <c r="A1976" s="8"/>
      <c r="B1976" s="17"/>
      <c r="C1976" s="16"/>
      <c r="D1976" s="8"/>
      <c r="E1976" s="8"/>
      <c r="F1976" s="8"/>
      <c r="G1976" s="8"/>
      <c r="H1976" s="17"/>
      <c r="I1976" s="17"/>
    </row>
    <row r="1977" spans="1:9">
      <c r="A1977" s="8"/>
      <c r="B1977" s="17"/>
      <c r="C1977" s="16"/>
      <c r="D1977" s="8"/>
      <c r="E1977" s="8"/>
      <c r="F1977" s="8"/>
      <c r="G1977" s="8"/>
      <c r="H1977" s="17"/>
      <c r="I1977" s="17"/>
    </row>
    <row r="1978" spans="1:9">
      <c r="A1978" s="8"/>
      <c r="B1978" s="17"/>
      <c r="C1978" s="16"/>
      <c r="D1978" s="8"/>
      <c r="E1978" s="8"/>
      <c r="F1978" s="8"/>
      <c r="G1978" s="8"/>
      <c r="H1978" s="17"/>
      <c r="I1978" s="17"/>
    </row>
    <row r="1979" spans="1:9">
      <c r="A1979" s="8"/>
      <c r="B1979" s="17"/>
      <c r="C1979" s="16"/>
      <c r="D1979" s="8"/>
      <c r="E1979" s="8"/>
      <c r="F1979" s="8"/>
      <c r="G1979" s="8"/>
      <c r="H1979" s="17"/>
      <c r="I1979" s="17"/>
    </row>
    <row r="1980" spans="1:9">
      <c r="A1980" s="8"/>
      <c r="B1980" s="17"/>
      <c r="C1980" s="16"/>
      <c r="D1980" s="8"/>
      <c r="E1980" s="8"/>
      <c r="F1980" s="8"/>
      <c r="G1980" s="8"/>
      <c r="H1980" s="17"/>
      <c r="I1980" s="17"/>
    </row>
    <row r="1981" spans="1:9">
      <c r="A1981" s="8"/>
      <c r="B1981" s="17"/>
      <c r="C1981" s="16"/>
      <c r="D1981" s="8"/>
      <c r="E1981" s="8"/>
      <c r="F1981" s="8"/>
      <c r="G1981" s="8"/>
      <c r="H1981" s="17"/>
      <c r="I1981" s="17"/>
    </row>
    <row r="1982" spans="1:9">
      <c r="A1982" s="8"/>
      <c r="B1982" s="17"/>
      <c r="C1982" s="16"/>
      <c r="D1982" s="8"/>
      <c r="E1982" s="8"/>
      <c r="F1982" s="8"/>
      <c r="G1982" s="8"/>
      <c r="H1982" s="17"/>
      <c r="I1982" s="17"/>
    </row>
    <row r="1983" spans="1:9">
      <c r="A1983" s="8"/>
      <c r="B1983" s="17"/>
      <c r="C1983" s="16"/>
      <c r="D1983" s="8"/>
      <c r="E1983" s="8"/>
      <c r="F1983" s="8"/>
      <c r="G1983" s="8"/>
      <c r="H1983" s="17"/>
      <c r="I1983" s="17"/>
    </row>
    <row r="1984" spans="1:9">
      <c r="A1984" s="8"/>
      <c r="B1984" s="17"/>
      <c r="C1984" s="16"/>
      <c r="D1984" s="8"/>
      <c r="E1984" s="8"/>
      <c r="F1984" s="8"/>
      <c r="G1984" s="8"/>
      <c r="H1984" s="17"/>
      <c r="I1984" s="17"/>
    </row>
    <row r="1985" spans="1:9">
      <c r="A1985" s="8"/>
      <c r="B1985" s="17"/>
      <c r="C1985" s="16"/>
      <c r="D1985" s="8"/>
      <c r="E1985" s="8"/>
      <c r="F1985" s="8"/>
      <c r="G1985" s="8"/>
      <c r="H1985" s="17"/>
      <c r="I1985" s="17"/>
    </row>
    <row r="1986" spans="1:9">
      <c r="A1986" s="8"/>
      <c r="B1986" s="17"/>
      <c r="C1986" s="16"/>
      <c r="D1986" s="8"/>
      <c r="E1986" s="8"/>
      <c r="F1986" s="8"/>
      <c r="G1986" s="8"/>
      <c r="H1986" s="17"/>
      <c r="I1986" s="17"/>
    </row>
    <row r="1987" spans="1:9">
      <c r="A1987" s="8"/>
      <c r="B1987" s="17"/>
      <c r="C1987" s="16"/>
      <c r="D1987" s="8"/>
      <c r="E1987" s="8"/>
      <c r="F1987" s="8"/>
      <c r="G1987" s="8"/>
      <c r="H1987" s="17"/>
      <c r="I1987" s="17"/>
    </row>
    <row r="1988" spans="1:9">
      <c r="A1988" s="8"/>
      <c r="B1988" s="17"/>
      <c r="C1988" s="16"/>
      <c r="D1988" s="8"/>
      <c r="E1988" s="8"/>
      <c r="F1988" s="8"/>
      <c r="G1988" s="8"/>
      <c r="H1988" s="17"/>
      <c r="I1988" s="17"/>
    </row>
    <row r="1989" spans="1:9">
      <c r="A1989" s="8"/>
      <c r="B1989" s="17"/>
      <c r="C1989" s="16"/>
      <c r="D1989" s="8"/>
      <c r="E1989" s="8"/>
      <c r="F1989" s="8"/>
      <c r="G1989" s="8"/>
      <c r="H1989" s="17"/>
      <c r="I1989" s="17"/>
    </row>
    <row r="1990" spans="1:9">
      <c r="A1990" s="8"/>
      <c r="B1990" s="17"/>
      <c r="C1990" s="16"/>
      <c r="D1990" s="8"/>
      <c r="E1990" s="8"/>
      <c r="F1990" s="8"/>
      <c r="G1990" s="8"/>
      <c r="H1990" s="17"/>
      <c r="I1990" s="17"/>
    </row>
    <row r="1991" spans="1:9">
      <c r="A1991" s="8"/>
      <c r="B1991" s="17"/>
      <c r="C1991" s="16"/>
      <c r="D1991" s="8"/>
      <c r="E1991" s="8"/>
      <c r="F1991" s="8"/>
      <c r="G1991" s="8"/>
      <c r="H1991" s="17"/>
      <c r="I1991" s="17"/>
    </row>
    <row r="1992" spans="1:9">
      <c r="A1992" s="8"/>
      <c r="B1992" s="17"/>
      <c r="C1992" s="16"/>
      <c r="D1992" s="8"/>
      <c r="E1992" s="8"/>
      <c r="F1992" s="8"/>
      <c r="G1992" s="8"/>
      <c r="H1992" s="17"/>
      <c r="I1992" s="17"/>
    </row>
    <row r="1993" spans="1:9">
      <c r="A1993" s="8"/>
      <c r="B1993" s="17"/>
      <c r="C1993" s="16"/>
      <c r="D1993" s="8"/>
      <c r="E1993" s="8"/>
      <c r="F1993" s="8"/>
      <c r="G1993" s="8"/>
      <c r="H1993" s="17"/>
      <c r="I1993" s="17"/>
    </row>
    <row r="1994" spans="1:9">
      <c r="A1994" s="8"/>
      <c r="B1994" s="17"/>
      <c r="C1994" s="16"/>
      <c r="D1994" s="8"/>
      <c r="E1994" s="8"/>
      <c r="F1994" s="8"/>
      <c r="G1994" s="8"/>
      <c r="H1994" s="17"/>
      <c r="I1994" s="17"/>
    </row>
    <row r="1995" spans="1:9">
      <c r="A1995" s="8"/>
      <c r="B1995" s="17"/>
      <c r="C1995" s="16"/>
      <c r="D1995" s="8"/>
      <c r="E1995" s="8"/>
      <c r="F1995" s="8"/>
      <c r="G1995" s="8"/>
      <c r="H1995" s="17"/>
      <c r="I1995" s="17"/>
    </row>
    <row r="1996" spans="1:9">
      <c r="A1996" s="8"/>
      <c r="B1996" s="17"/>
      <c r="C1996" s="16"/>
      <c r="D1996" s="8"/>
      <c r="E1996" s="8"/>
      <c r="F1996" s="8"/>
      <c r="G1996" s="8"/>
      <c r="H1996" s="17"/>
      <c r="I1996" s="17"/>
    </row>
    <row r="1997" spans="1:9">
      <c r="A1997" s="8"/>
      <c r="B1997" s="17"/>
      <c r="C1997" s="16"/>
      <c r="D1997" s="8"/>
      <c r="E1997" s="8"/>
      <c r="F1997" s="8"/>
      <c r="G1997" s="8"/>
      <c r="H1997" s="17"/>
      <c r="I1997" s="17"/>
    </row>
    <row r="1998" spans="1:9">
      <c r="A1998" s="8"/>
      <c r="B1998" s="17"/>
      <c r="C1998" s="16"/>
      <c r="D1998" s="8"/>
      <c r="E1998" s="8"/>
      <c r="F1998" s="8"/>
      <c r="G1998" s="8"/>
      <c r="H1998" s="17"/>
      <c r="I1998" s="17"/>
    </row>
    <row r="1999" spans="1:9">
      <c r="A1999" s="8"/>
      <c r="B1999" s="17"/>
      <c r="C1999" s="16"/>
      <c r="D1999" s="8"/>
      <c r="E1999" s="8"/>
      <c r="F1999" s="8"/>
      <c r="G1999" s="8"/>
      <c r="H1999" s="17"/>
      <c r="I1999" s="17"/>
    </row>
    <row r="2000" spans="1:9">
      <c r="A2000" s="8"/>
      <c r="B2000" s="17"/>
      <c r="C2000" s="16"/>
      <c r="D2000" s="8"/>
      <c r="E2000" s="8"/>
      <c r="F2000" s="8"/>
      <c r="G2000" s="8"/>
      <c r="H2000" s="17"/>
      <c r="I2000" s="17"/>
    </row>
    <row r="2001" spans="1:9">
      <c r="A2001" s="8"/>
      <c r="B2001" s="17"/>
      <c r="C2001" s="16"/>
      <c r="D2001" s="8"/>
      <c r="E2001" s="8"/>
      <c r="F2001" s="8"/>
      <c r="G2001" s="8"/>
      <c r="H2001" s="17"/>
      <c r="I2001" s="17"/>
    </row>
    <row r="2002" spans="1:9">
      <c r="A2002" s="8"/>
      <c r="B2002" s="17"/>
      <c r="C2002" s="16"/>
      <c r="D2002" s="8"/>
      <c r="E2002" s="8"/>
      <c r="F2002" s="8"/>
      <c r="G2002" s="8"/>
      <c r="H2002" s="17"/>
      <c r="I2002" s="17"/>
    </row>
    <row r="2003" spans="1:9">
      <c r="A2003" s="8"/>
      <c r="B2003" s="17"/>
      <c r="C2003" s="16"/>
      <c r="D2003" s="8"/>
      <c r="E2003" s="8"/>
      <c r="F2003" s="8"/>
      <c r="G2003" s="8"/>
      <c r="H2003" s="17"/>
      <c r="I2003" s="17"/>
    </row>
    <row r="2004" spans="1:9">
      <c r="A2004" s="8"/>
      <c r="B2004" s="17"/>
      <c r="C2004" s="16"/>
      <c r="D2004" s="8"/>
      <c r="E2004" s="8"/>
      <c r="F2004" s="8"/>
      <c r="G2004" s="8"/>
      <c r="H2004" s="17"/>
      <c r="I2004" s="17"/>
    </row>
    <row r="2005" spans="1:9">
      <c r="A2005" s="8"/>
      <c r="B2005" s="17"/>
      <c r="C2005" s="16"/>
      <c r="D2005" s="8"/>
      <c r="E2005" s="8"/>
      <c r="F2005" s="8"/>
      <c r="G2005" s="8"/>
      <c r="H2005" s="17"/>
      <c r="I2005" s="17"/>
    </row>
    <row r="2006" spans="1:9">
      <c r="A2006" s="8"/>
      <c r="B2006" s="17"/>
      <c r="C2006" s="16"/>
      <c r="D2006" s="8"/>
      <c r="E2006" s="8"/>
      <c r="F2006" s="8"/>
      <c r="G2006" s="8"/>
      <c r="H2006" s="17"/>
      <c r="I2006" s="17"/>
    </row>
    <row r="2007" spans="1:9">
      <c r="A2007" s="8"/>
      <c r="B2007" s="17"/>
      <c r="C2007" s="16"/>
      <c r="D2007" s="8"/>
      <c r="E2007" s="8"/>
      <c r="F2007" s="8"/>
      <c r="G2007" s="8"/>
      <c r="H2007" s="17"/>
      <c r="I2007" s="17"/>
    </row>
    <row r="2008" spans="1:9">
      <c r="A2008" s="8"/>
      <c r="B2008" s="17"/>
      <c r="C2008" s="16"/>
      <c r="D2008" s="8"/>
      <c r="E2008" s="8"/>
      <c r="F2008" s="8"/>
      <c r="G2008" s="8"/>
      <c r="H2008" s="17"/>
      <c r="I2008" s="17"/>
    </row>
    <row r="2009" spans="1:9">
      <c r="A2009" s="8"/>
      <c r="B2009" s="17"/>
      <c r="C2009" s="16"/>
      <c r="D2009" s="8"/>
      <c r="E2009" s="8"/>
      <c r="F2009" s="8"/>
      <c r="G2009" s="8"/>
      <c r="H2009" s="17"/>
      <c r="I2009" s="17"/>
    </row>
    <row r="2010" spans="1:9">
      <c r="A2010" s="8"/>
      <c r="B2010" s="17"/>
      <c r="C2010" s="16"/>
      <c r="D2010" s="8"/>
      <c r="E2010" s="8"/>
      <c r="F2010" s="8"/>
      <c r="G2010" s="8"/>
      <c r="H2010" s="17"/>
      <c r="I2010" s="17"/>
    </row>
    <row r="2011" spans="1:9">
      <c r="A2011" s="8"/>
      <c r="B2011" s="17"/>
      <c r="C2011" s="16"/>
      <c r="D2011" s="8"/>
      <c r="E2011" s="8"/>
      <c r="F2011" s="8"/>
      <c r="G2011" s="8"/>
      <c r="H2011" s="17"/>
      <c r="I2011" s="17"/>
    </row>
    <row r="2012" spans="1:9">
      <c r="A2012" s="8"/>
      <c r="B2012" s="17"/>
      <c r="C2012" s="16"/>
      <c r="D2012" s="8"/>
      <c r="E2012" s="8"/>
      <c r="F2012" s="8"/>
      <c r="G2012" s="8"/>
      <c r="H2012" s="17"/>
      <c r="I2012" s="17"/>
    </row>
    <row r="2013" spans="1:9">
      <c r="A2013" s="8"/>
      <c r="B2013" s="17"/>
      <c r="C2013" s="16"/>
      <c r="D2013" s="8"/>
      <c r="E2013" s="8"/>
      <c r="F2013" s="8"/>
      <c r="G2013" s="8"/>
      <c r="H2013" s="17"/>
      <c r="I2013" s="17"/>
    </row>
    <row r="2014" spans="1:9">
      <c r="A2014" s="8"/>
      <c r="B2014" s="17"/>
      <c r="C2014" s="16"/>
      <c r="D2014" s="8"/>
      <c r="E2014" s="8"/>
      <c r="F2014" s="8"/>
      <c r="G2014" s="8"/>
      <c r="H2014" s="17"/>
      <c r="I2014" s="17"/>
    </row>
    <row r="2015" spans="1:9">
      <c r="A2015" s="8"/>
      <c r="B2015" s="17"/>
      <c r="C2015" s="16"/>
      <c r="D2015" s="8"/>
      <c r="E2015" s="8"/>
      <c r="F2015" s="8"/>
      <c r="G2015" s="8"/>
      <c r="H2015" s="17"/>
      <c r="I2015" s="17"/>
    </row>
    <row r="2016" spans="1:9">
      <c r="A2016" s="8"/>
      <c r="B2016" s="17"/>
      <c r="C2016" s="16"/>
      <c r="D2016" s="8"/>
      <c r="E2016" s="8"/>
      <c r="F2016" s="8"/>
      <c r="G2016" s="8"/>
      <c r="H2016" s="17"/>
      <c r="I2016" s="17"/>
    </row>
    <row r="2017" spans="1:9">
      <c r="A2017" s="8"/>
      <c r="B2017" s="17"/>
      <c r="C2017" s="16"/>
      <c r="D2017" s="8"/>
      <c r="E2017" s="8"/>
      <c r="F2017" s="8"/>
      <c r="G2017" s="8"/>
      <c r="H2017" s="17"/>
      <c r="I2017" s="17"/>
    </row>
    <row r="2018" spans="1:9">
      <c r="A2018" s="8"/>
      <c r="B2018" s="17"/>
      <c r="C2018" s="16"/>
      <c r="D2018" s="8"/>
      <c r="E2018" s="8"/>
      <c r="F2018" s="8"/>
      <c r="G2018" s="8"/>
      <c r="H2018" s="17"/>
      <c r="I2018" s="17"/>
    </row>
    <row r="2019" spans="1:9">
      <c r="A2019" s="8"/>
      <c r="B2019" s="17"/>
      <c r="C2019" s="16"/>
      <c r="D2019" s="8"/>
      <c r="E2019" s="8"/>
      <c r="F2019" s="8"/>
      <c r="G2019" s="8"/>
      <c r="H2019" s="17"/>
      <c r="I2019" s="17"/>
    </row>
    <row r="2020" spans="1:9">
      <c r="A2020" s="8"/>
      <c r="B2020" s="17"/>
      <c r="C2020" s="16"/>
      <c r="D2020" s="8"/>
      <c r="E2020" s="8"/>
      <c r="F2020" s="8"/>
      <c r="G2020" s="8"/>
      <c r="H2020" s="17"/>
      <c r="I2020" s="17"/>
    </row>
    <row r="2021" spans="1:9">
      <c r="A2021" s="8"/>
      <c r="B2021" s="17"/>
      <c r="C2021" s="16"/>
      <c r="D2021" s="8"/>
      <c r="E2021" s="8"/>
      <c r="F2021" s="8"/>
      <c r="G2021" s="8"/>
      <c r="H2021" s="17"/>
      <c r="I2021" s="17"/>
    </row>
    <row r="2022" spans="1:9">
      <c r="A2022" s="8"/>
      <c r="B2022" s="17"/>
      <c r="C2022" s="16"/>
      <c r="D2022" s="8"/>
      <c r="E2022" s="8"/>
      <c r="F2022" s="8"/>
      <c r="G2022" s="8"/>
      <c r="H2022" s="17"/>
      <c r="I2022" s="17"/>
    </row>
    <row r="2023" spans="1:9">
      <c r="A2023" s="8"/>
      <c r="B2023" s="17"/>
      <c r="C2023" s="16"/>
      <c r="D2023" s="8"/>
      <c r="E2023" s="8"/>
      <c r="F2023" s="8"/>
      <c r="G2023" s="8"/>
      <c r="H2023" s="17"/>
      <c r="I2023" s="17"/>
    </row>
    <row r="2024" spans="1:9">
      <c r="A2024" s="8"/>
      <c r="B2024" s="17"/>
      <c r="C2024" s="16"/>
      <c r="D2024" s="8"/>
      <c r="E2024" s="8"/>
      <c r="F2024" s="8"/>
      <c r="G2024" s="8"/>
      <c r="H2024" s="17"/>
      <c r="I2024" s="17"/>
    </row>
    <row r="2025" spans="1:9">
      <c r="A2025" s="8"/>
      <c r="B2025" s="17"/>
      <c r="C2025" s="16"/>
      <c r="D2025" s="8"/>
      <c r="E2025" s="8"/>
      <c r="F2025" s="8"/>
      <c r="G2025" s="8"/>
      <c r="H2025" s="17"/>
      <c r="I2025" s="17"/>
    </row>
    <row r="2026" spans="1:9">
      <c r="A2026" s="8"/>
      <c r="B2026" s="17"/>
      <c r="C2026" s="16"/>
      <c r="D2026" s="8"/>
      <c r="E2026" s="8"/>
      <c r="F2026" s="8"/>
      <c r="G2026" s="8"/>
      <c r="H2026" s="17"/>
      <c r="I2026" s="17"/>
    </row>
    <row r="2027" spans="1:9">
      <c r="A2027" s="8"/>
      <c r="B2027" s="17"/>
      <c r="C2027" s="16"/>
      <c r="D2027" s="8"/>
      <c r="E2027" s="8"/>
      <c r="F2027" s="8"/>
      <c r="G2027" s="8"/>
      <c r="H2027" s="17"/>
      <c r="I2027" s="17"/>
    </row>
    <row r="2028" spans="1:9">
      <c r="A2028" s="8"/>
      <c r="B2028" s="17"/>
      <c r="C2028" s="16"/>
      <c r="D2028" s="8"/>
      <c r="E2028" s="8"/>
      <c r="F2028" s="8"/>
      <c r="G2028" s="8"/>
      <c r="H2028" s="17"/>
      <c r="I2028" s="17"/>
    </row>
    <row r="2029" spans="1:9">
      <c r="A2029" s="8"/>
      <c r="B2029" s="17"/>
      <c r="C2029" s="16"/>
      <c r="D2029" s="8"/>
      <c r="E2029" s="8"/>
      <c r="F2029" s="8"/>
      <c r="G2029" s="8"/>
      <c r="H2029" s="17"/>
      <c r="I2029" s="17"/>
    </row>
    <row r="2030" spans="1:9">
      <c r="A2030" s="8"/>
      <c r="B2030" s="17"/>
      <c r="C2030" s="16"/>
      <c r="D2030" s="8"/>
      <c r="E2030" s="8"/>
      <c r="F2030" s="8"/>
      <c r="G2030" s="8"/>
      <c r="H2030" s="17"/>
      <c r="I2030" s="17"/>
    </row>
    <row r="2031" spans="1:9">
      <c r="A2031" s="8"/>
      <c r="B2031" s="17"/>
      <c r="C2031" s="16"/>
      <c r="D2031" s="8"/>
      <c r="E2031" s="8"/>
      <c r="F2031" s="8"/>
      <c r="G2031" s="8"/>
      <c r="H2031" s="17"/>
      <c r="I2031" s="17"/>
    </row>
    <row r="2032" spans="1:9">
      <c r="A2032" s="8"/>
      <c r="B2032" s="17"/>
      <c r="C2032" s="16"/>
      <c r="D2032" s="8"/>
      <c r="E2032" s="8"/>
      <c r="F2032" s="8"/>
      <c r="G2032" s="8"/>
      <c r="H2032" s="17"/>
      <c r="I2032" s="17"/>
    </row>
    <row r="2033" spans="1:9">
      <c r="A2033" s="8"/>
      <c r="B2033" s="17"/>
      <c r="C2033" s="16"/>
      <c r="D2033" s="8"/>
      <c r="E2033" s="8"/>
      <c r="F2033" s="8"/>
      <c r="G2033" s="8"/>
      <c r="H2033" s="17"/>
      <c r="I2033" s="17"/>
    </row>
    <row r="2034" spans="1:9">
      <c r="A2034" s="8"/>
      <c r="B2034" s="17"/>
      <c r="C2034" s="16"/>
      <c r="D2034" s="8"/>
      <c r="E2034" s="8"/>
      <c r="F2034" s="8"/>
      <c r="G2034" s="8"/>
      <c r="H2034" s="17"/>
      <c r="I2034" s="17"/>
    </row>
    <row r="2035" spans="1:9">
      <c r="A2035" s="8"/>
      <c r="B2035" s="17"/>
      <c r="C2035" s="16"/>
      <c r="D2035" s="8"/>
      <c r="E2035" s="8"/>
      <c r="F2035" s="8"/>
      <c r="G2035" s="8"/>
      <c r="H2035" s="17"/>
      <c r="I2035" s="17"/>
    </row>
    <row r="2036" spans="1:9">
      <c r="A2036" s="8"/>
      <c r="B2036" s="17"/>
      <c r="C2036" s="16"/>
      <c r="D2036" s="8"/>
      <c r="E2036" s="8"/>
      <c r="F2036" s="8"/>
      <c r="G2036" s="8"/>
      <c r="H2036" s="17"/>
      <c r="I2036" s="17"/>
    </row>
    <row r="2037" spans="1:9">
      <c r="A2037" s="8"/>
      <c r="B2037" s="17"/>
      <c r="C2037" s="16"/>
      <c r="D2037" s="8"/>
      <c r="E2037" s="8"/>
      <c r="F2037" s="8"/>
      <c r="G2037" s="8"/>
      <c r="H2037" s="17"/>
      <c r="I2037" s="17"/>
    </row>
    <row r="2038" spans="1:9">
      <c r="A2038" s="8"/>
      <c r="B2038" s="17"/>
      <c r="C2038" s="16"/>
      <c r="D2038" s="8"/>
      <c r="E2038" s="8"/>
      <c r="F2038" s="8"/>
      <c r="G2038" s="8"/>
      <c r="H2038" s="17"/>
      <c r="I2038" s="17"/>
    </row>
    <row r="2039" spans="1:9">
      <c r="A2039" s="8"/>
      <c r="B2039" s="17"/>
      <c r="C2039" s="16"/>
      <c r="D2039" s="8"/>
      <c r="E2039" s="8"/>
      <c r="F2039" s="8"/>
      <c r="G2039" s="8"/>
      <c r="H2039" s="17"/>
      <c r="I2039" s="17"/>
    </row>
    <row r="2040" spans="1:9">
      <c r="A2040" s="8"/>
      <c r="B2040" s="17"/>
      <c r="C2040" s="16"/>
      <c r="D2040" s="8"/>
      <c r="E2040" s="8"/>
      <c r="F2040" s="8"/>
      <c r="G2040" s="8"/>
      <c r="H2040" s="17"/>
      <c r="I2040" s="17"/>
    </row>
    <row r="2041" spans="1:9">
      <c r="A2041" s="8"/>
      <c r="B2041" s="17"/>
      <c r="C2041" s="16"/>
      <c r="D2041" s="8"/>
      <c r="E2041" s="8"/>
      <c r="F2041" s="8"/>
      <c r="G2041" s="8"/>
      <c r="H2041" s="17"/>
      <c r="I2041" s="17"/>
    </row>
    <row r="2042" spans="1:9">
      <c r="A2042" s="8"/>
      <c r="B2042" s="17"/>
      <c r="C2042" s="16"/>
      <c r="D2042" s="8"/>
      <c r="E2042" s="8"/>
      <c r="F2042" s="8"/>
      <c r="G2042" s="8"/>
      <c r="H2042" s="17"/>
      <c r="I2042" s="17"/>
    </row>
    <row r="2043" spans="1:9">
      <c r="A2043" s="8"/>
      <c r="B2043" s="17"/>
      <c r="C2043" s="16"/>
      <c r="D2043" s="8"/>
      <c r="E2043" s="8"/>
      <c r="F2043" s="8"/>
      <c r="G2043" s="8"/>
      <c r="H2043" s="17"/>
      <c r="I2043" s="17"/>
    </row>
    <row r="2044" spans="1:9">
      <c r="A2044" s="8"/>
      <c r="B2044" s="17"/>
      <c r="C2044" s="16"/>
      <c r="D2044" s="8"/>
      <c r="E2044" s="8"/>
      <c r="F2044" s="8"/>
      <c r="G2044" s="8"/>
      <c r="H2044" s="17"/>
      <c r="I2044" s="17"/>
    </row>
    <row r="2045" spans="1:9">
      <c r="A2045" s="8"/>
      <c r="B2045" s="17"/>
      <c r="C2045" s="16"/>
      <c r="D2045" s="8"/>
      <c r="E2045" s="8"/>
      <c r="F2045" s="8"/>
      <c r="G2045" s="8"/>
      <c r="H2045" s="17"/>
      <c r="I2045" s="17"/>
    </row>
    <row r="2046" spans="1:9">
      <c r="A2046" s="8"/>
      <c r="B2046" s="17"/>
      <c r="C2046" s="16"/>
      <c r="D2046" s="8"/>
      <c r="E2046" s="8"/>
      <c r="F2046" s="8"/>
      <c r="G2046" s="8"/>
      <c r="H2046" s="17"/>
      <c r="I2046" s="17"/>
    </row>
    <row r="2047" spans="1:9">
      <c r="A2047" s="8"/>
      <c r="B2047" s="17"/>
      <c r="C2047" s="16"/>
      <c r="D2047" s="8"/>
      <c r="E2047" s="8"/>
      <c r="F2047" s="8"/>
      <c r="G2047" s="8"/>
      <c r="H2047" s="17"/>
      <c r="I2047" s="17"/>
    </row>
    <row r="2048" spans="1:9">
      <c r="A2048" s="8"/>
      <c r="B2048" s="17"/>
      <c r="C2048" s="16"/>
      <c r="D2048" s="8"/>
      <c r="E2048" s="8"/>
      <c r="F2048" s="8"/>
      <c r="G2048" s="8"/>
      <c r="H2048" s="17"/>
      <c r="I2048" s="17"/>
    </row>
    <row r="2049" spans="1:9">
      <c r="A2049" s="8"/>
      <c r="B2049" s="17"/>
      <c r="C2049" s="16"/>
      <c r="D2049" s="8"/>
      <c r="E2049" s="8"/>
      <c r="F2049" s="8"/>
      <c r="G2049" s="8"/>
      <c r="H2049" s="17"/>
      <c r="I2049" s="17"/>
    </row>
    <row r="2050" spans="1:9">
      <c r="A2050" s="8"/>
      <c r="B2050" s="17"/>
      <c r="C2050" s="16"/>
      <c r="D2050" s="8"/>
      <c r="E2050" s="8"/>
      <c r="F2050" s="8"/>
      <c r="G2050" s="8"/>
      <c r="H2050" s="17"/>
      <c r="I2050" s="17"/>
    </row>
    <row r="2051" spans="1:9">
      <c r="A2051" s="8"/>
      <c r="B2051" s="17"/>
      <c r="C2051" s="16"/>
      <c r="D2051" s="8"/>
      <c r="E2051" s="8"/>
      <c r="F2051" s="8"/>
      <c r="G2051" s="8"/>
      <c r="H2051" s="17"/>
      <c r="I2051" s="17"/>
    </row>
    <row r="2052" spans="1:9">
      <c r="A2052" s="8"/>
      <c r="B2052" s="17"/>
      <c r="C2052" s="16"/>
      <c r="D2052" s="8"/>
      <c r="E2052" s="8"/>
      <c r="F2052" s="8"/>
      <c r="G2052" s="8"/>
      <c r="H2052" s="17"/>
      <c r="I2052" s="17"/>
    </row>
    <row r="2053" spans="1:9">
      <c r="A2053" s="8"/>
      <c r="B2053" s="17"/>
      <c r="C2053" s="16"/>
      <c r="D2053" s="8"/>
      <c r="E2053" s="8"/>
      <c r="F2053" s="8"/>
      <c r="G2053" s="8"/>
      <c r="H2053" s="17"/>
      <c r="I2053" s="17"/>
    </row>
    <row r="2054" spans="1:9">
      <c r="A2054" s="8"/>
      <c r="B2054" s="17"/>
      <c r="C2054" s="16"/>
      <c r="D2054" s="8"/>
      <c r="E2054" s="8"/>
      <c r="F2054" s="8"/>
      <c r="G2054" s="8"/>
      <c r="H2054" s="17"/>
      <c r="I2054" s="17"/>
    </row>
    <row r="2055" spans="1:9">
      <c r="A2055" s="8"/>
      <c r="B2055" s="17"/>
      <c r="C2055" s="16"/>
      <c r="D2055" s="8"/>
      <c r="E2055" s="8"/>
      <c r="F2055" s="8"/>
      <c r="G2055" s="8"/>
      <c r="H2055" s="17"/>
      <c r="I2055" s="17"/>
    </row>
    <row r="2056" spans="1:9">
      <c r="A2056" s="8"/>
      <c r="B2056" s="17"/>
      <c r="C2056" s="16"/>
      <c r="D2056" s="8"/>
      <c r="E2056" s="8"/>
      <c r="F2056" s="8"/>
      <c r="G2056" s="8"/>
      <c r="H2056" s="17"/>
      <c r="I2056" s="17"/>
    </row>
    <row r="2057" spans="1:9">
      <c r="A2057" s="8"/>
      <c r="B2057" s="17"/>
      <c r="C2057" s="16"/>
      <c r="D2057" s="8"/>
      <c r="E2057" s="8"/>
      <c r="F2057" s="8"/>
      <c r="G2057" s="8"/>
      <c r="H2057" s="17"/>
      <c r="I2057" s="17"/>
    </row>
    <row r="2058" spans="1:9">
      <c r="A2058" s="8"/>
      <c r="B2058" s="17"/>
      <c r="C2058" s="16"/>
      <c r="D2058" s="8"/>
      <c r="E2058" s="8"/>
      <c r="F2058" s="8"/>
      <c r="G2058" s="8"/>
      <c r="H2058" s="17"/>
      <c r="I2058" s="17"/>
    </row>
    <row r="2059" spans="1:9">
      <c r="A2059" s="8"/>
      <c r="B2059" s="17"/>
      <c r="C2059" s="16"/>
      <c r="D2059" s="8"/>
      <c r="E2059" s="8"/>
      <c r="F2059" s="8"/>
      <c r="G2059" s="8"/>
      <c r="H2059" s="17"/>
      <c r="I2059" s="17"/>
    </row>
    <row r="2060" spans="1:9">
      <c r="A2060" s="8"/>
      <c r="B2060" s="17"/>
      <c r="C2060" s="16"/>
      <c r="D2060" s="8"/>
      <c r="E2060" s="8"/>
      <c r="F2060" s="8"/>
      <c r="G2060" s="8"/>
      <c r="H2060" s="17"/>
      <c r="I2060" s="17"/>
    </row>
    <row r="2061" spans="1:9">
      <c r="A2061" s="8"/>
      <c r="B2061" s="17"/>
      <c r="C2061" s="16"/>
      <c r="D2061" s="8"/>
      <c r="E2061" s="8"/>
      <c r="F2061" s="8"/>
      <c r="G2061" s="8"/>
      <c r="H2061" s="17"/>
      <c r="I2061" s="17"/>
    </row>
    <row r="2062" spans="1:9">
      <c r="A2062" s="8"/>
      <c r="B2062" s="17"/>
      <c r="C2062" s="16"/>
      <c r="D2062" s="8"/>
      <c r="E2062" s="8"/>
      <c r="F2062" s="8"/>
      <c r="G2062" s="8"/>
      <c r="H2062" s="17"/>
      <c r="I2062" s="17"/>
    </row>
    <row r="2063" spans="1:9">
      <c r="A2063" s="8"/>
      <c r="B2063" s="17"/>
      <c r="C2063" s="16"/>
      <c r="D2063" s="8"/>
      <c r="E2063" s="8"/>
      <c r="F2063" s="8"/>
      <c r="G2063" s="8"/>
      <c r="H2063" s="17"/>
      <c r="I2063" s="17"/>
    </row>
    <row r="2064" spans="1:9">
      <c r="A2064" s="8"/>
      <c r="B2064" s="17"/>
      <c r="C2064" s="16"/>
      <c r="D2064" s="8"/>
      <c r="E2064" s="8"/>
      <c r="F2064" s="8"/>
      <c r="G2064" s="8"/>
      <c r="H2064" s="17"/>
      <c r="I2064" s="17"/>
    </row>
    <row r="2065" spans="1:9">
      <c r="A2065" s="8"/>
      <c r="B2065" s="17"/>
      <c r="C2065" s="16"/>
      <c r="D2065" s="8"/>
      <c r="E2065" s="8"/>
      <c r="F2065" s="8"/>
      <c r="G2065" s="8"/>
      <c r="H2065" s="17"/>
      <c r="I2065" s="17"/>
    </row>
    <row r="2066" spans="1:9">
      <c r="A2066" s="8"/>
      <c r="B2066" s="17"/>
      <c r="C2066" s="16"/>
      <c r="D2066" s="8"/>
      <c r="E2066" s="8"/>
      <c r="F2066" s="8"/>
      <c r="G2066" s="8"/>
      <c r="H2066" s="17"/>
      <c r="I2066" s="17"/>
    </row>
    <row r="2067" spans="1:9">
      <c r="A2067" s="8"/>
      <c r="B2067" s="17"/>
      <c r="C2067" s="16"/>
      <c r="D2067" s="8"/>
      <c r="E2067" s="8"/>
      <c r="F2067" s="8"/>
      <c r="G2067" s="8"/>
      <c r="H2067" s="17"/>
      <c r="I2067" s="17"/>
    </row>
    <row r="2068" spans="1:9">
      <c r="A2068" s="8"/>
      <c r="B2068" s="17"/>
      <c r="C2068" s="16"/>
      <c r="D2068" s="8"/>
      <c r="E2068" s="8"/>
      <c r="F2068" s="8"/>
      <c r="G2068" s="8"/>
      <c r="H2068" s="17"/>
      <c r="I2068" s="17"/>
    </row>
    <row r="2069" spans="1:9">
      <c r="A2069" s="8"/>
      <c r="B2069" s="17"/>
      <c r="C2069" s="16"/>
      <c r="D2069" s="8"/>
      <c r="E2069" s="8"/>
      <c r="F2069" s="8"/>
      <c r="G2069" s="8"/>
      <c r="H2069" s="17"/>
      <c r="I2069" s="17"/>
    </row>
    <row r="2070" spans="1:9">
      <c r="A2070" s="8"/>
      <c r="B2070" s="17"/>
      <c r="C2070" s="16"/>
      <c r="D2070" s="8"/>
      <c r="E2070" s="8"/>
      <c r="F2070" s="8"/>
      <c r="G2070" s="8"/>
      <c r="H2070" s="17"/>
      <c r="I2070" s="17"/>
    </row>
    <row r="2071" spans="1:9">
      <c r="A2071" s="8"/>
      <c r="B2071" s="17"/>
      <c r="C2071" s="16"/>
      <c r="D2071" s="8"/>
      <c r="E2071" s="8"/>
      <c r="F2071" s="8"/>
      <c r="G2071" s="8"/>
      <c r="H2071" s="17"/>
      <c r="I2071" s="17"/>
    </row>
    <row r="2072" spans="1:9">
      <c r="A2072" s="8"/>
      <c r="B2072" s="17"/>
      <c r="C2072" s="16"/>
      <c r="D2072" s="8"/>
      <c r="E2072" s="8"/>
      <c r="F2072" s="8"/>
      <c r="G2072" s="8"/>
      <c r="H2072" s="17"/>
      <c r="I2072" s="17"/>
    </row>
    <row r="2073" spans="1:9">
      <c r="A2073" s="8"/>
      <c r="B2073" s="17"/>
      <c r="C2073" s="16"/>
      <c r="D2073" s="8"/>
      <c r="E2073" s="8"/>
      <c r="F2073" s="8"/>
      <c r="G2073" s="8"/>
      <c r="H2073" s="17"/>
      <c r="I2073" s="17"/>
    </row>
    <row r="2074" spans="1:9">
      <c r="A2074" s="8"/>
      <c r="B2074" s="17"/>
      <c r="C2074" s="16"/>
      <c r="D2074" s="8"/>
      <c r="E2074" s="8"/>
      <c r="F2074" s="8"/>
      <c r="G2074" s="8"/>
      <c r="H2074" s="17"/>
      <c r="I2074" s="17"/>
    </row>
    <row r="2075" spans="1:9">
      <c r="A2075" s="8"/>
      <c r="B2075" s="17"/>
      <c r="C2075" s="16"/>
      <c r="D2075" s="8"/>
      <c r="E2075" s="8"/>
      <c r="F2075" s="8"/>
      <c r="G2075" s="8"/>
      <c r="H2075" s="17"/>
      <c r="I2075" s="17"/>
    </row>
    <row r="2076" spans="1:9">
      <c r="A2076" s="8"/>
      <c r="B2076" s="17"/>
      <c r="C2076" s="16"/>
      <c r="D2076" s="8"/>
      <c r="E2076" s="8"/>
      <c r="F2076" s="8"/>
      <c r="G2076" s="8"/>
      <c r="H2076" s="17"/>
      <c r="I2076" s="17"/>
    </row>
    <row r="2077" spans="1:9">
      <c r="A2077" s="8"/>
      <c r="B2077" s="17"/>
      <c r="C2077" s="16"/>
      <c r="D2077" s="8"/>
      <c r="E2077" s="8"/>
      <c r="F2077" s="8"/>
      <c r="G2077" s="8"/>
      <c r="H2077" s="17"/>
      <c r="I2077" s="17"/>
    </row>
    <row r="2078" spans="1:9">
      <c r="A2078" s="8"/>
      <c r="B2078" s="17"/>
      <c r="C2078" s="16"/>
      <c r="D2078" s="8"/>
      <c r="E2078" s="8"/>
      <c r="F2078" s="8"/>
      <c r="G2078" s="8"/>
      <c r="H2078" s="17"/>
      <c r="I2078" s="17"/>
    </row>
    <row r="2079" spans="1:9">
      <c r="A2079" s="8"/>
      <c r="B2079" s="17"/>
      <c r="C2079" s="16"/>
      <c r="D2079" s="8"/>
      <c r="E2079" s="8"/>
      <c r="F2079" s="8"/>
      <c r="G2079" s="8"/>
      <c r="H2079" s="17"/>
      <c r="I2079" s="17"/>
    </row>
    <row r="2080" spans="1:9">
      <c r="A2080" s="8"/>
      <c r="B2080" s="17"/>
      <c r="C2080" s="16"/>
      <c r="D2080" s="8"/>
      <c r="E2080" s="8"/>
      <c r="F2080" s="8"/>
      <c r="G2080" s="8"/>
      <c r="H2080" s="17"/>
      <c r="I2080" s="17"/>
    </row>
    <row r="2081" spans="1:9">
      <c r="A2081" s="8"/>
      <c r="B2081" s="17"/>
      <c r="C2081" s="16"/>
      <c r="D2081" s="8"/>
      <c r="E2081" s="8"/>
      <c r="F2081" s="8"/>
      <c r="G2081" s="8"/>
      <c r="H2081" s="17"/>
      <c r="I2081" s="17"/>
    </row>
    <row r="2082" spans="1:9">
      <c r="A2082" s="8"/>
      <c r="B2082" s="17"/>
      <c r="C2082" s="16"/>
      <c r="D2082" s="8"/>
      <c r="E2082" s="8"/>
      <c r="F2082" s="8"/>
      <c r="G2082" s="8"/>
      <c r="H2082" s="17"/>
      <c r="I2082" s="17"/>
    </row>
    <row r="2083" spans="1:9">
      <c r="A2083" s="8"/>
      <c r="B2083" s="17"/>
      <c r="C2083" s="16"/>
      <c r="D2083" s="8"/>
      <c r="E2083" s="8"/>
      <c r="F2083" s="8"/>
      <c r="G2083" s="8"/>
      <c r="H2083" s="17"/>
      <c r="I2083" s="17"/>
    </row>
    <row r="2084" spans="1:9">
      <c r="A2084" s="8"/>
      <c r="B2084" s="17"/>
      <c r="C2084" s="16"/>
      <c r="D2084" s="8"/>
      <c r="E2084" s="8"/>
      <c r="F2084" s="8"/>
      <c r="G2084" s="8"/>
      <c r="H2084" s="17"/>
      <c r="I2084" s="17"/>
    </row>
    <row r="2085" spans="1:9">
      <c r="A2085" s="8"/>
      <c r="B2085" s="17"/>
      <c r="C2085" s="16"/>
      <c r="D2085" s="8"/>
      <c r="E2085" s="8"/>
      <c r="F2085" s="8"/>
      <c r="G2085" s="8"/>
      <c r="H2085" s="17"/>
      <c r="I2085" s="17"/>
    </row>
    <row r="2086" spans="1:9">
      <c r="A2086" s="8"/>
      <c r="B2086" s="17"/>
      <c r="C2086" s="16"/>
      <c r="D2086" s="8"/>
      <c r="E2086" s="8"/>
      <c r="F2086" s="8"/>
      <c r="G2086" s="8"/>
      <c r="H2086" s="17"/>
      <c r="I2086" s="17"/>
    </row>
    <row r="2087" spans="1:9">
      <c r="A2087" s="8"/>
      <c r="B2087" s="17"/>
      <c r="C2087" s="16"/>
      <c r="D2087" s="8"/>
      <c r="E2087" s="8"/>
      <c r="F2087" s="8"/>
      <c r="G2087" s="8"/>
      <c r="H2087" s="17"/>
      <c r="I2087" s="17"/>
    </row>
    <row r="2088" spans="1:9">
      <c r="A2088" s="8"/>
      <c r="B2088" s="17"/>
      <c r="C2088" s="16"/>
      <c r="D2088" s="8"/>
      <c r="E2088" s="8"/>
      <c r="F2088" s="8"/>
      <c r="G2088" s="8"/>
      <c r="H2088" s="17"/>
      <c r="I2088" s="17"/>
    </row>
    <row r="2089" spans="1:9">
      <c r="A2089" s="8"/>
      <c r="B2089" s="17"/>
      <c r="C2089" s="16"/>
      <c r="D2089" s="8"/>
      <c r="E2089" s="8"/>
      <c r="F2089" s="8"/>
      <c r="G2089" s="8"/>
      <c r="H2089" s="17"/>
      <c r="I2089" s="17"/>
    </row>
    <row r="2090" spans="1:9">
      <c r="A2090" s="8"/>
      <c r="B2090" s="17"/>
      <c r="C2090" s="16"/>
      <c r="D2090" s="8"/>
      <c r="E2090" s="8"/>
      <c r="F2090" s="8"/>
      <c r="G2090" s="8"/>
      <c r="H2090" s="17"/>
      <c r="I2090" s="17"/>
    </row>
    <row r="2091" spans="1:9">
      <c r="A2091" s="8"/>
      <c r="B2091" s="17"/>
      <c r="C2091" s="16"/>
      <c r="D2091" s="8"/>
      <c r="E2091" s="8"/>
      <c r="F2091" s="8"/>
      <c r="G2091" s="8"/>
      <c r="H2091" s="17"/>
      <c r="I2091" s="17"/>
    </row>
    <row r="2092" spans="1:9">
      <c r="A2092" s="8"/>
      <c r="B2092" s="17"/>
      <c r="C2092" s="16"/>
      <c r="D2092" s="8"/>
      <c r="E2092" s="8"/>
      <c r="F2092" s="8"/>
      <c r="G2092" s="8"/>
      <c r="H2092" s="17"/>
      <c r="I2092" s="17"/>
    </row>
    <row r="2093" spans="1:9">
      <c r="A2093" s="8"/>
      <c r="B2093" s="17"/>
      <c r="C2093" s="16"/>
      <c r="D2093" s="8"/>
      <c r="E2093" s="8"/>
      <c r="F2093" s="8"/>
      <c r="G2093" s="8"/>
      <c r="H2093" s="17"/>
      <c r="I2093" s="17"/>
    </row>
    <row r="2094" spans="1:9">
      <c r="A2094" s="8"/>
      <c r="B2094" s="17"/>
      <c r="C2094" s="16"/>
      <c r="D2094" s="8"/>
      <c r="E2094" s="8"/>
      <c r="F2094" s="8"/>
      <c r="G2094" s="8"/>
      <c r="H2094" s="17"/>
      <c r="I2094" s="17"/>
    </row>
    <row r="2095" spans="1:9">
      <c r="A2095" s="8"/>
      <c r="B2095" s="17"/>
      <c r="C2095" s="16"/>
      <c r="D2095" s="8"/>
      <c r="E2095" s="8"/>
      <c r="F2095" s="8"/>
      <c r="G2095" s="8"/>
      <c r="H2095" s="17"/>
      <c r="I2095" s="17"/>
    </row>
    <row r="2096" spans="1:9">
      <c r="A2096" s="8"/>
      <c r="B2096" s="17"/>
      <c r="C2096" s="16"/>
      <c r="D2096" s="8"/>
      <c r="E2096" s="8"/>
      <c r="F2096" s="8"/>
      <c r="G2096" s="8"/>
      <c r="H2096" s="17"/>
      <c r="I2096" s="17"/>
    </row>
    <row r="2097" spans="1:9">
      <c r="A2097" s="8"/>
      <c r="B2097" s="17"/>
      <c r="C2097" s="16"/>
      <c r="D2097" s="8"/>
      <c r="E2097" s="8"/>
      <c r="F2097" s="8"/>
      <c r="G2097" s="8"/>
      <c r="H2097" s="17"/>
      <c r="I2097" s="17"/>
    </row>
    <row r="2098" spans="1:9">
      <c r="A2098" s="8"/>
      <c r="B2098" s="17"/>
      <c r="C2098" s="16"/>
      <c r="D2098" s="8"/>
      <c r="E2098" s="8"/>
      <c r="F2098" s="8"/>
      <c r="G2098" s="8"/>
      <c r="H2098" s="17"/>
      <c r="I2098" s="17"/>
    </row>
    <row r="2099" spans="1:9">
      <c r="A2099" s="8"/>
      <c r="B2099" s="17"/>
      <c r="C2099" s="16"/>
      <c r="D2099" s="8"/>
      <c r="E2099" s="8"/>
      <c r="F2099" s="8"/>
      <c r="G2099" s="8"/>
      <c r="H2099" s="17"/>
      <c r="I2099" s="17"/>
    </row>
    <row r="2100" spans="1:9">
      <c r="A2100" s="8"/>
      <c r="B2100" s="17"/>
      <c r="C2100" s="16"/>
      <c r="D2100" s="8"/>
      <c r="E2100" s="8"/>
      <c r="F2100" s="8"/>
      <c r="G2100" s="8"/>
      <c r="H2100" s="17"/>
      <c r="I2100" s="17"/>
    </row>
    <row r="2101" spans="1:9">
      <c r="A2101" s="8"/>
      <c r="B2101" s="17"/>
      <c r="C2101" s="16"/>
      <c r="D2101" s="8"/>
      <c r="E2101" s="8"/>
      <c r="F2101" s="8"/>
      <c r="G2101" s="8"/>
      <c r="H2101" s="17"/>
      <c r="I2101" s="17"/>
    </row>
    <row r="2102" spans="1:9">
      <c r="A2102" s="8"/>
      <c r="B2102" s="17"/>
      <c r="C2102" s="16"/>
      <c r="D2102" s="8"/>
      <c r="E2102" s="8"/>
      <c r="F2102" s="8"/>
      <c r="G2102" s="8"/>
      <c r="H2102" s="17"/>
      <c r="I2102" s="17"/>
    </row>
    <row r="2103" spans="1:9">
      <c r="A2103" s="8"/>
      <c r="B2103" s="17"/>
      <c r="C2103" s="16"/>
      <c r="D2103" s="8"/>
      <c r="E2103" s="8"/>
      <c r="F2103" s="8"/>
      <c r="G2103" s="8"/>
      <c r="H2103" s="17"/>
      <c r="I2103" s="17"/>
    </row>
    <row r="2104" spans="1:9">
      <c r="A2104" s="8"/>
      <c r="B2104" s="17"/>
      <c r="C2104" s="16"/>
      <c r="D2104" s="8"/>
      <c r="E2104" s="8"/>
      <c r="F2104" s="8"/>
      <c r="G2104" s="8"/>
      <c r="H2104" s="17"/>
      <c r="I2104" s="17"/>
    </row>
    <row r="2105" spans="1:9">
      <c r="A2105" s="8"/>
      <c r="B2105" s="17"/>
      <c r="C2105" s="16"/>
      <c r="D2105" s="8"/>
      <c r="E2105" s="8"/>
      <c r="F2105" s="8"/>
      <c r="G2105" s="8"/>
      <c r="H2105" s="17"/>
      <c r="I2105" s="17"/>
    </row>
    <row r="2106" spans="1:9">
      <c r="A2106" s="8"/>
      <c r="B2106" s="17"/>
      <c r="C2106" s="16"/>
      <c r="D2106" s="8"/>
      <c r="E2106" s="8"/>
      <c r="F2106" s="8"/>
      <c r="G2106" s="8"/>
      <c r="H2106" s="17"/>
      <c r="I2106" s="17"/>
    </row>
    <row r="2107" spans="1:9">
      <c r="A2107" s="8"/>
      <c r="B2107" s="17"/>
      <c r="C2107" s="16"/>
      <c r="D2107" s="8"/>
      <c r="E2107" s="8"/>
      <c r="F2107" s="8"/>
      <c r="G2107" s="8"/>
      <c r="H2107" s="17"/>
      <c r="I2107" s="17"/>
    </row>
    <row r="2108" spans="1:9">
      <c r="A2108" s="8"/>
      <c r="B2108" s="17"/>
      <c r="C2108" s="16"/>
      <c r="D2108" s="8"/>
      <c r="E2108" s="8"/>
      <c r="F2108" s="8"/>
      <c r="G2108" s="8"/>
      <c r="H2108" s="17"/>
      <c r="I2108" s="17"/>
    </row>
    <row r="2109" spans="1:9">
      <c r="A2109" s="8"/>
      <c r="B2109" s="17"/>
      <c r="C2109" s="16"/>
      <c r="D2109" s="8"/>
      <c r="E2109" s="8"/>
      <c r="F2109" s="8"/>
      <c r="G2109" s="8"/>
      <c r="H2109" s="17"/>
      <c r="I2109" s="17"/>
    </row>
    <row r="2110" spans="1:9">
      <c r="A2110" s="8"/>
      <c r="B2110" s="17"/>
      <c r="C2110" s="16"/>
      <c r="D2110" s="8"/>
      <c r="E2110" s="8"/>
      <c r="F2110" s="8"/>
      <c r="G2110" s="8"/>
      <c r="H2110" s="17"/>
      <c r="I2110" s="17"/>
    </row>
    <row r="2111" spans="1:9">
      <c r="A2111" s="8"/>
      <c r="B2111" s="17"/>
      <c r="C2111" s="16"/>
      <c r="D2111" s="8"/>
      <c r="E2111" s="8"/>
      <c r="F2111" s="8"/>
      <c r="G2111" s="8"/>
      <c r="H2111" s="17"/>
      <c r="I2111" s="17"/>
    </row>
    <row r="2112" spans="1:9">
      <c r="A2112" s="8"/>
      <c r="B2112" s="17"/>
      <c r="C2112" s="16"/>
      <c r="D2112" s="8"/>
      <c r="E2112" s="8"/>
      <c r="F2112" s="8"/>
      <c r="G2112" s="8"/>
      <c r="H2112" s="17"/>
      <c r="I2112" s="17"/>
    </row>
    <row r="2113" spans="1:9">
      <c r="A2113" s="8"/>
      <c r="B2113" s="17"/>
      <c r="C2113" s="16"/>
      <c r="D2113" s="8"/>
      <c r="E2113" s="8"/>
      <c r="F2113" s="8"/>
      <c r="G2113" s="8"/>
      <c r="H2113" s="17"/>
      <c r="I2113" s="17"/>
    </row>
    <row r="2114" spans="1:9">
      <c r="A2114" s="8"/>
      <c r="B2114" s="17"/>
      <c r="C2114" s="16"/>
      <c r="D2114" s="8"/>
      <c r="E2114" s="8"/>
      <c r="F2114" s="8"/>
      <c r="G2114" s="8"/>
      <c r="H2114" s="17"/>
      <c r="I2114" s="17"/>
    </row>
    <row r="2115" spans="1:9">
      <c r="A2115" s="8"/>
      <c r="B2115" s="17"/>
      <c r="C2115" s="16"/>
      <c r="D2115" s="8"/>
      <c r="E2115" s="8"/>
      <c r="F2115" s="8"/>
      <c r="G2115" s="8"/>
      <c r="H2115" s="17"/>
      <c r="I2115" s="17"/>
    </row>
    <row r="2116" spans="1:9">
      <c r="A2116" s="8"/>
      <c r="B2116" s="17"/>
      <c r="C2116" s="16"/>
      <c r="D2116" s="8"/>
      <c r="E2116" s="8"/>
      <c r="F2116" s="8"/>
      <c r="G2116" s="8"/>
      <c r="H2116" s="17"/>
      <c r="I2116" s="17"/>
    </row>
    <row r="2117" spans="1:9">
      <c r="A2117" s="8"/>
      <c r="B2117" s="17"/>
      <c r="C2117" s="16"/>
      <c r="D2117" s="8"/>
      <c r="E2117" s="8"/>
      <c r="F2117" s="8"/>
      <c r="G2117" s="8"/>
      <c r="H2117" s="17"/>
      <c r="I2117" s="17"/>
    </row>
    <row r="2118" spans="1:9">
      <c r="A2118" s="8"/>
      <c r="B2118" s="17"/>
      <c r="C2118" s="16"/>
      <c r="D2118" s="8"/>
      <c r="E2118" s="8"/>
      <c r="F2118" s="8"/>
      <c r="G2118" s="8"/>
      <c r="H2118" s="17"/>
      <c r="I2118" s="17"/>
    </row>
    <row r="2119" spans="1:9">
      <c r="A2119" s="8"/>
      <c r="B2119" s="17"/>
      <c r="C2119" s="16"/>
      <c r="D2119" s="8"/>
      <c r="E2119" s="8"/>
      <c r="F2119" s="8"/>
      <c r="G2119" s="8"/>
      <c r="H2119" s="17"/>
      <c r="I2119" s="17"/>
    </row>
    <row r="2120" spans="1:9">
      <c r="A2120" s="8"/>
      <c r="B2120" s="17"/>
      <c r="C2120" s="16"/>
      <c r="D2120" s="8"/>
      <c r="E2120" s="8"/>
      <c r="F2120" s="8"/>
      <c r="G2120" s="8"/>
      <c r="H2120" s="17"/>
      <c r="I2120" s="17"/>
    </row>
    <row r="2121" spans="1:9">
      <c r="A2121" s="8"/>
      <c r="B2121" s="17"/>
      <c r="C2121" s="16"/>
      <c r="D2121" s="8"/>
      <c r="E2121" s="8"/>
      <c r="F2121" s="8"/>
      <c r="G2121" s="8"/>
      <c r="H2121" s="17"/>
      <c r="I2121" s="17"/>
    </row>
    <row r="2122" spans="1:9">
      <c r="A2122" s="8"/>
      <c r="B2122" s="17"/>
      <c r="C2122" s="16"/>
      <c r="D2122" s="8"/>
      <c r="E2122" s="8"/>
      <c r="F2122" s="8"/>
      <c r="G2122" s="8"/>
      <c r="H2122" s="17"/>
      <c r="I2122" s="17"/>
    </row>
    <row r="2123" spans="1:9">
      <c r="A2123" s="8"/>
      <c r="B2123" s="17"/>
      <c r="C2123" s="16"/>
      <c r="D2123" s="8"/>
      <c r="E2123" s="8"/>
      <c r="F2123" s="8"/>
      <c r="G2123" s="8"/>
      <c r="H2123" s="17"/>
      <c r="I2123" s="17"/>
    </row>
    <row r="2124" spans="1:9">
      <c r="A2124" s="8"/>
      <c r="B2124" s="17"/>
      <c r="C2124" s="16"/>
      <c r="D2124" s="8"/>
      <c r="E2124" s="8"/>
      <c r="F2124" s="8"/>
      <c r="G2124" s="8"/>
      <c r="H2124" s="17"/>
      <c r="I2124" s="17"/>
    </row>
    <row r="2125" spans="1:9">
      <c r="A2125" s="8"/>
      <c r="B2125" s="17"/>
      <c r="C2125" s="16"/>
      <c r="D2125" s="8"/>
      <c r="E2125" s="8"/>
      <c r="F2125" s="8"/>
      <c r="G2125" s="8"/>
      <c r="H2125" s="17"/>
      <c r="I2125" s="17"/>
    </row>
    <row r="2126" spans="1:9">
      <c r="A2126" s="8"/>
      <c r="B2126" s="17"/>
      <c r="C2126" s="16"/>
      <c r="D2126" s="8"/>
      <c r="E2126" s="8"/>
      <c r="F2126" s="8"/>
      <c r="G2126" s="8"/>
      <c r="H2126" s="17"/>
      <c r="I2126" s="17"/>
    </row>
    <row r="2127" spans="1:9">
      <c r="A2127" s="8"/>
      <c r="B2127" s="17"/>
      <c r="C2127" s="16"/>
      <c r="D2127" s="8"/>
      <c r="E2127" s="8"/>
      <c r="F2127" s="8"/>
      <c r="G2127" s="8"/>
      <c r="H2127" s="17"/>
      <c r="I2127" s="17"/>
    </row>
    <row r="2128" spans="1:9">
      <c r="A2128" s="8"/>
      <c r="B2128" s="17"/>
      <c r="C2128" s="16"/>
      <c r="D2128" s="8"/>
      <c r="E2128" s="8"/>
      <c r="F2128" s="8"/>
      <c r="G2128" s="8"/>
      <c r="H2128" s="17"/>
      <c r="I2128" s="17"/>
    </row>
    <row r="2129" spans="1:9">
      <c r="A2129" s="8"/>
      <c r="B2129" s="17"/>
      <c r="C2129" s="16"/>
      <c r="D2129" s="8"/>
      <c r="E2129" s="8"/>
      <c r="F2129" s="8"/>
      <c r="G2129" s="8"/>
      <c r="H2129" s="17"/>
      <c r="I2129" s="17"/>
    </row>
    <row r="2130" spans="1:9">
      <c r="A2130" s="8"/>
      <c r="B2130" s="17"/>
      <c r="C2130" s="16"/>
      <c r="D2130" s="8"/>
      <c r="E2130" s="8"/>
      <c r="F2130" s="8"/>
      <c r="G2130" s="8"/>
      <c r="H2130" s="17"/>
      <c r="I2130" s="17"/>
    </row>
    <row r="2131" spans="1:9">
      <c r="A2131" s="8"/>
      <c r="B2131" s="17"/>
      <c r="C2131" s="16"/>
      <c r="D2131" s="8"/>
      <c r="E2131" s="8"/>
      <c r="F2131" s="8"/>
      <c r="G2131" s="8"/>
      <c r="H2131" s="17"/>
      <c r="I2131" s="17"/>
    </row>
    <row r="2132" spans="1:9">
      <c r="A2132" s="8"/>
      <c r="B2132" s="17"/>
      <c r="C2132" s="16"/>
      <c r="D2132" s="8"/>
      <c r="E2132" s="8"/>
      <c r="F2132" s="8"/>
      <c r="G2132" s="8"/>
      <c r="H2132" s="17"/>
      <c r="I2132" s="17"/>
    </row>
    <row r="2133" spans="1:9">
      <c r="A2133" s="8"/>
      <c r="B2133" s="17"/>
      <c r="C2133" s="16"/>
      <c r="D2133" s="8"/>
      <c r="E2133" s="8"/>
      <c r="F2133" s="8"/>
      <c r="G2133" s="8"/>
      <c r="H2133" s="17"/>
      <c r="I2133" s="17"/>
    </row>
    <row r="2134" spans="1:9">
      <c r="A2134" s="8"/>
      <c r="B2134" s="17"/>
      <c r="C2134" s="16"/>
      <c r="D2134" s="8"/>
      <c r="E2134" s="8"/>
      <c r="F2134" s="8"/>
      <c r="G2134" s="8"/>
      <c r="H2134" s="17"/>
      <c r="I2134" s="17"/>
    </row>
    <row r="2135" spans="1:9">
      <c r="A2135" s="8"/>
      <c r="B2135" s="17"/>
      <c r="C2135" s="16"/>
      <c r="D2135" s="8"/>
      <c r="E2135" s="8"/>
      <c r="F2135" s="8"/>
      <c r="G2135" s="8"/>
      <c r="H2135" s="17"/>
      <c r="I2135" s="17"/>
    </row>
    <row r="2136" spans="1:9">
      <c r="A2136" s="8"/>
      <c r="B2136" s="17"/>
      <c r="C2136" s="16"/>
      <c r="D2136" s="8"/>
      <c r="E2136" s="8"/>
      <c r="F2136" s="8"/>
      <c r="G2136" s="8"/>
      <c r="H2136" s="17"/>
      <c r="I2136" s="17"/>
    </row>
    <row r="2137" spans="1:9">
      <c r="A2137" s="8"/>
      <c r="B2137" s="17"/>
      <c r="C2137" s="16"/>
      <c r="D2137" s="8"/>
      <c r="E2137" s="8"/>
      <c r="F2137" s="8"/>
      <c r="G2137" s="8"/>
      <c r="H2137" s="17"/>
      <c r="I2137" s="17"/>
    </row>
    <row r="2138" spans="1:9">
      <c r="A2138" s="8"/>
      <c r="B2138" s="17"/>
      <c r="C2138" s="16"/>
      <c r="D2138" s="8"/>
      <c r="E2138" s="8"/>
      <c r="F2138" s="8"/>
      <c r="G2138" s="8"/>
      <c r="H2138" s="17"/>
      <c r="I2138" s="17"/>
    </row>
    <row r="2139" spans="1:9">
      <c r="A2139" s="8"/>
      <c r="B2139" s="17"/>
      <c r="C2139" s="16"/>
      <c r="D2139" s="8"/>
      <c r="E2139" s="8"/>
      <c r="F2139" s="8"/>
      <c r="G2139" s="8"/>
      <c r="H2139" s="17"/>
      <c r="I2139" s="17"/>
    </row>
    <row r="2140" spans="1:9">
      <c r="A2140" s="8"/>
      <c r="B2140" s="17"/>
      <c r="C2140" s="16"/>
      <c r="D2140" s="8"/>
      <c r="E2140" s="8"/>
      <c r="F2140" s="8"/>
      <c r="G2140" s="8"/>
      <c r="H2140" s="17"/>
      <c r="I2140" s="17"/>
    </row>
    <row r="2141" spans="1:9">
      <c r="A2141" s="8"/>
      <c r="B2141" s="17"/>
      <c r="C2141" s="16"/>
      <c r="D2141" s="8"/>
      <c r="E2141" s="8"/>
      <c r="F2141" s="8"/>
      <c r="G2141" s="8"/>
      <c r="H2141" s="17"/>
      <c r="I2141" s="17"/>
    </row>
    <row r="2142" spans="1:9">
      <c r="A2142" s="8"/>
      <c r="B2142" s="17"/>
      <c r="C2142" s="16"/>
      <c r="D2142" s="8"/>
      <c r="E2142" s="8"/>
      <c r="F2142" s="8"/>
      <c r="G2142" s="8"/>
      <c r="H2142" s="17"/>
      <c r="I2142" s="17"/>
    </row>
    <row r="2143" spans="1:9">
      <c r="A2143" s="8"/>
      <c r="B2143" s="17"/>
      <c r="C2143" s="16"/>
      <c r="D2143" s="8"/>
      <c r="E2143" s="8"/>
      <c r="F2143" s="8"/>
      <c r="G2143" s="8"/>
      <c r="H2143" s="17"/>
      <c r="I2143" s="17"/>
    </row>
    <row r="2144" spans="1:9">
      <c r="A2144" s="8"/>
      <c r="B2144" s="17"/>
      <c r="C2144" s="16"/>
      <c r="D2144" s="8"/>
      <c r="E2144" s="8"/>
      <c r="F2144" s="8"/>
      <c r="G2144" s="8"/>
      <c r="H2144" s="17"/>
      <c r="I2144" s="17"/>
    </row>
    <row r="2145" spans="1:9">
      <c r="A2145" s="8"/>
      <c r="B2145" s="17"/>
      <c r="C2145" s="16"/>
      <c r="D2145" s="8"/>
      <c r="E2145" s="8"/>
      <c r="F2145" s="8"/>
      <c r="G2145" s="8"/>
      <c r="H2145" s="17"/>
      <c r="I2145" s="17"/>
    </row>
    <row r="2146" spans="1:9">
      <c r="A2146" s="8"/>
      <c r="B2146" s="17"/>
      <c r="C2146" s="16"/>
      <c r="D2146" s="8"/>
      <c r="E2146" s="8"/>
      <c r="F2146" s="8"/>
      <c r="G2146" s="8"/>
      <c r="H2146" s="17"/>
      <c r="I2146" s="17"/>
    </row>
    <row r="2147" spans="1:9">
      <c r="A2147" s="8"/>
      <c r="B2147" s="17"/>
      <c r="C2147" s="16"/>
      <c r="D2147" s="8"/>
      <c r="E2147" s="8"/>
      <c r="F2147" s="8"/>
      <c r="G2147" s="8"/>
      <c r="H2147" s="17"/>
      <c r="I2147" s="17"/>
    </row>
    <row r="2148" spans="1:9">
      <c r="A2148" s="8"/>
      <c r="B2148" s="17"/>
      <c r="C2148" s="16"/>
      <c r="D2148" s="8"/>
      <c r="E2148" s="8"/>
      <c r="F2148" s="8"/>
      <c r="G2148" s="8"/>
      <c r="H2148" s="17"/>
      <c r="I2148" s="17"/>
    </row>
    <row r="2149" spans="1:9">
      <c r="A2149" s="8"/>
      <c r="B2149" s="17"/>
      <c r="C2149" s="16"/>
      <c r="D2149" s="8"/>
      <c r="E2149" s="8"/>
      <c r="F2149" s="8"/>
      <c r="G2149" s="8"/>
      <c r="H2149" s="17"/>
      <c r="I2149" s="17"/>
    </row>
    <row r="2150" spans="1:9">
      <c r="A2150" s="8"/>
      <c r="B2150" s="17"/>
      <c r="C2150" s="16"/>
      <c r="D2150" s="8"/>
      <c r="E2150" s="8"/>
      <c r="F2150" s="8"/>
      <c r="G2150" s="8"/>
      <c r="H2150" s="17"/>
      <c r="I2150" s="17"/>
    </row>
    <row r="2151" spans="1:9">
      <c r="A2151" s="8"/>
      <c r="B2151" s="17"/>
      <c r="C2151" s="16"/>
      <c r="D2151" s="8"/>
      <c r="E2151" s="8"/>
      <c r="F2151" s="8"/>
      <c r="G2151" s="8"/>
      <c r="H2151" s="17"/>
      <c r="I2151" s="17"/>
    </row>
    <row r="2152" spans="1:9">
      <c r="A2152" s="8"/>
      <c r="B2152" s="17"/>
      <c r="C2152" s="16"/>
      <c r="D2152" s="8"/>
      <c r="E2152" s="8"/>
      <c r="F2152" s="8"/>
      <c r="G2152" s="8"/>
      <c r="H2152" s="17"/>
      <c r="I2152" s="17"/>
    </row>
    <row r="2153" spans="1:9">
      <c r="A2153" s="8"/>
      <c r="B2153" s="17"/>
      <c r="C2153" s="16"/>
      <c r="D2153" s="8"/>
      <c r="E2153" s="8"/>
      <c r="F2153" s="8"/>
      <c r="G2153" s="8"/>
      <c r="H2153" s="17"/>
      <c r="I2153" s="17"/>
    </row>
    <row r="2154" spans="1:9">
      <c r="A2154" s="8"/>
      <c r="B2154" s="17"/>
      <c r="C2154" s="16"/>
      <c r="D2154" s="8"/>
      <c r="E2154" s="8"/>
      <c r="F2154" s="8"/>
      <c r="G2154" s="8"/>
      <c r="H2154" s="17"/>
      <c r="I2154" s="17"/>
    </row>
    <row r="2155" spans="1:9">
      <c r="A2155" s="8"/>
      <c r="B2155" s="17"/>
      <c r="C2155" s="16"/>
      <c r="D2155" s="8"/>
      <c r="E2155" s="8"/>
      <c r="F2155" s="8"/>
      <c r="G2155" s="8"/>
      <c r="H2155" s="17"/>
      <c r="I2155" s="17"/>
    </row>
    <row r="2156" spans="1:9">
      <c r="A2156" s="8"/>
      <c r="B2156" s="17"/>
      <c r="C2156" s="16"/>
      <c r="D2156" s="8"/>
      <c r="E2156" s="8"/>
      <c r="F2156" s="8"/>
      <c r="G2156" s="8"/>
      <c r="H2156" s="17"/>
      <c r="I2156" s="17"/>
    </row>
    <row r="2157" spans="1:9">
      <c r="A2157" s="8"/>
      <c r="B2157" s="17"/>
      <c r="C2157" s="16"/>
      <c r="D2157" s="8"/>
      <c r="E2157" s="8"/>
      <c r="F2157" s="8"/>
      <c r="G2157" s="8"/>
      <c r="H2157" s="17"/>
      <c r="I2157" s="17"/>
    </row>
    <row r="2158" spans="1:9">
      <c r="A2158" s="8"/>
      <c r="B2158" s="17"/>
      <c r="C2158" s="16"/>
      <c r="D2158" s="8"/>
      <c r="E2158" s="8"/>
      <c r="F2158" s="8"/>
      <c r="G2158" s="8"/>
      <c r="H2158" s="17"/>
      <c r="I2158" s="17"/>
    </row>
    <row r="2159" spans="1:9">
      <c r="A2159" s="8"/>
      <c r="B2159" s="17"/>
      <c r="C2159" s="16"/>
      <c r="D2159" s="8"/>
      <c r="E2159" s="8"/>
      <c r="F2159" s="8"/>
      <c r="G2159" s="8"/>
      <c r="H2159" s="17"/>
      <c r="I2159" s="17"/>
    </row>
    <row r="2160" spans="1:9">
      <c r="A2160" s="8"/>
      <c r="B2160" s="17"/>
      <c r="C2160" s="16"/>
      <c r="D2160" s="8"/>
      <c r="E2160" s="8"/>
      <c r="F2160" s="8"/>
      <c r="G2160" s="8"/>
      <c r="H2160" s="17"/>
      <c r="I2160" s="17"/>
    </row>
    <row r="2161" spans="1:9">
      <c r="A2161" s="8"/>
      <c r="B2161" s="17"/>
      <c r="C2161" s="16"/>
      <c r="D2161" s="8"/>
      <c r="E2161" s="8"/>
      <c r="F2161" s="8"/>
      <c r="G2161" s="8"/>
      <c r="H2161" s="17"/>
      <c r="I2161" s="17"/>
    </row>
    <row r="2162" spans="1:9">
      <c r="A2162" s="8"/>
      <c r="B2162" s="17"/>
      <c r="C2162" s="16"/>
      <c r="D2162" s="8"/>
      <c r="E2162" s="8"/>
      <c r="F2162" s="8"/>
      <c r="G2162" s="8"/>
      <c r="H2162" s="17"/>
      <c r="I2162" s="17"/>
    </row>
    <row r="2163" spans="1:9">
      <c r="A2163" s="8"/>
      <c r="B2163" s="17"/>
      <c r="C2163" s="16"/>
      <c r="D2163" s="8"/>
      <c r="E2163" s="8"/>
      <c r="F2163" s="8"/>
      <c r="G2163" s="8"/>
      <c r="H2163" s="17"/>
      <c r="I2163" s="17"/>
    </row>
    <row r="2164" spans="1:9">
      <c r="A2164" s="8"/>
      <c r="B2164" s="17"/>
      <c r="C2164" s="16"/>
      <c r="D2164" s="8"/>
      <c r="E2164" s="8"/>
      <c r="F2164" s="8"/>
      <c r="G2164" s="8"/>
      <c r="H2164" s="17"/>
      <c r="I2164" s="17"/>
    </row>
    <row r="2165" spans="1:9">
      <c r="A2165" s="8"/>
      <c r="B2165" s="17"/>
      <c r="C2165" s="16"/>
      <c r="D2165" s="8"/>
      <c r="E2165" s="8"/>
      <c r="F2165" s="8"/>
      <c r="G2165" s="8"/>
      <c r="H2165" s="17"/>
      <c r="I2165" s="17"/>
    </row>
    <row r="2166" spans="1:9">
      <c r="A2166" s="8"/>
      <c r="B2166" s="17"/>
      <c r="C2166" s="16"/>
      <c r="D2166" s="8"/>
      <c r="E2166" s="8"/>
      <c r="F2166" s="8"/>
      <c r="G2166" s="8"/>
      <c r="H2166" s="17"/>
      <c r="I2166" s="17"/>
    </row>
    <row r="2167" spans="1:9">
      <c r="A2167" s="8"/>
      <c r="B2167" s="17"/>
      <c r="C2167" s="16"/>
      <c r="D2167" s="8"/>
      <c r="E2167" s="8"/>
      <c r="F2167" s="8"/>
      <c r="G2167" s="8"/>
      <c r="H2167" s="17"/>
      <c r="I2167" s="17"/>
    </row>
    <row r="2168" spans="1:9">
      <c r="A2168" s="8"/>
      <c r="B2168" s="17"/>
      <c r="C2168" s="16"/>
      <c r="D2168" s="8"/>
      <c r="E2168" s="8"/>
      <c r="F2168" s="8"/>
      <c r="G2168" s="8"/>
      <c r="H2168" s="17"/>
      <c r="I2168" s="17"/>
    </row>
    <row r="2169" spans="1:9">
      <c r="A2169" s="8"/>
      <c r="B2169" s="17"/>
      <c r="C2169" s="16"/>
      <c r="D2169" s="8"/>
      <c r="E2169" s="8"/>
      <c r="F2169" s="8"/>
      <c r="G2169" s="8"/>
      <c r="H2169" s="17"/>
      <c r="I2169" s="17"/>
    </row>
    <row r="2170" spans="1:9">
      <c r="A2170" s="8"/>
      <c r="B2170" s="17"/>
      <c r="C2170" s="16"/>
      <c r="D2170" s="8"/>
      <c r="E2170" s="8"/>
      <c r="F2170" s="8"/>
      <c r="G2170" s="8"/>
      <c r="H2170" s="17"/>
      <c r="I2170" s="17"/>
    </row>
    <row r="2171" spans="1:9">
      <c r="A2171" s="8"/>
      <c r="B2171" s="17"/>
      <c r="C2171" s="16"/>
      <c r="D2171" s="8"/>
      <c r="E2171" s="8"/>
      <c r="F2171" s="8"/>
      <c r="G2171" s="8"/>
      <c r="H2171" s="17"/>
      <c r="I2171" s="17"/>
    </row>
    <row r="2172" spans="1:9">
      <c r="A2172" s="8"/>
      <c r="B2172" s="17"/>
      <c r="C2172" s="16"/>
      <c r="D2172" s="8"/>
      <c r="E2172" s="8"/>
      <c r="F2172" s="8"/>
      <c r="G2172" s="8"/>
      <c r="H2172" s="17"/>
      <c r="I2172" s="17"/>
    </row>
    <row r="2173" spans="1:9">
      <c r="A2173" s="8"/>
      <c r="B2173" s="17"/>
      <c r="C2173" s="16"/>
      <c r="D2173" s="8"/>
      <c r="E2173" s="8"/>
      <c r="F2173" s="8"/>
      <c r="G2173" s="8"/>
      <c r="H2173" s="17"/>
      <c r="I2173" s="17"/>
    </row>
    <row r="2174" spans="1:9">
      <c r="A2174" s="8"/>
      <c r="B2174" s="17"/>
      <c r="C2174" s="16"/>
      <c r="D2174" s="8"/>
      <c r="E2174" s="8"/>
      <c r="F2174" s="8"/>
      <c r="G2174" s="8"/>
      <c r="H2174" s="17"/>
      <c r="I2174" s="17"/>
    </row>
    <row r="2175" spans="1:9">
      <c r="A2175" s="8"/>
      <c r="B2175" s="17"/>
      <c r="C2175" s="16"/>
      <c r="D2175" s="8"/>
      <c r="E2175" s="8"/>
      <c r="F2175" s="8"/>
      <c r="G2175" s="8"/>
      <c r="H2175" s="17"/>
      <c r="I2175" s="17"/>
    </row>
    <row r="2176" spans="1:9">
      <c r="A2176" s="8"/>
      <c r="B2176" s="17"/>
      <c r="C2176" s="16"/>
      <c r="D2176" s="8"/>
      <c r="E2176" s="8"/>
      <c r="F2176" s="8"/>
      <c r="G2176" s="8"/>
      <c r="H2176" s="17"/>
      <c r="I2176" s="17"/>
    </row>
    <row r="2177" spans="1:9">
      <c r="A2177" s="8"/>
      <c r="B2177" s="17"/>
      <c r="C2177" s="16"/>
      <c r="D2177" s="8"/>
      <c r="E2177" s="8"/>
      <c r="F2177" s="8"/>
      <c r="G2177" s="8"/>
      <c r="H2177" s="17"/>
      <c r="I2177" s="17"/>
    </row>
    <row r="2178" spans="1:9">
      <c r="A2178" s="8"/>
      <c r="B2178" s="17"/>
      <c r="C2178" s="16"/>
      <c r="D2178" s="8"/>
      <c r="E2178" s="8"/>
      <c r="F2178" s="8"/>
      <c r="G2178" s="8"/>
      <c r="H2178" s="17"/>
      <c r="I2178" s="17"/>
    </row>
    <row r="2179" spans="1:9">
      <c r="A2179" s="8"/>
      <c r="B2179" s="17"/>
      <c r="C2179" s="16"/>
      <c r="D2179" s="8"/>
      <c r="E2179" s="8"/>
      <c r="F2179" s="8"/>
      <c r="G2179" s="8"/>
      <c r="H2179" s="17"/>
      <c r="I2179" s="17"/>
    </row>
    <row r="2180" spans="1:9">
      <c r="A2180" s="8"/>
      <c r="B2180" s="17"/>
      <c r="C2180" s="16"/>
      <c r="D2180" s="8"/>
      <c r="E2180" s="8"/>
      <c r="F2180" s="8"/>
      <c r="G2180" s="8"/>
      <c r="H2180" s="17"/>
      <c r="I2180" s="17"/>
    </row>
    <row r="2181" spans="1:9">
      <c r="A2181" s="8"/>
      <c r="B2181" s="17"/>
      <c r="C2181" s="16"/>
      <c r="D2181" s="8"/>
      <c r="E2181" s="8"/>
      <c r="F2181" s="8"/>
      <c r="G2181" s="8"/>
      <c r="H2181" s="17"/>
      <c r="I2181" s="17"/>
    </row>
    <row r="2182" spans="1:9">
      <c r="A2182" s="8"/>
      <c r="B2182" s="17"/>
      <c r="C2182" s="16"/>
      <c r="D2182" s="8"/>
      <c r="E2182" s="8"/>
      <c r="F2182" s="8"/>
      <c r="G2182" s="8"/>
      <c r="H2182" s="17"/>
      <c r="I2182" s="17"/>
    </row>
    <row r="2183" spans="1:9">
      <c r="A2183" s="8"/>
      <c r="B2183" s="17"/>
      <c r="C2183" s="16"/>
      <c r="D2183" s="8"/>
      <c r="E2183" s="8"/>
      <c r="F2183" s="8"/>
      <c r="G2183" s="8"/>
      <c r="H2183" s="17"/>
      <c r="I2183" s="17"/>
    </row>
    <row r="2184" spans="1:9">
      <c r="A2184" s="8"/>
      <c r="B2184" s="17"/>
      <c r="C2184" s="16"/>
      <c r="D2184" s="8"/>
      <c r="E2184" s="8"/>
      <c r="F2184" s="8"/>
      <c r="G2184" s="8"/>
      <c r="H2184" s="17"/>
      <c r="I2184" s="17"/>
    </row>
    <row r="2185" spans="1:9">
      <c r="A2185" s="8"/>
      <c r="B2185" s="17"/>
      <c r="C2185" s="16"/>
      <c r="D2185" s="8"/>
      <c r="E2185" s="8"/>
      <c r="F2185" s="8"/>
      <c r="G2185" s="8"/>
      <c r="H2185" s="17"/>
      <c r="I2185" s="17"/>
    </row>
    <row r="2186" spans="1:9">
      <c r="A2186" s="8"/>
      <c r="B2186" s="17"/>
      <c r="C2186" s="16"/>
      <c r="D2186" s="8"/>
      <c r="E2186" s="8"/>
      <c r="F2186" s="8"/>
      <c r="G2186" s="8"/>
      <c r="H2186" s="17"/>
      <c r="I2186" s="17"/>
    </row>
    <row r="2187" spans="1:9">
      <c r="A2187" s="8"/>
      <c r="B2187" s="17"/>
      <c r="C2187" s="16"/>
      <c r="D2187" s="8"/>
      <c r="E2187" s="8"/>
      <c r="F2187" s="8"/>
      <c r="G2187" s="8"/>
      <c r="H2187" s="17"/>
      <c r="I2187" s="17"/>
    </row>
    <row r="2188" spans="1:9">
      <c r="A2188" s="8"/>
      <c r="B2188" s="17"/>
      <c r="C2188" s="16"/>
      <c r="D2188" s="8"/>
      <c r="E2188" s="8"/>
      <c r="F2188" s="8"/>
      <c r="G2188" s="8"/>
      <c r="H2188" s="17"/>
      <c r="I2188" s="17"/>
    </row>
    <row r="2189" spans="1:9">
      <c r="A2189" s="8"/>
      <c r="B2189" s="17"/>
      <c r="C2189" s="16"/>
      <c r="D2189" s="8"/>
      <c r="E2189" s="8"/>
      <c r="F2189" s="8"/>
      <c r="G2189" s="8"/>
      <c r="H2189" s="17"/>
      <c r="I2189" s="17"/>
    </row>
    <row r="2190" spans="1:9">
      <c r="A2190" s="8"/>
      <c r="B2190" s="17"/>
      <c r="C2190" s="16"/>
      <c r="D2190" s="8"/>
      <c r="E2190" s="8"/>
      <c r="F2190" s="8"/>
      <c r="G2190" s="8"/>
      <c r="H2190" s="17"/>
      <c r="I2190" s="17"/>
    </row>
    <row r="2191" spans="1:9">
      <c r="A2191" s="8"/>
      <c r="B2191" s="17"/>
      <c r="C2191" s="16"/>
      <c r="D2191" s="8"/>
      <c r="E2191" s="8"/>
      <c r="F2191" s="8"/>
      <c r="G2191" s="8"/>
      <c r="H2191" s="17"/>
      <c r="I2191" s="17"/>
    </row>
    <row r="2192" spans="1:9">
      <c r="A2192" s="8"/>
      <c r="B2192" s="17"/>
      <c r="C2192" s="16"/>
      <c r="D2192" s="8"/>
      <c r="E2192" s="8"/>
      <c r="F2192" s="8"/>
      <c r="G2192" s="8"/>
      <c r="H2192" s="17"/>
      <c r="I2192" s="17"/>
    </row>
    <row r="2193" spans="1:9">
      <c r="A2193" s="8"/>
      <c r="B2193" s="17"/>
      <c r="C2193" s="16"/>
      <c r="D2193" s="8"/>
      <c r="E2193" s="8"/>
      <c r="F2193" s="8"/>
      <c r="G2193" s="8"/>
      <c r="H2193" s="17"/>
      <c r="I2193" s="17"/>
    </row>
    <row r="2194" spans="1:9">
      <c r="A2194" s="8"/>
      <c r="B2194" s="17"/>
      <c r="C2194" s="16"/>
      <c r="D2194" s="8"/>
      <c r="E2194" s="8"/>
      <c r="F2194" s="8"/>
      <c r="G2194" s="8"/>
      <c r="H2194" s="17"/>
      <c r="I2194" s="17"/>
    </row>
    <row r="2195" spans="1:9">
      <c r="A2195" s="8"/>
      <c r="B2195" s="17"/>
      <c r="C2195" s="16"/>
      <c r="D2195" s="8"/>
      <c r="E2195" s="8"/>
      <c r="F2195" s="8"/>
      <c r="G2195" s="8"/>
      <c r="H2195" s="17"/>
      <c r="I2195" s="17"/>
    </row>
    <row r="2196" spans="1:9">
      <c r="A2196" s="8"/>
      <c r="B2196" s="17"/>
      <c r="C2196" s="16"/>
      <c r="D2196" s="8"/>
      <c r="E2196" s="8"/>
      <c r="F2196" s="8"/>
      <c r="G2196" s="8"/>
      <c r="H2196" s="17"/>
      <c r="I2196" s="17"/>
    </row>
    <row r="2197" spans="1:9">
      <c r="A2197" s="8"/>
      <c r="B2197" s="17"/>
      <c r="C2197" s="16"/>
      <c r="D2197" s="8"/>
      <c r="E2197" s="8"/>
      <c r="F2197" s="8"/>
      <c r="G2197" s="8"/>
      <c r="H2197" s="17"/>
      <c r="I2197" s="17"/>
    </row>
    <row r="2198" spans="1:9">
      <c r="A2198" s="8"/>
      <c r="B2198" s="17"/>
      <c r="C2198" s="16"/>
      <c r="D2198" s="8"/>
      <c r="E2198" s="8"/>
      <c r="F2198" s="8"/>
      <c r="G2198" s="8"/>
      <c r="H2198" s="17"/>
      <c r="I2198" s="17"/>
    </row>
    <row r="2199" spans="1:9">
      <c r="A2199" s="8"/>
      <c r="B2199" s="17"/>
      <c r="C2199" s="16"/>
      <c r="D2199" s="8"/>
      <c r="E2199" s="8"/>
      <c r="F2199" s="8"/>
      <c r="G2199" s="8"/>
      <c r="H2199" s="17"/>
      <c r="I2199" s="17"/>
    </row>
    <row r="2200" spans="1:9">
      <c r="A2200" s="8"/>
      <c r="B2200" s="17"/>
      <c r="C2200" s="16"/>
      <c r="D2200" s="8"/>
      <c r="E2200" s="8"/>
      <c r="F2200" s="8"/>
      <c r="G2200" s="8"/>
      <c r="H2200" s="17"/>
      <c r="I2200" s="17"/>
    </row>
    <row r="2201" spans="1:9">
      <c r="A2201" s="8"/>
      <c r="B2201" s="17"/>
      <c r="C2201" s="16"/>
      <c r="D2201" s="8"/>
      <c r="E2201" s="8"/>
      <c r="F2201" s="8"/>
      <c r="G2201" s="8"/>
      <c r="H2201" s="17"/>
      <c r="I2201" s="17"/>
    </row>
    <row r="2202" spans="1:9">
      <c r="A2202" s="8"/>
      <c r="B2202" s="17"/>
      <c r="C2202" s="16"/>
      <c r="D2202" s="8"/>
      <c r="E2202" s="8"/>
      <c r="F2202" s="8"/>
      <c r="G2202" s="8"/>
      <c r="H2202" s="17"/>
      <c r="I2202" s="17"/>
    </row>
    <row r="2203" spans="1:9">
      <c r="A2203" s="8"/>
      <c r="B2203" s="17"/>
      <c r="C2203" s="16"/>
      <c r="D2203" s="8"/>
      <c r="E2203" s="8"/>
      <c r="F2203" s="8"/>
      <c r="G2203" s="8"/>
      <c r="H2203" s="17"/>
      <c r="I2203" s="17"/>
    </row>
    <row r="2204" spans="1:9">
      <c r="A2204" s="8"/>
      <c r="B2204" s="17"/>
      <c r="C2204" s="16"/>
      <c r="D2204" s="8"/>
      <c r="E2204" s="8"/>
      <c r="F2204" s="8"/>
      <c r="G2204" s="8"/>
      <c r="H2204" s="17"/>
      <c r="I2204" s="17"/>
    </row>
    <row r="2205" spans="1:9">
      <c r="A2205" s="8"/>
      <c r="B2205" s="17"/>
      <c r="C2205" s="16"/>
      <c r="D2205" s="8"/>
      <c r="E2205" s="8"/>
      <c r="F2205" s="8"/>
      <c r="G2205" s="8"/>
      <c r="H2205" s="17"/>
      <c r="I2205" s="17"/>
    </row>
    <row r="2206" spans="1:9">
      <c r="A2206" s="8"/>
      <c r="B2206" s="17"/>
      <c r="C2206" s="16"/>
      <c r="D2206" s="8"/>
      <c r="E2206" s="8"/>
      <c r="F2206" s="8"/>
      <c r="G2206" s="8"/>
      <c r="H2206" s="17"/>
      <c r="I2206" s="17"/>
    </row>
    <row r="2207" spans="1:9">
      <c r="A2207" s="8"/>
      <c r="B2207" s="17"/>
      <c r="C2207" s="16"/>
      <c r="D2207" s="8"/>
      <c r="E2207" s="8"/>
      <c r="F2207" s="8"/>
      <c r="G2207" s="8"/>
      <c r="H2207" s="17"/>
      <c r="I2207" s="17"/>
    </row>
    <row r="2208" spans="1:9">
      <c r="A2208" s="8"/>
      <c r="B2208" s="17"/>
      <c r="C2208" s="16"/>
      <c r="D2208" s="8"/>
      <c r="E2208" s="8"/>
      <c r="F2208" s="8"/>
      <c r="G2208" s="8"/>
      <c r="H2208" s="17"/>
      <c r="I2208" s="17"/>
    </row>
    <row r="2209" spans="1:9">
      <c r="A2209" s="8"/>
      <c r="B2209" s="17"/>
      <c r="C2209" s="16"/>
      <c r="D2209" s="8"/>
      <c r="E2209" s="8"/>
      <c r="F2209" s="8"/>
      <c r="G2209" s="8"/>
      <c r="H2209" s="17"/>
      <c r="I2209" s="17"/>
    </row>
    <row r="2210" spans="1:9">
      <c r="A2210" s="8"/>
      <c r="B2210" s="17"/>
      <c r="C2210" s="16"/>
      <c r="D2210" s="8"/>
      <c r="E2210" s="8"/>
      <c r="F2210" s="8"/>
      <c r="G2210" s="8"/>
      <c r="H2210" s="17"/>
      <c r="I2210" s="17"/>
    </row>
    <row r="2211" spans="1:9">
      <c r="A2211" s="8"/>
      <c r="B2211" s="17"/>
      <c r="C2211" s="16"/>
      <c r="D2211" s="8"/>
      <c r="E2211" s="8"/>
      <c r="F2211" s="8"/>
      <c r="G2211" s="8"/>
      <c r="H2211" s="17"/>
      <c r="I2211" s="17"/>
    </row>
    <row r="2212" spans="1:9">
      <c r="A2212" s="8"/>
      <c r="B2212" s="17"/>
      <c r="C2212" s="16"/>
      <c r="D2212" s="8"/>
      <c r="E2212" s="8"/>
      <c r="F2212" s="8"/>
      <c r="G2212" s="8"/>
      <c r="H2212" s="17"/>
      <c r="I2212" s="17"/>
    </row>
    <row r="2213" spans="1:9">
      <c r="A2213" s="8"/>
      <c r="B2213" s="17"/>
      <c r="C2213" s="16"/>
      <c r="D2213" s="8"/>
      <c r="E2213" s="8"/>
      <c r="F2213" s="8"/>
      <c r="G2213" s="8"/>
      <c r="H2213" s="17"/>
      <c r="I2213" s="17"/>
    </row>
    <row r="2214" spans="1:9">
      <c r="A2214" s="8"/>
      <c r="B2214" s="17"/>
      <c r="C2214" s="16"/>
      <c r="D2214" s="8"/>
      <c r="E2214" s="8"/>
      <c r="F2214" s="8"/>
      <c r="G2214" s="8"/>
      <c r="H2214" s="17"/>
      <c r="I2214" s="17"/>
    </row>
    <row r="2215" spans="1:9">
      <c r="A2215" s="8"/>
      <c r="B2215" s="17"/>
      <c r="C2215" s="16"/>
      <c r="D2215" s="8"/>
      <c r="E2215" s="8"/>
      <c r="F2215" s="8"/>
      <c r="G2215" s="8"/>
      <c r="H2215" s="17"/>
      <c r="I2215" s="17"/>
    </row>
    <row r="2216" spans="1:9">
      <c r="A2216" s="8"/>
      <c r="B2216" s="17"/>
      <c r="C2216" s="16"/>
      <c r="D2216" s="8"/>
      <c r="E2216" s="8"/>
      <c r="F2216" s="8"/>
      <c r="G2216" s="8"/>
      <c r="H2216" s="17"/>
      <c r="I2216" s="17"/>
    </row>
    <row r="2217" spans="1:9">
      <c r="A2217" s="8"/>
      <c r="B2217" s="17"/>
      <c r="C2217" s="16"/>
      <c r="D2217" s="8"/>
      <c r="E2217" s="8"/>
      <c r="F2217" s="8"/>
      <c r="G2217" s="8"/>
      <c r="H2217" s="17"/>
      <c r="I2217" s="17"/>
    </row>
    <row r="2218" spans="1:9">
      <c r="A2218" s="8"/>
      <c r="B2218" s="17"/>
      <c r="C2218" s="16"/>
      <c r="D2218" s="8"/>
      <c r="E2218" s="8"/>
      <c r="F2218" s="8"/>
      <c r="G2218" s="8"/>
      <c r="H2218" s="17"/>
      <c r="I2218" s="17"/>
    </row>
    <row r="2219" spans="1:9">
      <c r="A2219" s="8"/>
      <c r="B2219" s="17"/>
      <c r="C2219" s="16"/>
      <c r="D2219" s="8"/>
      <c r="E2219" s="8"/>
      <c r="F2219" s="8"/>
      <c r="G2219" s="8"/>
      <c r="H2219" s="17"/>
      <c r="I2219" s="17"/>
    </row>
    <row r="2220" spans="1:9">
      <c r="A2220" s="8"/>
      <c r="B2220" s="17"/>
      <c r="C2220" s="16"/>
      <c r="D2220" s="8"/>
      <c r="E2220" s="8"/>
      <c r="F2220" s="8"/>
      <c r="G2220" s="8"/>
      <c r="H2220" s="17"/>
      <c r="I2220" s="17"/>
    </row>
    <row r="2221" spans="1:9">
      <c r="A2221" s="8"/>
      <c r="B2221" s="17"/>
      <c r="C2221" s="16"/>
      <c r="D2221" s="8"/>
      <c r="E2221" s="8"/>
      <c r="F2221" s="8"/>
      <c r="G2221" s="8"/>
      <c r="H2221" s="17"/>
      <c r="I2221" s="17"/>
    </row>
    <row r="2222" spans="1:9">
      <c r="A2222" s="8"/>
      <c r="B2222" s="17"/>
      <c r="C2222" s="16"/>
      <c r="D2222" s="8"/>
      <c r="E2222" s="8"/>
      <c r="F2222" s="8"/>
      <c r="G2222" s="8"/>
      <c r="H2222" s="17"/>
      <c r="I2222" s="17"/>
    </row>
    <row r="2223" spans="1:9">
      <c r="A2223" s="8"/>
      <c r="B2223" s="17"/>
      <c r="C2223" s="16"/>
      <c r="D2223" s="8"/>
      <c r="E2223" s="8"/>
      <c r="F2223" s="8"/>
      <c r="G2223" s="8"/>
      <c r="H2223" s="17"/>
      <c r="I2223" s="17"/>
    </row>
    <row r="2224" spans="1:9">
      <c r="A2224" s="8"/>
      <c r="B2224" s="17"/>
      <c r="C2224" s="16"/>
      <c r="D2224" s="8"/>
      <c r="E2224" s="8"/>
      <c r="F2224" s="8"/>
      <c r="G2224" s="8"/>
      <c r="H2224" s="17"/>
      <c r="I2224" s="17"/>
    </row>
    <row r="2225" spans="1:9">
      <c r="A2225" s="8"/>
      <c r="B2225" s="17"/>
      <c r="C2225" s="16"/>
      <c r="D2225" s="8"/>
      <c r="E2225" s="8"/>
      <c r="F2225" s="8"/>
      <c r="G2225" s="8"/>
      <c r="H2225" s="17"/>
      <c r="I2225" s="17"/>
    </row>
    <row r="2226" spans="1:9">
      <c r="A2226" s="8"/>
      <c r="B2226" s="17"/>
      <c r="C2226" s="16"/>
      <c r="D2226" s="8"/>
      <c r="E2226" s="8"/>
      <c r="F2226" s="8"/>
      <c r="G2226" s="8"/>
      <c r="H2226" s="17"/>
      <c r="I2226" s="17"/>
    </row>
    <row r="2227" spans="1:9">
      <c r="A2227" s="8"/>
      <c r="B2227" s="17"/>
      <c r="C2227" s="16"/>
      <c r="D2227" s="8"/>
      <c r="E2227" s="8"/>
      <c r="F2227" s="8"/>
      <c r="G2227" s="8"/>
      <c r="H2227" s="17"/>
      <c r="I2227" s="17"/>
    </row>
    <row r="2228" spans="1:9">
      <c r="A2228" s="8"/>
      <c r="B2228" s="17"/>
      <c r="C2228" s="16"/>
      <c r="D2228" s="8"/>
      <c r="E2228" s="8"/>
      <c r="F2228" s="8"/>
      <c r="G2228" s="8"/>
      <c r="H2228" s="17"/>
      <c r="I2228" s="17"/>
    </row>
    <row r="2229" spans="1:9">
      <c r="A2229" s="8"/>
      <c r="B2229" s="17"/>
      <c r="C2229" s="16"/>
      <c r="D2229" s="8"/>
      <c r="E2229" s="8"/>
      <c r="F2229" s="8"/>
      <c r="G2229" s="8"/>
      <c r="H2229" s="17"/>
      <c r="I2229" s="17"/>
    </row>
    <row r="2230" spans="1:9">
      <c r="A2230" s="8"/>
      <c r="B2230" s="17"/>
      <c r="C2230" s="16"/>
      <c r="D2230" s="8"/>
      <c r="E2230" s="8"/>
      <c r="F2230" s="8"/>
      <c r="G2230" s="8"/>
      <c r="H2230" s="17"/>
      <c r="I2230" s="17"/>
    </row>
    <row r="2231" spans="1:9">
      <c r="A2231" s="8"/>
      <c r="B2231" s="17"/>
      <c r="C2231" s="16"/>
      <c r="D2231" s="8"/>
      <c r="E2231" s="8"/>
      <c r="F2231" s="8"/>
      <c r="G2231" s="8"/>
      <c r="H2231" s="17"/>
      <c r="I2231" s="17"/>
    </row>
    <row r="2232" spans="1:9">
      <c r="A2232" s="8"/>
      <c r="B2232" s="17"/>
      <c r="C2232" s="16"/>
      <c r="D2232" s="8"/>
      <c r="E2232" s="8"/>
      <c r="F2232" s="8"/>
      <c r="G2232" s="8"/>
      <c r="H2232" s="17"/>
      <c r="I2232" s="17"/>
    </row>
    <row r="2233" spans="1:9">
      <c r="A2233" s="8"/>
      <c r="B2233" s="17"/>
      <c r="C2233" s="16"/>
      <c r="D2233" s="8"/>
      <c r="E2233" s="8"/>
      <c r="F2233" s="8"/>
      <c r="G2233" s="8"/>
      <c r="H2233" s="17"/>
      <c r="I2233" s="17"/>
    </row>
    <row r="2234" spans="1:9">
      <c r="A2234" s="8"/>
      <c r="B2234" s="17"/>
      <c r="C2234" s="16"/>
      <c r="D2234" s="8"/>
      <c r="E2234" s="8"/>
      <c r="F2234" s="8"/>
      <c r="G2234" s="8"/>
      <c r="H2234" s="17"/>
      <c r="I2234" s="17"/>
    </row>
    <row r="2235" spans="1:9">
      <c r="A2235" s="8"/>
      <c r="B2235" s="17"/>
      <c r="C2235" s="16"/>
      <c r="D2235" s="8"/>
      <c r="E2235" s="8"/>
      <c r="F2235" s="8"/>
      <c r="G2235" s="8"/>
      <c r="H2235" s="17"/>
      <c r="I2235" s="17"/>
    </row>
    <row r="2236" spans="1:9">
      <c r="A2236" s="8"/>
      <c r="B2236" s="17"/>
      <c r="C2236" s="16"/>
      <c r="D2236" s="8"/>
      <c r="E2236" s="8"/>
      <c r="F2236" s="8"/>
      <c r="G2236" s="8"/>
      <c r="H2236" s="17"/>
      <c r="I2236" s="17"/>
    </row>
    <row r="2237" spans="1:9">
      <c r="A2237" s="8"/>
      <c r="B2237" s="17"/>
      <c r="C2237" s="16"/>
      <c r="D2237" s="8"/>
      <c r="E2237" s="8"/>
      <c r="F2237" s="8"/>
      <c r="G2237" s="8"/>
      <c r="H2237" s="17"/>
      <c r="I2237" s="17"/>
    </row>
    <row r="2238" spans="1:9">
      <c r="A2238" s="8"/>
      <c r="B2238" s="17"/>
      <c r="C2238" s="16"/>
      <c r="D2238" s="8"/>
      <c r="E2238" s="8"/>
      <c r="F2238" s="8"/>
      <c r="G2238" s="8"/>
      <c r="H2238" s="17"/>
      <c r="I2238" s="17"/>
    </row>
    <row r="2239" spans="1:9">
      <c r="A2239" s="8"/>
      <c r="B2239" s="17"/>
      <c r="C2239" s="16"/>
      <c r="D2239" s="8"/>
      <c r="E2239" s="8"/>
      <c r="F2239" s="8"/>
      <c r="G2239" s="8"/>
      <c r="H2239" s="17"/>
      <c r="I2239" s="17"/>
    </row>
    <row r="2240" spans="1:9">
      <c r="A2240" s="8"/>
      <c r="B2240" s="17"/>
      <c r="C2240" s="16"/>
      <c r="D2240" s="8"/>
      <c r="E2240" s="8"/>
      <c r="F2240" s="8"/>
      <c r="G2240" s="8"/>
      <c r="H2240" s="17"/>
      <c r="I2240" s="17"/>
    </row>
    <row r="2241" spans="1:9">
      <c r="A2241" s="8"/>
      <c r="B2241" s="17"/>
      <c r="C2241" s="16"/>
      <c r="D2241" s="8"/>
      <c r="E2241" s="8"/>
      <c r="F2241" s="8"/>
      <c r="G2241" s="8"/>
      <c r="H2241" s="17"/>
      <c r="I2241" s="17"/>
    </row>
    <row r="2242" spans="1:9">
      <c r="A2242" s="8"/>
      <c r="B2242" s="17"/>
      <c r="C2242" s="16"/>
      <c r="D2242" s="8"/>
      <c r="E2242" s="8"/>
      <c r="F2242" s="8"/>
      <c r="G2242" s="8"/>
      <c r="H2242" s="17"/>
      <c r="I2242" s="17"/>
    </row>
    <row r="2243" spans="1:9">
      <c r="A2243" s="8"/>
      <c r="B2243" s="17"/>
      <c r="C2243" s="16"/>
      <c r="D2243" s="8"/>
      <c r="E2243" s="8"/>
      <c r="F2243" s="8"/>
      <c r="G2243" s="8"/>
      <c r="H2243" s="17"/>
      <c r="I2243" s="17"/>
    </row>
    <row r="2244" spans="1:9">
      <c r="A2244" s="8"/>
      <c r="B2244" s="17"/>
      <c r="C2244" s="16"/>
      <c r="D2244" s="8"/>
      <c r="E2244" s="8"/>
      <c r="F2244" s="8"/>
      <c r="G2244" s="8"/>
      <c r="H2244" s="17"/>
      <c r="I2244" s="17"/>
    </row>
    <row r="2245" spans="1:9">
      <c r="A2245" s="8"/>
      <c r="B2245" s="17"/>
      <c r="C2245" s="16"/>
      <c r="D2245" s="8"/>
      <c r="E2245" s="8"/>
      <c r="F2245" s="8"/>
      <c r="G2245" s="8"/>
      <c r="H2245" s="17"/>
      <c r="I2245" s="17"/>
    </row>
    <row r="2246" spans="1:9">
      <c r="A2246" s="8"/>
      <c r="B2246" s="17"/>
      <c r="C2246" s="16"/>
      <c r="D2246" s="8"/>
      <c r="E2246" s="8"/>
      <c r="F2246" s="8"/>
      <c r="G2246" s="8"/>
      <c r="H2246" s="17"/>
      <c r="I2246" s="17"/>
    </row>
    <row r="2247" spans="1:9">
      <c r="A2247" s="8"/>
      <c r="B2247" s="17"/>
      <c r="C2247" s="16"/>
      <c r="D2247" s="8"/>
      <c r="E2247" s="8"/>
      <c r="F2247" s="8"/>
      <c r="G2247" s="8"/>
      <c r="H2247" s="17"/>
      <c r="I2247" s="17"/>
    </row>
    <row r="2248" spans="1:9">
      <c r="A2248" s="8"/>
      <c r="B2248" s="17"/>
      <c r="C2248" s="16"/>
      <c r="D2248" s="8"/>
      <c r="E2248" s="8"/>
      <c r="F2248" s="8"/>
      <c r="G2248" s="8"/>
      <c r="H2248" s="17"/>
      <c r="I2248" s="17"/>
    </row>
    <row r="2249" spans="1:9">
      <c r="A2249" s="8"/>
      <c r="B2249" s="17"/>
      <c r="C2249" s="16"/>
      <c r="D2249" s="8"/>
      <c r="E2249" s="8"/>
      <c r="F2249" s="8"/>
      <c r="G2249" s="8"/>
      <c r="H2249" s="17"/>
      <c r="I2249" s="17"/>
    </row>
    <row r="2250" spans="1:9">
      <c r="A2250" s="8"/>
      <c r="B2250" s="17"/>
      <c r="C2250" s="16"/>
      <c r="D2250" s="8"/>
      <c r="E2250" s="8"/>
      <c r="F2250" s="8"/>
      <c r="G2250" s="8"/>
      <c r="H2250" s="17"/>
      <c r="I2250" s="17"/>
    </row>
    <row r="2251" spans="1:9">
      <c r="A2251" s="8"/>
      <c r="B2251" s="17"/>
      <c r="C2251" s="16"/>
      <c r="D2251" s="8"/>
      <c r="E2251" s="8"/>
      <c r="F2251" s="8"/>
      <c r="G2251" s="8"/>
      <c r="H2251" s="17"/>
      <c r="I2251" s="17"/>
    </row>
    <row r="2252" spans="1:9">
      <c r="A2252" s="8"/>
      <c r="B2252" s="17"/>
      <c r="C2252" s="16"/>
      <c r="D2252" s="8"/>
      <c r="E2252" s="8"/>
      <c r="F2252" s="8"/>
      <c r="G2252" s="8"/>
      <c r="H2252" s="17"/>
      <c r="I2252" s="17"/>
    </row>
    <row r="2253" spans="1:9">
      <c r="A2253" s="8"/>
      <c r="B2253" s="17"/>
      <c r="C2253" s="16"/>
      <c r="D2253" s="8"/>
      <c r="E2253" s="8"/>
      <c r="F2253" s="8"/>
      <c r="G2253" s="8"/>
      <c r="H2253" s="17"/>
      <c r="I2253" s="17"/>
    </row>
    <row r="2254" spans="1:9">
      <c r="A2254" s="8"/>
      <c r="B2254" s="17"/>
      <c r="C2254" s="16"/>
      <c r="D2254" s="8"/>
      <c r="E2254" s="8"/>
      <c r="F2254" s="8"/>
      <c r="G2254" s="8"/>
      <c r="H2254" s="17"/>
      <c r="I2254" s="17"/>
    </row>
    <row r="2255" spans="1:9">
      <c r="A2255" s="8"/>
      <c r="B2255" s="17"/>
      <c r="C2255" s="16"/>
      <c r="D2255" s="8"/>
      <c r="E2255" s="8"/>
      <c r="F2255" s="8"/>
      <c r="G2255" s="8"/>
      <c r="H2255" s="17"/>
      <c r="I2255" s="17"/>
    </row>
    <row r="2256" spans="1:9">
      <c r="A2256" s="8"/>
      <c r="B2256" s="17"/>
      <c r="C2256" s="16"/>
      <c r="D2256" s="8"/>
      <c r="E2256" s="8"/>
      <c r="F2256" s="8"/>
      <c r="G2256" s="8"/>
      <c r="H2256" s="17"/>
      <c r="I2256" s="17"/>
    </row>
    <row r="2257" spans="1:9">
      <c r="A2257" s="8"/>
      <c r="B2257" s="17"/>
      <c r="C2257" s="16"/>
      <c r="D2257" s="8"/>
      <c r="E2257" s="8"/>
      <c r="F2257" s="8"/>
      <c r="G2257" s="8"/>
      <c r="H2257" s="17"/>
      <c r="I2257" s="17"/>
    </row>
    <row r="2258" spans="1:9">
      <c r="A2258" s="8"/>
      <c r="B2258" s="17"/>
      <c r="C2258" s="16"/>
      <c r="D2258" s="8"/>
      <c r="E2258" s="8"/>
      <c r="F2258" s="8"/>
      <c r="G2258" s="8"/>
      <c r="H2258" s="17"/>
      <c r="I2258" s="17"/>
    </row>
    <row r="2259" spans="1:9">
      <c r="A2259" s="8"/>
      <c r="B2259" s="17"/>
      <c r="C2259" s="16"/>
      <c r="D2259" s="8"/>
      <c r="E2259" s="8"/>
      <c r="F2259" s="8"/>
      <c r="G2259" s="8"/>
      <c r="H2259" s="17"/>
      <c r="I2259" s="17"/>
    </row>
    <row r="2260" spans="1:9">
      <c r="A2260" s="8"/>
      <c r="B2260" s="17"/>
      <c r="C2260" s="16"/>
      <c r="D2260" s="8"/>
      <c r="E2260" s="8"/>
      <c r="F2260" s="8"/>
      <c r="G2260" s="8"/>
      <c r="H2260" s="17"/>
      <c r="I2260" s="17"/>
    </row>
    <row r="2261" spans="1:9">
      <c r="A2261" s="8"/>
      <c r="B2261" s="17"/>
      <c r="C2261" s="16"/>
      <c r="D2261" s="8"/>
      <c r="E2261" s="8"/>
      <c r="F2261" s="8"/>
      <c r="G2261" s="8"/>
      <c r="H2261" s="17"/>
      <c r="I2261" s="17"/>
    </row>
    <row r="2262" spans="1:9">
      <c r="A2262" s="8"/>
      <c r="B2262" s="17"/>
      <c r="C2262" s="16"/>
      <c r="D2262" s="8"/>
      <c r="E2262" s="8"/>
      <c r="F2262" s="8"/>
      <c r="G2262" s="8"/>
      <c r="H2262" s="17"/>
      <c r="I2262" s="17"/>
    </row>
    <row r="2263" spans="1:9">
      <c r="A2263" s="8"/>
      <c r="B2263" s="17"/>
      <c r="C2263" s="16"/>
      <c r="D2263" s="8"/>
      <c r="E2263" s="8"/>
      <c r="F2263" s="8"/>
      <c r="G2263" s="8"/>
      <c r="H2263" s="17"/>
      <c r="I2263" s="17"/>
    </row>
    <row r="2264" spans="1:9">
      <c r="A2264" s="8"/>
      <c r="B2264" s="17"/>
      <c r="C2264" s="16"/>
      <c r="D2264" s="8"/>
      <c r="E2264" s="8"/>
      <c r="F2264" s="8"/>
      <c r="G2264" s="8"/>
      <c r="H2264" s="17"/>
      <c r="I2264" s="17"/>
    </row>
    <row r="2265" spans="1:9">
      <c r="A2265" s="8"/>
      <c r="B2265" s="17"/>
      <c r="C2265" s="16"/>
      <c r="D2265" s="8"/>
      <c r="E2265" s="8"/>
      <c r="F2265" s="8"/>
      <c r="G2265" s="8"/>
      <c r="H2265" s="17"/>
      <c r="I2265" s="17"/>
    </row>
    <row r="2266" spans="1:9">
      <c r="A2266" s="8"/>
      <c r="B2266" s="17"/>
      <c r="C2266" s="16"/>
      <c r="D2266" s="8"/>
      <c r="E2266" s="8"/>
      <c r="F2266" s="8"/>
      <c r="G2266" s="8"/>
      <c r="H2266" s="17"/>
      <c r="I2266" s="17"/>
    </row>
    <row r="2267" spans="1:9">
      <c r="A2267" s="8"/>
      <c r="B2267" s="17"/>
      <c r="C2267" s="16"/>
      <c r="D2267" s="8"/>
      <c r="E2267" s="8"/>
      <c r="F2267" s="8"/>
      <c r="G2267" s="8"/>
      <c r="H2267" s="17"/>
      <c r="I2267" s="17"/>
    </row>
    <row r="2268" spans="1:9">
      <c r="A2268" s="8"/>
      <c r="B2268" s="17"/>
      <c r="C2268" s="16"/>
      <c r="D2268" s="8"/>
      <c r="E2268" s="8"/>
      <c r="F2268" s="8"/>
      <c r="G2268" s="8"/>
      <c r="H2268" s="17"/>
      <c r="I2268" s="17"/>
    </row>
    <row r="2269" spans="1:9">
      <c r="A2269" s="8"/>
      <c r="B2269" s="17"/>
      <c r="C2269" s="16"/>
      <c r="D2269" s="8"/>
      <c r="E2269" s="8"/>
      <c r="F2269" s="8"/>
      <c r="G2269" s="8"/>
      <c r="H2269" s="17"/>
      <c r="I2269" s="17"/>
    </row>
    <row r="2270" spans="1:9">
      <c r="A2270" s="8"/>
      <c r="B2270" s="17"/>
      <c r="C2270" s="16"/>
      <c r="D2270" s="8"/>
      <c r="E2270" s="8"/>
      <c r="F2270" s="8"/>
      <c r="G2270" s="8"/>
      <c r="H2270" s="17"/>
      <c r="I2270" s="17"/>
    </row>
    <row r="2271" spans="1:9">
      <c r="A2271" s="8"/>
      <c r="B2271" s="17"/>
      <c r="C2271" s="16"/>
      <c r="D2271" s="8"/>
      <c r="E2271" s="8"/>
      <c r="F2271" s="8"/>
      <c r="G2271" s="8"/>
      <c r="H2271" s="17"/>
      <c r="I2271" s="17"/>
    </row>
    <row r="2272" spans="1:9">
      <c r="A2272" s="8"/>
      <c r="B2272" s="17"/>
      <c r="C2272" s="16"/>
      <c r="D2272" s="8"/>
      <c r="E2272" s="8"/>
      <c r="F2272" s="8"/>
      <c r="G2272" s="8"/>
      <c r="H2272" s="17"/>
      <c r="I2272" s="17"/>
    </row>
    <row r="2273" spans="1:9">
      <c r="A2273" s="8"/>
      <c r="B2273" s="17"/>
      <c r="C2273" s="16"/>
      <c r="D2273" s="8"/>
      <c r="E2273" s="8"/>
      <c r="F2273" s="8"/>
      <c r="G2273" s="8"/>
      <c r="H2273" s="17"/>
      <c r="I2273" s="17"/>
    </row>
    <row r="2274" spans="1:9">
      <c r="A2274" s="8"/>
      <c r="B2274" s="17"/>
      <c r="C2274" s="16"/>
      <c r="D2274" s="8"/>
      <c r="E2274" s="8"/>
      <c r="F2274" s="8"/>
      <c r="G2274" s="8"/>
      <c r="H2274" s="17"/>
      <c r="I2274" s="17"/>
    </row>
    <row r="2275" spans="1:9">
      <c r="A2275" s="8"/>
      <c r="B2275" s="17"/>
      <c r="C2275" s="16"/>
      <c r="D2275" s="8"/>
      <c r="E2275" s="8"/>
      <c r="F2275" s="8"/>
      <c r="G2275" s="8"/>
      <c r="H2275" s="17"/>
      <c r="I2275" s="17"/>
    </row>
    <row r="2276" spans="1:9">
      <c r="A2276" s="8"/>
      <c r="B2276" s="17"/>
      <c r="C2276" s="16"/>
      <c r="D2276" s="8"/>
      <c r="E2276" s="8"/>
      <c r="F2276" s="8"/>
      <c r="G2276" s="8"/>
      <c r="H2276" s="17"/>
      <c r="I2276" s="17"/>
    </row>
    <row r="2277" spans="1:9">
      <c r="A2277" s="8"/>
      <c r="B2277" s="17"/>
      <c r="C2277" s="16"/>
      <c r="D2277" s="8"/>
      <c r="E2277" s="8"/>
      <c r="F2277" s="8"/>
      <c r="G2277" s="8"/>
      <c r="H2277" s="17"/>
      <c r="I2277" s="17"/>
    </row>
    <row r="2278" spans="1:9">
      <c r="A2278" s="8"/>
      <c r="B2278" s="17"/>
      <c r="C2278" s="16"/>
      <c r="D2278" s="8"/>
      <c r="E2278" s="8"/>
      <c r="F2278" s="8"/>
      <c r="G2278" s="8"/>
      <c r="H2278" s="17"/>
      <c r="I2278" s="17"/>
    </row>
    <row r="2279" spans="1:9">
      <c r="A2279" s="8"/>
      <c r="B2279" s="17"/>
      <c r="C2279" s="16"/>
      <c r="D2279" s="8"/>
      <c r="E2279" s="8"/>
      <c r="F2279" s="8"/>
      <c r="G2279" s="8"/>
      <c r="H2279" s="17"/>
      <c r="I2279" s="17"/>
    </row>
    <row r="2280" spans="1:9">
      <c r="A2280" s="8"/>
      <c r="B2280" s="17"/>
      <c r="C2280" s="16"/>
      <c r="D2280" s="8"/>
      <c r="E2280" s="8"/>
      <c r="F2280" s="8"/>
      <c r="G2280" s="8"/>
      <c r="H2280" s="17"/>
      <c r="I2280" s="17"/>
    </row>
    <row r="2281" spans="1:9">
      <c r="A2281" s="8"/>
      <c r="B2281" s="17"/>
      <c r="C2281" s="16"/>
      <c r="D2281" s="8"/>
      <c r="E2281" s="8"/>
      <c r="F2281" s="8"/>
      <c r="G2281" s="8"/>
      <c r="H2281" s="17"/>
      <c r="I2281" s="17"/>
    </row>
    <row r="2282" spans="1:9">
      <c r="A2282" s="8"/>
      <c r="B2282" s="17"/>
      <c r="C2282" s="16"/>
      <c r="D2282" s="8"/>
      <c r="E2282" s="8"/>
      <c r="F2282" s="8"/>
      <c r="G2282" s="8"/>
      <c r="H2282" s="17"/>
      <c r="I2282" s="17"/>
    </row>
    <row r="2283" spans="1:9">
      <c r="A2283" s="8"/>
      <c r="B2283" s="17"/>
      <c r="C2283" s="16"/>
      <c r="D2283" s="8"/>
      <c r="E2283" s="8"/>
      <c r="F2283" s="8"/>
      <c r="G2283" s="8"/>
      <c r="H2283" s="17"/>
      <c r="I2283" s="17"/>
    </row>
    <row r="2284" spans="1:9">
      <c r="A2284" s="8"/>
      <c r="B2284" s="17"/>
      <c r="C2284" s="16"/>
      <c r="D2284" s="8"/>
      <c r="E2284" s="8"/>
      <c r="F2284" s="8"/>
      <c r="G2284" s="8"/>
      <c r="H2284" s="17"/>
      <c r="I2284" s="17"/>
    </row>
    <row r="2285" spans="1:9">
      <c r="A2285" s="8"/>
      <c r="B2285" s="17"/>
      <c r="C2285" s="16"/>
      <c r="D2285" s="8"/>
      <c r="E2285" s="8"/>
      <c r="F2285" s="8"/>
      <c r="G2285" s="8"/>
      <c r="H2285" s="17"/>
      <c r="I2285" s="17"/>
    </row>
    <row r="2286" spans="1:9">
      <c r="A2286" s="8"/>
      <c r="B2286" s="17"/>
      <c r="C2286" s="16"/>
      <c r="D2286" s="8"/>
      <c r="E2286" s="8"/>
      <c r="F2286" s="8"/>
      <c r="G2286" s="8"/>
      <c r="H2286" s="17"/>
      <c r="I2286" s="17"/>
    </row>
    <row r="2287" spans="1:9">
      <c r="A2287" s="8"/>
      <c r="B2287" s="17"/>
      <c r="C2287" s="16"/>
      <c r="D2287" s="8"/>
      <c r="E2287" s="8"/>
      <c r="F2287" s="8"/>
      <c r="G2287" s="8"/>
      <c r="H2287" s="17"/>
      <c r="I2287" s="17"/>
    </row>
    <row r="2288" spans="1:9">
      <c r="A2288" s="8"/>
      <c r="B2288" s="17"/>
      <c r="C2288" s="16"/>
      <c r="D2288" s="8"/>
      <c r="E2288" s="8"/>
      <c r="F2288" s="8"/>
      <c r="G2288" s="8"/>
      <c r="H2288" s="17"/>
      <c r="I2288" s="17"/>
    </row>
    <row r="2289" spans="1:9">
      <c r="A2289" s="8"/>
      <c r="B2289" s="17"/>
      <c r="C2289" s="16"/>
      <c r="D2289" s="8"/>
      <c r="E2289" s="8"/>
      <c r="F2289" s="8"/>
      <c r="G2289" s="8"/>
      <c r="H2289" s="17"/>
      <c r="I2289" s="17"/>
    </row>
    <row r="2290" spans="1:9">
      <c r="A2290" s="8"/>
      <c r="B2290" s="17"/>
      <c r="C2290" s="16"/>
      <c r="D2290" s="8"/>
      <c r="E2290" s="8"/>
      <c r="F2290" s="8"/>
      <c r="G2290" s="8"/>
      <c r="H2290" s="17"/>
      <c r="I2290" s="17"/>
    </row>
    <row r="2291" spans="1:9">
      <c r="A2291" s="8"/>
      <c r="B2291" s="17"/>
      <c r="C2291" s="16"/>
      <c r="D2291" s="8"/>
      <c r="E2291" s="8"/>
      <c r="F2291" s="8"/>
      <c r="G2291" s="8"/>
      <c r="H2291" s="17"/>
      <c r="I2291" s="17"/>
    </row>
    <row r="2292" spans="1:9">
      <c r="A2292" s="8"/>
      <c r="B2292" s="17"/>
      <c r="C2292" s="16"/>
      <c r="D2292" s="8"/>
      <c r="E2292" s="8"/>
      <c r="F2292" s="8"/>
      <c r="G2292" s="8"/>
      <c r="H2292" s="17"/>
      <c r="I2292" s="17"/>
    </row>
    <row r="2293" spans="1:9">
      <c r="A2293" s="8"/>
      <c r="B2293" s="17"/>
      <c r="C2293" s="16"/>
      <c r="D2293" s="8"/>
      <c r="E2293" s="8"/>
      <c r="F2293" s="8"/>
      <c r="G2293" s="8"/>
      <c r="H2293" s="17"/>
      <c r="I2293" s="17"/>
    </row>
    <row r="2294" spans="1:9">
      <c r="A2294" s="8"/>
      <c r="B2294" s="17"/>
      <c r="C2294" s="16"/>
      <c r="D2294" s="8"/>
      <c r="E2294" s="8"/>
      <c r="F2294" s="8"/>
      <c r="G2294" s="8"/>
      <c r="H2294" s="17"/>
      <c r="I2294" s="17"/>
    </row>
    <row r="2295" spans="1:9">
      <c r="A2295" s="8"/>
      <c r="B2295" s="17"/>
      <c r="C2295" s="16"/>
      <c r="D2295" s="8"/>
      <c r="E2295" s="8"/>
      <c r="F2295" s="8"/>
      <c r="G2295" s="8"/>
      <c r="H2295" s="17"/>
      <c r="I2295" s="17"/>
    </row>
    <row r="2296" spans="1:9">
      <c r="A2296" s="8"/>
      <c r="B2296" s="17"/>
      <c r="C2296" s="16"/>
      <c r="D2296" s="8"/>
      <c r="E2296" s="8"/>
      <c r="F2296" s="8"/>
      <c r="G2296" s="8"/>
      <c r="H2296" s="17"/>
      <c r="I2296" s="17"/>
    </row>
    <row r="2297" spans="1:9">
      <c r="A2297" s="8"/>
      <c r="B2297" s="17"/>
      <c r="C2297" s="16"/>
      <c r="D2297" s="8"/>
      <c r="E2297" s="8"/>
      <c r="F2297" s="8"/>
      <c r="G2297" s="8"/>
      <c r="H2297" s="17"/>
      <c r="I2297" s="17"/>
    </row>
    <row r="2298" spans="1:9">
      <c r="A2298" s="8"/>
      <c r="B2298" s="17"/>
      <c r="C2298" s="16"/>
      <c r="D2298" s="8"/>
      <c r="E2298" s="8"/>
      <c r="F2298" s="8"/>
      <c r="G2298" s="8"/>
      <c r="H2298" s="17"/>
      <c r="I2298" s="17"/>
    </row>
    <row r="2299" spans="1:9">
      <c r="A2299" s="8"/>
      <c r="B2299" s="17"/>
      <c r="C2299" s="16"/>
      <c r="D2299" s="8"/>
      <c r="E2299" s="8"/>
      <c r="F2299" s="8"/>
      <c r="G2299" s="8"/>
      <c r="H2299" s="17"/>
      <c r="I2299" s="17"/>
    </row>
    <row r="2300" spans="1:9">
      <c r="A2300" s="8"/>
      <c r="B2300" s="17"/>
      <c r="C2300" s="16"/>
      <c r="D2300" s="8"/>
      <c r="E2300" s="8"/>
      <c r="F2300" s="8"/>
      <c r="G2300" s="8"/>
      <c r="H2300" s="17"/>
      <c r="I2300" s="17"/>
    </row>
    <row r="2301" spans="1:9">
      <c r="A2301" s="8"/>
      <c r="B2301" s="17"/>
      <c r="C2301" s="16"/>
      <c r="D2301" s="8"/>
      <c r="E2301" s="8"/>
      <c r="F2301" s="8"/>
      <c r="G2301" s="8"/>
      <c r="H2301" s="17"/>
      <c r="I2301" s="17"/>
    </row>
    <row r="2302" spans="1:9">
      <c r="A2302" s="8"/>
      <c r="B2302" s="17"/>
      <c r="C2302" s="16"/>
      <c r="D2302" s="8"/>
      <c r="E2302" s="8"/>
      <c r="F2302" s="8"/>
      <c r="G2302" s="8"/>
      <c r="H2302" s="17"/>
      <c r="I2302" s="17"/>
    </row>
    <row r="2303" spans="1:9">
      <c r="A2303" s="8"/>
      <c r="B2303" s="17"/>
      <c r="C2303" s="16"/>
      <c r="D2303" s="8"/>
      <c r="E2303" s="8"/>
      <c r="F2303" s="8"/>
      <c r="G2303" s="8"/>
      <c r="H2303" s="17"/>
      <c r="I2303" s="17"/>
    </row>
    <row r="2304" spans="1:9">
      <c r="A2304" s="8"/>
      <c r="B2304" s="17"/>
      <c r="C2304" s="16"/>
      <c r="D2304" s="8"/>
      <c r="E2304" s="8"/>
      <c r="F2304" s="8"/>
      <c r="G2304" s="8"/>
      <c r="H2304" s="17"/>
      <c r="I2304" s="17"/>
    </row>
    <row r="2305" spans="1:9">
      <c r="A2305" s="8"/>
      <c r="B2305" s="17"/>
      <c r="C2305" s="16"/>
      <c r="D2305" s="8"/>
      <c r="E2305" s="8"/>
      <c r="F2305" s="8"/>
      <c r="G2305" s="8"/>
      <c r="H2305" s="17"/>
      <c r="I2305" s="17"/>
    </row>
    <row r="2306" spans="1:9">
      <c r="A2306" s="8"/>
      <c r="B2306" s="17"/>
      <c r="C2306" s="16"/>
      <c r="D2306" s="8"/>
      <c r="E2306" s="8"/>
      <c r="F2306" s="8"/>
      <c r="G2306" s="8"/>
      <c r="H2306" s="17"/>
      <c r="I2306" s="17"/>
    </row>
    <row r="2307" spans="1:9">
      <c r="A2307" s="8"/>
      <c r="B2307" s="17"/>
      <c r="C2307" s="16"/>
      <c r="D2307" s="8"/>
      <c r="E2307" s="8"/>
      <c r="F2307" s="8"/>
      <c r="G2307" s="8"/>
      <c r="H2307" s="17"/>
      <c r="I2307" s="17"/>
    </row>
    <row r="2308" spans="1:9">
      <c r="A2308" s="8"/>
      <c r="B2308" s="17"/>
      <c r="C2308" s="16"/>
      <c r="D2308" s="8"/>
      <c r="E2308" s="8"/>
      <c r="F2308" s="8"/>
      <c r="G2308" s="8"/>
      <c r="H2308" s="17"/>
      <c r="I2308" s="17"/>
    </row>
    <row r="2309" spans="1:9">
      <c r="A2309" s="8"/>
      <c r="B2309" s="17"/>
      <c r="C2309" s="16"/>
      <c r="D2309" s="8"/>
      <c r="E2309" s="8"/>
      <c r="F2309" s="8"/>
      <c r="G2309" s="8"/>
      <c r="H2309" s="17"/>
      <c r="I2309" s="17"/>
    </row>
    <row r="2310" spans="1:9">
      <c r="A2310" s="8"/>
      <c r="B2310" s="17"/>
      <c r="C2310" s="16"/>
      <c r="D2310" s="8"/>
      <c r="E2310" s="8"/>
      <c r="F2310" s="8"/>
      <c r="G2310" s="8"/>
      <c r="H2310" s="17"/>
      <c r="I2310" s="17"/>
    </row>
    <row r="2311" spans="1:9">
      <c r="A2311" s="8"/>
      <c r="B2311" s="17"/>
      <c r="C2311" s="16"/>
      <c r="D2311" s="8"/>
      <c r="E2311" s="8"/>
      <c r="F2311" s="8"/>
      <c r="G2311" s="8"/>
      <c r="H2311" s="17"/>
      <c r="I2311" s="17"/>
    </row>
    <row r="2312" spans="1:9">
      <c r="A2312" s="8"/>
      <c r="B2312" s="17"/>
      <c r="C2312" s="16"/>
      <c r="D2312" s="8"/>
      <c r="E2312" s="8"/>
      <c r="F2312" s="8"/>
      <c r="G2312" s="8"/>
      <c r="H2312" s="17"/>
      <c r="I2312" s="17"/>
    </row>
    <row r="2313" spans="1:9">
      <c r="A2313" s="8"/>
      <c r="B2313" s="17"/>
      <c r="C2313" s="16"/>
      <c r="D2313" s="8"/>
      <c r="E2313" s="8"/>
      <c r="F2313" s="8"/>
      <c r="G2313" s="8"/>
      <c r="H2313" s="17"/>
      <c r="I2313" s="17"/>
    </row>
    <row r="2314" spans="1:9">
      <c r="A2314" s="8"/>
      <c r="B2314" s="17"/>
      <c r="C2314" s="16"/>
      <c r="D2314" s="8"/>
      <c r="E2314" s="8"/>
      <c r="F2314" s="8"/>
      <c r="G2314" s="8"/>
      <c r="H2314" s="17"/>
      <c r="I2314" s="17"/>
    </row>
    <row r="2315" spans="1:9">
      <c r="A2315" s="8"/>
      <c r="B2315" s="17"/>
      <c r="C2315" s="16"/>
      <c r="D2315" s="8"/>
      <c r="E2315" s="8"/>
      <c r="F2315" s="8"/>
      <c r="G2315" s="8"/>
      <c r="H2315" s="17"/>
      <c r="I2315" s="17"/>
    </row>
    <row r="2316" spans="1:9">
      <c r="A2316" s="8"/>
      <c r="B2316" s="17"/>
      <c r="C2316" s="16"/>
      <c r="D2316" s="8"/>
      <c r="E2316" s="8"/>
      <c r="F2316" s="8"/>
      <c r="G2316" s="8"/>
      <c r="H2316" s="17"/>
      <c r="I2316" s="17"/>
    </row>
    <row r="2317" spans="1:9">
      <c r="A2317" s="8"/>
      <c r="B2317" s="17"/>
      <c r="C2317" s="16"/>
      <c r="D2317" s="8"/>
      <c r="E2317" s="8"/>
      <c r="F2317" s="8"/>
      <c r="G2317" s="8"/>
      <c r="H2317" s="17"/>
      <c r="I2317" s="17"/>
    </row>
    <row r="2318" spans="1:9">
      <c r="A2318" s="8"/>
      <c r="B2318" s="17"/>
      <c r="C2318" s="16"/>
      <c r="D2318" s="8"/>
      <c r="E2318" s="8"/>
      <c r="F2318" s="8"/>
      <c r="G2318" s="8"/>
      <c r="H2318" s="17"/>
      <c r="I2318" s="17"/>
    </row>
    <row r="2319" spans="1:9">
      <c r="A2319" s="8"/>
      <c r="B2319" s="17"/>
      <c r="C2319" s="16"/>
      <c r="D2319" s="8"/>
      <c r="E2319" s="8"/>
      <c r="F2319" s="8"/>
      <c r="G2319" s="8"/>
      <c r="H2319" s="17"/>
      <c r="I2319" s="17"/>
    </row>
    <row r="2320" spans="1:9">
      <c r="A2320" s="8"/>
      <c r="B2320" s="17"/>
      <c r="C2320" s="16"/>
      <c r="D2320" s="8"/>
      <c r="E2320" s="8"/>
      <c r="F2320" s="8"/>
      <c r="G2320" s="8"/>
      <c r="H2320" s="17"/>
      <c r="I2320" s="17"/>
    </row>
    <row r="2321" spans="1:9">
      <c r="A2321" s="8"/>
      <c r="B2321" s="17"/>
      <c r="C2321" s="16"/>
      <c r="D2321" s="8"/>
      <c r="E2321" s="8"/>
      <c r="F2321" s="8"/>
      <c r="G2321" s="8"/>
      <c r="H2321" s="17"/>
      <c r="I2321" s="17"/>
    </row>
    <row r="2322" spans="1:9">
      <c r="A2322" s="8"/>
      <c r="B2322" s="17"/>
      <c r="C2322" s="16"/>
      <c r="D2322" s="8"/>
      <c r="E2322" s="8"/>
      <c r="F2322" s="8"/>
      <c r="G2322" s="8"/>
      <c r="H2322" s="17"/>
      <c r="I2322" s="17"/>
    </row>
    <row r="2323" spans="1:9">
      <c r="A2323" s="8"/>
      <c r="B2323" s="17"/>
      <c r="C2323" s="16"/>
      <c r="D2323" s="8"/>
      <c r="E2323" s="8"/>
      <c r="F2323" s="8"/>
      <c r="G2323" s="8"/>
      <c r="H2323" s="17"/>
      <c r="I2323" s="17"/>
    </row>
    <row r="2324" spans="1:9">
      <c r="A2324" s="8"/>
      <c r="B2324" s="17"/>
      <c r="C2324" s="16"/>
      <c r="D2324" s="8"/>
      <c r="E2324" s="8"/>
      <c r="F2324" s="8"/>
      <c r="G2324" s="8"/>
      <c r="H2324" s="17"/>
      <c r="I2324" s="17"/>
    </row>
    <row r="2325" spans="1:9">
      <c r="A2325" s="8"/>
      <c r="B2325" s="17"/>
      <c r="C2325" s="16"/>
      <c r="D2325" s="8"/>
      <c r="E2325" s="8"/>
      <c r="F2325" s="8"/>
      <c r="G2325" s="8"/>
      <c r="H2325" s="17"/>
      <c r="I2325" s="17"/>
    </row>
    <row r="2326" spans="1:9">
      <c r="A2326" s="8"/>
      <c r="B2326" s="17"/>
      <c r="C2326" s="16"/>
      <c r="D2326" s="8"/>
      <c r="E2326" s="8"/>
      <c r="F2326" s="8"/>
      <c r="G2326" s="8"/>
      <c r="H2326" s="17"/>
      <c r="I2326" s="17"/>
    </row>
    <row r="2327" spans="1:9">
      <c r="A2327" s="8"/>
      <c r="B2327" s="17"/>
      <c r="C2327" s="16"/>
      <c r="D2327" s="8"/>
      <c r="E2327" s="8"/>
      <c r="F2327" s="8"/>
      <c r="G2327" s="8"/>
      <c r="H2327" s="17"/>
      <c r="I2327" s="17"/>
    </row>
    <row r="2328" spans="1:9">
      <c r="A2328" s="8"/>
      <c r="B2328" s="17"/>
      <c r="C2328" s="16"/>
      <c r="D2328" s="8"/>
      <c r="E2328" s="8"/>
      <c r="F2328" s="8"/>
      <c r="G2328" s="8"/>
      <c r="H2328" s="17"/>
      <c r="I2328" s="17"/>
    </row>
    <row r="2329" spans="1:9">
      <c r="A2329" s="8"/>
      <c r="B2329" s="17"/>
      <c r="C2329" s="16"/>
      <c r="D2329" s="8"/>
      <c r="E2329" s="8"/>
      <c r="F2329" s="8"/>
      <c r="G2329" s="8"/>
      <c r="H2329" s="17"/>
      <c r="I2329" s="17"/>
    </row>
    <row r="2330" spans="1:9">
      <c r="A2330" s="8"/>
      <c r="B2330" s="17"/>
      <c r="C2330" s="16"/>
      <c r="D2330" s="8"/>
      <c r="E2330" s="8"/>
      <c r="F2330" s="8"/>
      <c r="G2330" s="8"/>
      <c r="H2330" s="17"/>
      <c r="I2330" s="17"/>
    </row>
    <row r="2331" spans="1:9">
      <c r="A2331" s="8"/>
      <c r="B2331" s="17"/>
      <c r="C2331" s="16"/>
      <c r="D2331" s="8"/>
      <c r="E2331" s="8"/>
      <c r="F2331" s="8"/>
      <c r="G2331" s="8"/>
      <c r="H2331" s="17"/>
      <c r="I2331" s="17"/>
    </row>
    <row r="2332" spans="1:9">
      <c r="A2332" s="8"/>
      <c r="B2332" s="17"/>
      <c r="C2332" s="16"/>
      <c r="D2332" s="8"/>
      <c r="E2332" s="8"/>
      <c r="F2332" s="8"/>
      <c r="G2332" s="8"/>
      <c r="H2332" s="17"/>
      <c r="I2332" s="17"/>
    </row>
    <row r="2333" spans="1:9">
      <c r="A2333" s="8"/>
      <c r="B2333" s="17"/>
      <c r="C2333" s="16"/>
      <c r="D2333" s="8"/>
      <c r="E2333" s="8"/>
      <c r="F2333" s="8"/>
      <c r="G2333" s="8"/>
      <c r="H2333" s="17"/>
      <c r="I2333" s="17"/>
    </row>
    <row r="2334" spans="1:9">
      <c r="A2334" s="8"/>
      <c r="B2334" s="17"/>
      <c r="C2334" s="16"/>
      <c r="D2334" s="8"/>
      <c r="E2334" s="8"/>
      <c r="F2334" s="8"/>
      <c r="G2334" s="8"/>
      <c r="H2334" s="17"/>
      <c r="I2334" s="17"/>
    </row>
    <row r="2335" spans="1:9">
      <c r="A2335" s="8"/>
      <c r="B2335" s="17"/>
      <c r="C2335" s="16"/>
      <c r="D2335" s="8"/>
      <c r="E2335" s="8"/>
      <c r="F2335" s="8"/>
      <c r="G2335" s="8"/>
      <c r="H2335" s="17"/>
      <c r="I2335" s="17"/>
    </row>
    <row r="2336" spans="1:9">
      <c r="A2336" s="8"/>
      <c r="B2336" s="17"/>
      <c r="C2336" s="16"/>
      <c r="D2336" s="8"/>
      <c r="E2336" s="8"/>
      <c r="F2336" s="8"/>
      <c r="G2336" s="8"/>
      <c r="H2336" s="17"/>
      <c r="I2336" s="17"/>
    </row>
    <row r="2337" spans="1:9">
      <c r="A2337" s="8"/>
      <c r="B2337" s="17"/>
      <c r="C2337" s="16"/>
      <c r="D2337" s="8"/>
      <c r="E2337" s="8"/>
      <c r="F2337" s="8"/>
      <c r="G2337" s="8"/>
      <c r="H2337" s="17"/>
      <c r="I2337" s="17"/>
    </row>
    <row r="2338" spans="1:9">
      <c r="A2338" s="8"/>
      <c r="B2338" s="17"/>
      <c r="C2338" s="16"/>
      <c r="D2338" s="8"/>
      <c r="E2338" s="8"/>
      <c r="F2338" s="8"/>
      <c r="G2338" s="8"/>
      <c r="H2338" s="17"/>
      <c r="I2338" s="17"/>
    </row>
    <row r="2339" spans="1:9">
      <c r="A2339" s="8"/>
      <c r="B2339" s="17"/>
      <c r="C2339" s="16"/>
      <c r="D2339" s="8"/>
      <c r="E2339" s="8"/>
      <c r="F2339" s="8"/>
      <c r="G2339" s="8"/>
      <c r="H2339" s="17"/>
      <c r="I2339" s="17"/>
    </row>
    <row r="2340" spans="1:9">
      <c r="A2340" s="8"/>
      <c r="B2340" s="17"/>
      <c r="C2340" s="16"/>
      <c r="D2340" s="8"/>
      <c r="E2340" s="8"/>
      <c r="F2340" s="8"/>
      <c r="G2340" s="8"/>
      <c r="H2340" s="17"/>
      <c r="I2340" s="17"/>
    </row>
    <row r="2341" spans="1:9">
      <c r="A2341" s="8"/>
      <c r="B2341" s="17"/>
      <c r="C2341" s="16"/>
      <c r="D2341" s="8"/>
      <c r="E2341" s="8"/>
      <c r="F2341" s="8"/>
      <c r="G2341" s="8"/>
      <c r="H2341" s="17"/>
      <c r="I2341" s="17"/>
    </row>
    <row r="2342" spans="1:9">
      <c r="A2342" s="8"/>
      <c r="B2342" s="17"/>
      <c r="C2342" s="16"/>
      <c r="D2342" s="8"/>
      <c r="E2342" s="8"/>
      <c r="F2342" s="8"/>
      <c r="G2342" s="8"/>
      <c r="H2342" s="17"/>
      <c r="I2342" s="17"/>
    </row>
    <row r="2343" spans="1:9">
      <c r="A2343" s="8"/>
      <c r="B2343" s="17"/>
      <c r="C2343" s="16"/>
      <c r="D2343" s="8"/>
      <c r="E2343" s="8"/>
      <c r="F2343" s="8"/>
      <c r="G2343" s="8"/>
      <c r="H2343" s="17"/>
      <c r="I2343" s="17"/>
    </row>
    <row r="2344" spans="1:9">
      <c r="A2344" s="8"/>
      <c r="B2344" s="17"/>
      <c r="C2344" s="16"/>
      <c r="D2344" s="8"/>
      <c r="E2344" s="8"/>
      <c r="F2344" s="8"/>
      <c r="G2344" s="8"/>
      <c r="H2344" s="17"/>
      <c r="I2344" s="17"/>
    </row>
    <row r="2345" spans="1:9">
      <c r="A2345" s="8"/>
      <c r="B2345" s="17"/>
      <c r="C2345" s="16"/>
      <c r="D2345" s="8"/>
      <c r="E2345" s="8"/>
      <c r="F2345" s="8"/>
      <c r="G2345" s="8"/>
      <c r="H2345" s="17"/>
      <c r="I2345" s="17"/>
    </row>
    <row r="2346" spans="1:9">
      <c r="A2346" s="8"/>
      <c r="B2346" s="17"/>
      <c r="C2346" s="16"/>
      <c r="D2346" s="8"/>
      <c r="E2346" s="8"/>
      <c r="F2346" s="8"/>
      <c r="G2346" s="8"/>
      <c r="H2346" s="17"/>
      <c r="I2346" s="17"/>
    </row>
    <row r="2347" spans="1:9">
      <c r="A2347" s="8"/>
      <c r="B2347" s="17"/>
      <c r="C2347" s="16"/>
      <c r="D2347" s="8"/>
      <c r="E2347" s="8"/>
      <c r="F2347" s="8"/>
      <c r="G2347" s="8"/>
      <c r="H2347" s="17"/>
      <c r="I2347" s="17"/>
    </row>
    <row r="2348" spans="1:9">
      <c r="A2348" s="8"/>
      <c r="B2348" s="17"/>
      <c r="C2348" s="16"/>
      <c r="D2348" s="8"/>
      <c r="E2348" s="8"/>
      <c r="F2348" s="8"/>
      <c r="G2348" s="8"/>
      <c r="H2348" s="17"/>
      <c r="I2348" s="17"/>
    </row>
    <row r="2349" spans="1:9">
      <c r="A2349" s="8"/>
      <c r="B2349" s="17"/>
      <c r="C2349" s="16"/>
      <c r="D2349" s="8"/>
      <c r="E2349" s="8"/>
      <c r="F2349" s="8"/>
      <c r="G2349" s="8"/>
      <c r="H2349" s="17"/>
      <c r="I2349" s="17"/>
    </row>
    <row r="2350" spans="1:9">
      <c r="A2350" s="8"/>
      <c r="B2350" s="17"/>
      <c r="C2350" s="16"/>
      <c r="D2350" s="8"/>
      <c r="E2350" s="8"/>
      <c r="F2350" s="8"/>
      <c r="G2350" s="8"/>
      <c r="H2350" s="17"/>
      <c r="I2350" s="17"/>
    </row>
    <row r="2351" spans="1:9">
      <c r="A2351" s="8"/>
      <c r="B2351" s="17"/>
      <c r="C2351" s="16"/>
      <c r="D2351" s="8"/>
      <c r="E2351" s="8"/>
      <c r="F2351" s="8"/>
      <c r="G2351" s="8"/>
      <c r="H2351" s="17"/>
      <c r="I2351" s="17"/>
    </row>
    <row r="2352" spans="1:9">
      <c r="A2352" s="8"/>
      <c r="B2352" s="17"/>
      <c r="C2352" s="16"/>
      <c r="D2352" s="8"/>
      <c r="E2352" s="8"/>
      <c r="F2352" s="8"/>
      <c r="G2352" s="8"/>
      <c r="H2352" s="17"/>
      <c r="I2352" s="17"/>
    </row>
    <row r="2353" spans="1:9">
      <c r="A2353" s="8"/>
      <c r="B2353" s="17"/>
      <c r="C2353" s="16"/>
      <c r="D2353" s="8"/>
      <c r="E2353" s="8"/>
      <c r="F2353" s="8"/>
      <c r="G2353" s="8"/>
      <c r="H2353" s="17"/>
      <c r="I2353" s="17"/>
    </row>
    <row r="2354" spans="1:9">
      <c r="A2354" s="8"/>
      <c r="B2354" s="17"/>
      <c r="C2354" s="16"/>
      <c r="D2354" s="8"/>
      <c r="E2354" s="8"/>
      <c r="F2354" s="8"/>
      <c r="G2354" s="8"/>
      <c r="H2354" s="17"/>
      <c r="I2354" s="17"/>
    </row>
    <row r="2355" spans="1:9">
      <c r="A2355" s="8"/>
      <c r="B2355" s="17"/>
      <c r="C2355" s="16"/>
      <c r="D2355" s="8"/>
      <c r="E2355" s="8"/>
      <c r="F2355" s="8"/>
      <c r="G2355" s="8"/>
      <c r="H2355" s="17"/>
      <c r="I2355" s="17"/>
    </row>
    <row r="2356" spans="1:9">
      <c r="A2356" s="8"/>
      <c r="B2356" s="17"/>
      <c r="C2356" s="16"/>
      <c r="D2356" s="8"/>
      <c r="E2356" s="8"/>
      <c r="F2356" s="8"/>
      <c r="G2356" s="8"/>
      <c r="H2356" s="17"/>
      <c r="I2356" s="17"/>
    </row>
    <row r="2357" spans="1:9">
      <c r="A2357" s="8"/>
      <c r="B2357" s="17"/>
      <c r="C2357" s="16"/>
      <c r="D2357" s="8"/>
      <c r="E2357" s="8"/>
      <c r="F2357" s="8"/>
      <c r="G2357" s="8"/>
      <c r="H2357" s="17"/>
      <c r="I2357" s="17"/>
    </row>
    <row r="2358" spans="1:9">
      <c r="A2358" s="8"/>
      <c r="B2358" s="17"/>
      <c r="C2358" s="16"/>
      <c r="D2358" s="8"/>
      <c r="E2358" s="8"/>
      <c r="F2358" s="8"/>
      <c r="G2358" s="8"/>
      <c r="H2358" s="17"/>
      <c r="I2358" s="17"/>
    </row>
    <row r="2359" spans="1:9">
      <c r="A2359" s="8"/>
      <c r="B2359" s="17"/>
      <c r="C2359" s="16"/>
      <c r="D2359" s="8"/>
      <c r="E2359" s="8"/>
      <c r="F2359" s="8"/>
      <c r="G2359" s="8"/>
      <c r="H2359" s="17"/>
      <c r="I2359" s="17"/>
    </row>
    <row r="2360" spans="1:9">
      <c r="A2360" s="8"/>
      <c r="B2360" s="17"/>
      <c r="C2360" s="16"/>
      <c r="D2360" s="8"/>
      <c r="E2360" s="8"/>
      <c r="F2360" s="8"/>
      <c r="G2360" s="8"/>
      <c r="H2360" s="17"/>
      <c r="I2360" s="17"/>
    </row>
    <row r="2361" spans="1:9">
      <c r="A2361" s="8"/>
      <c r="B2361" s="17"/>
      <c r="C2361" s="16"/>
      <c r="D2361" s="8"/>
      <c r="E2361" s="8"/>
      <c r="F2361" s="8"/>
      <c r="G2361" s="8"/>
      <c r="H2361" s="17"/>
      <c r="I2361" s="17"/>
    </row>
    <row r="2362" spans="1:9">
      <c r="A2362" s="8"/>
      <c r="B2362" s="17"/>
      <c r="C2362" s="16"/>
      <c r="D2362" s="8"/>
      <c r="E2362" s="8"/>
      <c r="F2362" s="8"/>
      <c r="G2362" s="8"/>
      <c r="H2362" s="17"/>
      <c r="I2362" s="17"/>
    </row>
    <row r="2363" spans="1:9">
      <c r="A2363" s="8">
        <f t="shared" ref="A2363:A2426" si="66">ROW()-1</f>
        <v>2362</v>
      </c>
      <c r="B2363" s="17"/>
      <c r="C2363" s="16"/>
      <c r="D2363" s="8" t="str">
        <f>IFERROR(VLOOKUP(C2363,[1]米油调味规格数据!$B:$E,3,FALSE),"")</f>
        <v/>
      </c>
      <c r="E2363" s="8"/>
      <c r="F2363" s="8" t="str">
        <f>IFERROR(VLOOKUP(C2363,[1]米油调味规格数据!$B:$E,4,FALSE),"")</f>
        <v/>
      </c>
      <c r="G2363" s="8"/>
      <c r="H2363" s="17"/>
      <c r="I2363" s="17"/>
    </row>
    <row r="2364" spans="1:9">
      <c r="A2364" s="8">
        <f t="shared" si="66"/>
        <v>2363</v>
      </c>
      <c r="B2364" s="17"/>
      <c r="C2364" s="16"/>
      <c r="D2364" s="8" t="str">
        <f>IFERROR(VLOOKUP(C2364,[1]米油调味规格数据!$B:$E,3,FALSE),"")</f>
        <v/>
      </c>
      <c r="E2364" s="8"/>
      <c r="F2364" s="8" t="str">
        <f>IFERROR(VLOOKUP(C2364,[1]米油调味规格数据!$B:$E,4,FALSE),"")</f>
        <v/>
      </c>
      <c r="G2364" s="8"/>
      <c r="H2364" s="17"/>
      <c r="I2364" s="17"/>
    </row>
    <row r="2365" spans="1:9">
      <c r="A2365" s="8">
        <f t="shared" si="66"/>
        <v>2364</v>
      </c>
      <c r="B2365" s="17"/>
      <c r="C2365" s="16"/>
      <c r="D2365" s="8" t="str">
        <f>IFERROR(VLOOKUP(C2365,[1]米油调味规格数据!$B:$E,3,FALSE),"")</f>
        <v/>
      </c>
      <c r="E2365" s="8"/>
      <c r="F2365" s="8" t="str">
        <f>IFERROR(VLOOKUP(C2365,[1]米油调味规格数据!$B:$E,4,FALSE),"")</f>
        <v/>
      </c>
      <c r="G2365" s="8"/>
      <c r="H2365" s="17"/>
      <c r="I2365" s="17"/>
    </row>
    <row r="2366" spans="1:9">
      <c r="A2366" s="8">
        <f t="shared" si="66"/>
        <v>2365</v>
      </c>
      <c r="B2366" s="17"/>
      <c r="C2366" s="16"/>
      <c r="D2366" s="8" t="str">
        <f>IFERROR(VLOOKUP(C2366,[1]米油调味规格数据!$B:$E,3,FALSE),"")</f>
        <v/>
      </c>
      <c r="E2366" s="8"/>
      <c r="F2366" s="8" t="str">
        <f>IFERROR(VLOOKUP(C2366,[1]米油调味规格数据!$B:$E,4,FALSE),"")</f>
        <v/>
      </c>
      <c r="G2366" s="8"/>
      <c r="H2366" s="17"/>
      <c r="I2366" s="17"/>
    </row>
    <row r="2367" spans="1:9">
      <c r="A2367" s="8">
        <f t="shared" si="66"/>
        <v>2366</v>
      </c>
      <c r="B2367" s="17"/>
      <c r="C2367" s="16"/>
      <c r="D2367" s="8" t="str">
        <f>IFERROR(VLOOKUP(C2367,[1]米油调味规格数据!$B:$E,3,FALSE),"")</f>
        <v/>
      </c>
      <c r="E2367" s="8"/>
      <c r="F2367" s="8" t="str">
        <f>IFERROR(VLOOKUP(C2367,[1]米油调味规格数据!$B:$E,4,FALSE),"")</f>
        <v/>
      </c>
      <c r="G2367" s="8"/>
      <c r="H2367" s="17"/>
      <c r="I2367" s="17"/>
    </row>
    <row r="2368" spans="1:9">
      <c r="A2368" s="8">
        <f t="shared" si="66"/>
        <v>2367</v>
      </c>
      <c r="B2368" s="17"/>
      <c r="C2368" s="16"/>
      <c r="D2368" s="8" t="str">
        <f>IFERROR(VLOOKUP(C2368,[1]米油调味规格数据!$B:$E,3,FALSE),"")</f>
        <v/>
      </c>
      <c r="E2368" s="8"/>
      <c r="F2368" s="8" t="str">
        <f>IFERROR(VLOOKUP(C2368,[1]米油调味规格数据!$B:$E,4,FALSE),"")</f>
        <v/>
      </c>
      <c r="G2368" s="8"/>
      <c r="H2368" s="17"/>
      <c r="I2368" s="17"/>
    </row>
    <row r="2369" spans="1:9">
      <c r="A2369" s="8">
        <f t="shared" si="66"/>
        <v>2368</v>
      </c>
      <c r="B2369" s="17"/>
      <c r="C2369" s="16"/>
      <c r="D2369" s="8" t="str">
        <f>IFERROR(VLOOKUP(C2369,[1]米油调味规格数据!$B:$E,3,FALSE),"")</f>
        <v/>
      </c>
      <c r="E2369" s="8"/>
      <c r="F2369" s="8" t="str">
        <f>IFERROR(VLOOKUP(C2369,[1]米油调味规格数据!$B:$E,4,FALSE),"")</f>
        <v/>
      </c>
      <c r="G2369" s="8"/>
      <c r="H2369" s="17"/>
      <c r="I2369" s="17"/>
    </row>
    <row r="2370" spans="1:9">
      <c r="A2370" s="8">
        <f t="shared" si="66"/>
        <v>2369</v>
      </c>
      <c r="B2370" s="17"/>
      <c r="C2370" s="16"/>
      <c r="D2370" s="8" t="str">
        <f>IFERROR(VLOOKUP(C2370,[1]米油调味规格数据!$B:$E,3,FALSE),"")</f>
        <v/>
      </c>
      <c r="E2370" s="8"/>
      <c r="F2370" s="8" t="str">
        <f>IFERROR(VLOOKUP(C2370,[1]米油调味规格数据!$B:$E,4,FALSE),"")</f>
        <v/>
      </c>
      <c r="G2370" s="8"/>
      <c r="H2370" s="17"/>
      <c r="I2370" s="17"/>
    </row>
    <row r="2371" spans="1:9">
      <c r="A2371" s="8">
        <f t="shared" si="66"/>
        <v>2370</v>
      </c>
      <c r="B2371" s="17"/>
      <c r="C2371" s="16"/>
      <c r="D2371" s="8" t="str">
        <f>IFERROR(VLOOKUP(C2371,[1]米油调味规格数据!$B:$E,3,FALSE),"")</f>
        <v/>
      </c>
      <c r="E2371" s="8"/>
      <c r="F2371" s="8" t="str">
        <f>IFERROR(VLOOKUP(C2371,[1]米油调味规格数据!$B:$E,4,FALSE),"")</f>
        <v/>
      </c>
      <c r="G2371" s="8"/>
      <c r="H2371" s="17"/>
      <c r="I2371" s="17"/>
    </row>
    <row r="2372" spans="1:9">
      <c r="A2372" s="8">
        <f t="shared" si="66"/>
        <v>2371</v>
      </c>
      <c r="B2372" s="17"/>
      <c r="C2372" s="16"/>
      <c r="D2372" s="8" t="str">
        <f>IFERROR(VLOOKUP(C2372,[1]米油调味规格数据!$B:$E,3,FALSE),"")</f>
        <v/>
      </c>
      <c r="E2372" s="8"/>
      <c r="F2372" s="8" t="str">
        <f>IFERROR(VLOOKUP(C2372,[1]米油调味规格数据!$B:$E,4,FALSE),"")</f>
        <v/>
      </c>
      <c r="G2372" s="8"/>
      <c r="H2372" s="17"/>
      <c r="I2372" s="17"/>
    </row>
    <row r="2373" spans="1:9">
      <c r="A2373" s="8">
        <f t="shared" si="66"/>
        <v>2372</v>
      </c>
      <c r="B2373" s="17"/>
      <c r="C2373" s="16"/>
      <c r="D2373" s="8" t="str">
        <f>IFERROR(VLOOKUP(C2373,[1]米油调味规格数据!$B:$E,3,FALSE),"")</f>
        <v/>
      </c>
      <c r="E2373" s="8"/>
      <c r="F2373" s="8" t="str">
        <f>IFERROR(VLOOKUP(C2373,[1]米油调味规格数据!$B:$E,4,FALSE),"")</f>
        <v/>
      </c>
      <c r="G2373" s="8"/>
      <c r="H2373" s="17"/>
      <c r="I2373" s="17"/>
    </row>
    <row r="2374" spans="1:9">
      <c r="A2374" s="8">
        <f t="shared" si="66"/>
        <v>2373</v>
      </c>
      <c r="B2374" s="17"/>
      <c r="C2374" s="16"/>
      <c r="D2374" s="8" t="str">
        <f>IFERROR(VLOOKUP(C2374,[1]米油调味规格数据!$B:$E,3,FALSE),"")</f>
        <v/>
      </c>
      <c r="E2374" s="8"/>
      <c r="F2374" s="8" t="str">
        <f>IFERROR(VLOOKUP(C2374,[1]米油调味规格数据!$B:$E,4,FALSE),"")</f>
        <v/>
      </c>
      <c r="G2374" s="8"/>
      <c r="H2374" s="17"/>
      <c r="I2374" s="17"/>
    </row>
    <row r="2375" spans="1:9">
      <c r="A2375" s="8">
        <f t="shared" si="66"/>
        <v>2374</v>
      </c>
      <c r="B2375" s="17"/>
      <c r="C2375" s="16"/>
      <c r="D2375" s="8" t="str">
        <f>IFERROR(VLOOKUP(C2375,[1]米油调味规格数据!$B:$E,3,FALSE),"")</f>
        <v/>
      </c>
      <c r="E2375" s="8"/>
      <c r="F2375" s="8" t="str">
        <f>IFERROR(VLOOKUP(C2375,[1]米油调味规格数据!$B:$E,4,FALSE),"")</f>
        <v/>
      </c>
      <c r="G2375" s="8"/>
      <c r="H2375" s="17"/>
      <c r="I2375" s="17"/>
    </row>
    <row r="2376" spans="1:9">
      <c r="A2376" s="8">
        <f t="shared" si="66"/>
        <v>2375</v>
      </c>
      <c r="B2376" s="17"/>
      <c r="C2376" s="16"/>
      <c r="D2376" s="8" t="str">
        <f>IFERROR(VLOOKUP(C2376,[1]米油调味规格数据!$B:$E,3,FALSE),"")</f>
        <v/>
      </c>
      <c r="E2376" s="8"/>
      <c r="F2376" s="8" t="str">
        <f>IFERROR(VLOOKUP(C2376,[1]米油调味规格数据!$B:$E,4,FALSE),"")</f>
        <v/>
      </c>
      <c r="G2376" s="8"/>
      <c r="H2376" s="17"/>
      <c r="I2376" s="17"/>
    </row>
    <row r="2377" spans="1:9">
      <c r="A2377" s="8">
        <f t="shared" si="66"/>
        <v>2376</v>
      </c>
      <c r="B2377" s="17"/>
      <c r="C2377" s="16"/>
      <c r="D2377" s="8" t="str">
        <f>IFERROR(VLOOKUP(C2377,[1]米油调味规格数据!$B:$E,3,FALSE),"")</f>
        <v/>
      </c>
      <c r="E2377" s="8"/>
      <c r="F2377" s="8" t="str">
        <f>IFERROR(VLOOKUP(C2377,[1]米油调味规格数据!$B:$E,4,FALSE),"")</f>
        <v/>
      </c>
      <c r="G2377" s="8"/>
      <c r="H2377" s="17"/>
      <c r="I2377" s="17"/>
    </row>
    <row r="2378" spans="1:9">
      <c r="A2378" s="8">
        <f t="shared" si="66"/>
        <v>2377</v>
      </c>
      <c r="B2378" s="17"/>
      <c r="C2378" s="16"/>
      <c r="D2378" s="8" t="str">
        <f>IFERROR(VLOOKUP(C2378,[1]米油调味规格数据!$B:$E,3,FALSE),"")</f>
        <v/>
      </c>
      <c r="E2378" s="8"/>
      <c r="F2378" s="8" t="str">
        <f>IFERROR(VLOOKUP(C2378,[1]米油调味规格数据!$B:$E,4,FALSE),"")</f>
        <v/>
      </c>
      <c r="G2378" s="8"/>
      <c r="H2378" s="17"/>
      <c r="I2378" s="17"/>
    </row>
    <row r="2379" spans="1:9">
      <c r="A2379" s="8">
        <f t="shared" si="66"/>
        <v>2378</v>
      </c>
      <c r="B2379" s="17"/>
      <c r="C2379" s="16"/>
      <c r="D2379" s="8" t="str">
        <f>IFERROR(VLOOKUP(C2379,[1]米油调味规格数据!$B:$E,3,FALSE),"")</f>
        <v/>
      </c>
      <c r="E2379" s="8"/>
      <c r="F2379" s="8" t="str">
        <f>IFERROR(VLOOKUP(C2379,[1]米油调味规格数据!$B:$E,4,FALSE),"")</f>
        <v/>
      </c>
      <c r="G2379" s="8"/>
      <c r="H2379" s="17"/>
      <c r="I2379" s="17"/>
    </row>
    <row r="2380" spans="1:9">
      <c r="A2380" s="8">
        <f t="shared" si="66"/>
        <v>2379</v>
      </c>
      <c r="B2380" s="17"/>
      <c r="C2380" s="16"/>
      <c r="D2380" s="8" t="str">
        <f>IFERROR(VLOOKUP(C2380,[1]米油调味规格数据!$B:$E,3,FALSE),"")</f>
        <v/>
      </c>
      <c r="E2380" s="8"/>
      <c r="F2380" s="8" t="str">
        <f>IFERROR(VLOOKUP(C2380,[1]米油调味规格数据!$B:$E,4,FALSE),"")</f>
        <v/>
      </c>
      <c r="G2380" s="8"/>
      <c r="H2380" s="17"/>
      <c r="I2380" s="17"/>
    </row>
    <row r="2381" spans="1:9">
      <c r="A2381" s="8">
        <f t="shared" si="66"/>
        <v>2380</v>
      </c>
      <c r="B2381" s="17"/>
      <c r="C2381" s="16"/>
      <c r="D2381" s="8" t="str">
        <f>IFERROR(VLOOKUP(C2381,[1]米油调味规格数据!$B:$E,3,FALSE),"")</f>
        <v/>
      </c>
      <c r="E2381" s="8"/>
      <c r="F2381" s="8" t="str">
        <f>IFERROR(VLOOKUP(C2381,[1]米油调味规格数据!$B:$E,4,FALSE),"")</f>
        <v/>
      </c>
      <c r="G2381" s="8"/>
      <c r="H2381" s="17"/>
      <c r="I2381" s="17"/>
    </row>
    <row r="2382" spans="1:9">
      <c r="A2382" s="8">
        <f t="shared" si="66"/>
        <v>2381</v>
      </c>
      <c r="B2382" s="17"/>
      <c r="C2382" s="16"/>
      <c r="D2382" s="8" t="str">
        <f>IFERROR(VLOOKUP(C2382,[1]米油调味规格数据!$B:$E,3,FALSE),"")</f>
        <v/>
      </c>
      <c r="E2382" s="8"/>
      <c r="F2382" s="8" t="str">
        <f>IFERROR(VLOOKUP(C2382,[1]米油调味规格数据!$B:$E,4,FALSE),"")</f>
        <v/>
      </c>
      <c r="G2382" s="8"/>
      <c r="H2382" s="17"/>
      <c r="I2382" s="17"/>
    </row>
    <row r="2383" spans="1:9">
      <c r="A2383" s="8">
        <f t="shared" si="66"/>
        <v>2382</v>
      </c>
      <c r="B2383" s="17"/>
      <c r="C2383" s="16"/>
      <c r="D2383" s="8" t="str">
        <f>IFERROR(VLOOKUP(C2383,[1]米油调味规格数据!$B:$E,3,FALSE),"")</f>
        <v/>
      </c>
      <c r="E2383" s="8"/>
      <c r="F2383" s="8" t="str">
        <f>IFERROR(VLOOKUP(C2383,[1]米油调味规格数据!$B:$E,4,FALSE),"")</f>
        <v/>
      </c>
      <c r="G2383" s="8"/>
      <c r="H2383" s="17"/>
      <c r="I2383" s="17"/>
    </row>
    <row r="2384" spans="1:9">
      <c r="A2384" s="8">
        <f t="shared" si="66"/>
        <v>2383</v>
      </c>
      <c r="B2384" s="17"/>
      <c r="C2384" s="16"/>
      <c r="D2384" s="8" t="str">
        <f>IFERROR(VLOOKUP(C2384,[1]米油调味规格数据!$B:$E,3,FALSE),"")</f>
        <v/>
      </c>
      <c r="E2384" s="8"/>
      <c r="F2384" s="8" t="str">
        <f>IFERROR(VLOOKUP(C2384,[1]米油调味规格数据!$B:$E,4,FALSE),"")</f>
        <v/>
      </c>
      <c r="G2384" s="8"/>
      <c r="H2384" s="17"/>
      <c r="I2384" s="17"/>
    </row>
    <row r="2385" spans="1:9">
      <c r="A2385" s="8">
        <f t="shared" si="66"/>
        <v>2384</v>
      </c>
      <c r="B2385" s="17"/>
      <c r="C2385" s="16"/>
      <c r="D2385" s="8" t="str">
        <f>IFERROR(VLOOKUP(C2385,[1]米油调味规格数据!$B:$E,3,FALSE),"")</f>
        <v/>
      </c>
      <c r="E2385" s="8"/>
      <c r="F2385" s="8" t="str">
        <f>IFERROR(VLOOKUP(C2385,[1]米油调味规格数据!$B:$E,4,FALSE),"")</f>
        <v/>
      </c>
      <c r="G2385" s="8"/>
      <c r="H2385" s="17"/>
      <c r="I2385" s="17"/>
    </row>
    <row r="2386" spans="1:9">
      <c r="A2386" s="8">
        <f t="shared" si="66"/>
        <v>2385</v>
      </c>
      <c r="B2386" s="17"/>
      <c r="C2386" s="16"/>
      <c r="D2386" s="8" t="str">
        <f>IFERROR(VLOOKUP(C2386,[1]米油调味规格数据!$B:$E,3,FALSE),"")</f>
        <v/>
      </c>
      <c r="E2386" s="8"/>
      <c r="F2386" s="8" t="str">
        <f>IFERROR(VLOOKUP(C2386,[1]米油调味规格数据!$B:$E,4,FALSE),"")</f>
        <v/>
      </c>
      <c r="G2386" s="8"/>
      <c r="H2386" s="17"/>
      <c r="I2386" s="17"/>
    </row>
    <row r="2387" spans="1:9">
      <c r="A2387" s="8">
        <f t="shared" si="66"/>
        <v>2386</v>
      </c>
      <c r="B2387" s="17"/>
      <c r="C2387" s="16"/>
      <c r="D2387" s="8" t="str">
        <f>IFERROR(VLOOKUP(C2387,[1]米油调味规格数据!$B:$E,3,FALSE),"")</f>
        <v/>
      </c>
      <c r="E2387" s="8"/>
      <c r="F2387" s="8" t="str">
        <f>IFERROR(VLOOKUP(C2387,[1]米油调味规格数据!$B:$E,4,FALSE),"")</f>
        <v/>
      </c>
      <c r="G2387" s="8"/>
      <c r="H2387" s="17"/>
      <c r="I2387" s="17"/>
    </row>
    <row r="2388" spans="1:9">
      <c r="A2388" s="8">
        <f t="shared" si="66"/>
        <v>2387</v>
      </c>
      <c r="B2388" s="17"/>
      <c r="C2388" s="16"/>
      <c r="D2388" s="8" t="str">
        <f>IFERROR(VLOOKUP(C2388,[1]米油调味规格数据!$B:$E,3,FALSE),"")</f>
        <v/>
      </c>
      <c r="E2388" s="8"/>
      <c r="F2388" s="8" t="str">
        <f>IFERROR(VLOOKUP(C2388,[1]米油调味规格数据!$B:$E,4,FALSE),"")</f>
        <v/>
      </c>
      <c r="G2388" s="8"/>
      <c r="H2388" s="17"/>
      <c r="I2388" s="17"/>
    </row>
    <row r="2389" spans="1:9">
      <c r="A2389" s="8">
        <f t="shared" si="66"/>
        <v>2388</v>
      </c>
      <c r="B2389" s="17"/>
      <c r="C2389" s="16"/>
      <c r="D2389" s="8" t="str">
        <f>IFERROR(VLOOKUP(C2389,[1]米油调味规格数据!$B:$E,3,FALSE),"")</f>
        <v/>
      </c>
      <c r="E2389" s="8"/>
      <c r="F2389" s="8" t="str">
        <f>IFERROR(VLOOKUP(C2389,[1]米油调味规格数据!$B:$E,4,FALSE),"")</f>
        <v/>
      </c>
      <c r="G2389" s="8"/>
      <c r="H2389" s="17"/>
      <c r="I2389" s="17"/>
    </row>
    <row r="2390" spans="1:9">
      <c r="A2390" s="8">
        <f t="shared" si="66"/>
        <v>2389</v>
      </c>
      <c r="B2390" s="17"/>
      <c r="C2390" s="16"/>
      <c r="D2390" s="8" t="str">
        <f>IFERROR(VLOOKUP(C2390,[1]米油调味规格数据!$B:$E,3,FALSE),"")</f>
        <v/>
      </c>
      <c r="E2390" s="8"/>
      <c r="F2390" s="8" t="str">
        <f>IFERROR(VLOOKUP(C2390,[1]米油调味规格数据!$B:$E,4,FALSE),"")</f>
        <v/>
      </c>
      <c r="G2390" s="8"/>
      <c r="H2390" s="17"/>
      <c r="I2390" s="17"/>
    </row>
    <row r="2391" spans="1:9">
      <c r="A2391" s="8">
        <f t="shared" si="66"/>
        <v>2390</v>
      </c>
      <c r="B2391" s="17"/>
      <c r="C2391" s="16"/>
      <c r="D2391" s="8" t="str">
        <f>IFERROR(VLOOKUP(C2391,[1]米油调味规格数据!$B:$E,3,FALSE),"")</f>
        <v/>
      </c>
      <c r="E2391" s="8"/>
      <c r="F2391" s="8" t="str">
        <f>IFERROR(VLOOKUP(C2391,[1]米油调味规格数据!$B:$E,4,FALSE),"")</f>
        <v/>
      </c>
      <c r="G2391" s="8"/>
      <c r="H2391" s="17"/>
      <c r="I2391" s="17"/>
    </row>
    <row r="2392" spans="1:9">
      <c r="A2392" s="8">
        <f t="shared" si="66"/>
        <v>2391</v>
      </c>
      <c r="B2392" s="17"/>
      <c r="C2392" s="16"/>
      <c r="D2392" s="8" t="str">
        <f>IFERROR(VLOOKUP(C2392,[1]米油调味规格数据!$B:$E,3,FALSE),"")</f>
        <v/>
      </c>
      <c r="E2392" s="8"/>
      <c r="F2392" s="8" t="str">
        <f>IFERROR(VLOOKUP(C2392,[1]米油调味规格数据!$B:$E,4,FALSE),"")</f>
        <v/>
      </c>
      <c r="G2392" s="8"/>
      <c r="H2392" s="17"/>
      <c r="I2392" s="17"/>
    </row>
    <row r="2393" spans="1:9">
      <c r="A2393" s="8">
        <f t="shared" si="66"/>
        <v>2392</v>
      </c>
      <c r="B2393" s="17"/>
      <c r="C2393" s="16"/>
      <c r="D2393" s="8" t="str">
        <f>IFERROR(VLOOKUP(C2393,[1]米油调味规格数据!$B:$E,3,FALSE),"")</f>
        <v/>
      </c>
      <c r="E2393" s="8"/>
      <c r="F2393" s="8" t="str">
        <f>IFERROR(VLOOKUP(C2393,[1]米油调味规格数据!$B:$E,4,FALSE),"")</f>
        <v/>
      </c>
      <c r="G2393" s="8"/>
      <c r="H2393" s="17"/>
      <c r="I2393" s="17"/>
    </row>
    <row r="2394" spans="1:9">
      <c r="A2394" s="8">
        <f t="shared" si="66"/>
        <v>2393</v>
      </c>
      <c r="B2394" s="17"/>
      <c r="C2394" s="16"/>
      <c r="D2394" s="8" t="str">
        <f>IFERROR(VLOOKUP(C2394,[1]米油调味规格数据!$B:$E,3,FALSE),"")</f>
        <v/>
      </c>
      <c r="E2394" s="8"/>
      <c r="F2394" s="8" t="str">
        <f>IFERROR(VLOOKUP(C2394,[1]米油调味规格数据!$B:$E,4,FALSE),"")</f>
        <v/>
      </c>
      <c r="G2394" s="8"/>
      <c r="H2394" s="17"/>
      <c r="I2394" s="17"/>
    </row>
    <row r="2395" spans="1:9">
      <c r="A2395" s="8">
        <f t="shared" si="66"/>
        <v>2394</v>
      </c>
      <c r="B2395" s="17"/>
      <c r="C2395" s="16"/>
      <c r="D2395" s="8" t="str">
        <f>IFERROR(VLOOKUP(C2395,[1]米油调味规格数据!$B:$E,3,FALSE),"")</f>
        <v/>
      </c>
      <c r="E2395" s="8"/>
      <c r="F2395" s="8" t="str">
        <f>IFERROR(VLOOKUP(C2395,[1]米油调味规格数据!$B:$E,4,FALSE),"")</f>
        <v/>
      </c>
      <c r="G2395" s="8"/>
      <c r="H2395" s="17"/>
      <c r="I2395" s="17"/>
    </row>
    <row r="2396" spans="1:9">
      <c r="A2396" s="8">
        <f t="shared" si="66"/>
        <v>2395</v>
      </c>
      <c r="B2396" s="17"/>
      <c r="C2396" s="16"/>
      <c r="D2396" s="8" t="str">
        <f>IFERROR(VLOOKUP(C2396,[1]米油调味规格数据!$B:$E,3,FALSE),"")</f>
        <v/>
      </c>
      <c r="E2396" s="8"/>
      <c r="F2396" s="8" t="str">
        <f>IFERROR(VLOOKUP(C2396,[1]米油调味规格数据!$B:$E,4,FALSE),"")</f>
        <v/>
      </c>
      <c r="G2396" s="8"/>
      <c r="H2396" s="17"/>
      <c r="I2396" s="17"/>
    </row>
    <row r="2397" spans="1:9">
      <c r="A2397" s="8">
        <f t="shared" si="66"/>
        <v>2396</v>
      </c>
      <c r="B2397" s="17"/>
      <c r="C2397" s="16"/>
      <c r="D2397" s="8" t="str">
        <f>IFERROR(VLOOKUP(C2397,[1]米油调味规格数据!$B:$E,3,FALSE),"")</f>
        <v/>
      </c>
      <c r="E2397" s="8"/>
      <c r="F2397" s="8" t="str">
        <f>IFERROR(VLOOKUP(C2397,[1]米油调味规格数据!$B:$E,4,FALSE),"")</f>
        <v/>
      </c>
      <c r="G2397" s="8"/>
      <c r="H2397" s="17"/>
      <c r="I2397" s="17"/>
    </row>
    <row r="2398" spans="1:9">
      <c r="A2398" s="8">
        <f t="shared" si="66"/>
        <v>2397</v>
      </c>
      <c r="B2398" s="17"/>
      <c r="C2398" s="16"/>
      <c r="D2398" s="8" t="str">
        <f>IFERROR(VLOOKUP(C2398,[1]米油调味规格数据!$B:$E,3,FALSE),"")</f>
        <v/>
      </c>
      <c r="E2398" s="8"/>
      <c r="F2398" s="8" t="str">
        <f>IFERROR(VLOOKUP(C2398,[1]米油调味规格数据!$B:$E,4,FALSE),"")</f>
        <v/>
      </c>
      <c r="G2398" s="8"/>
      <c r="H2398" s="17"/>
      <c r="I2398" s="17"/>
    </row>
    <row r="2399" spans="1:9">
      <c r="A2399" s="8">
        <f t="shared" si="66"/>
        <v>2398</v>
      </c>
      <c r="B2399" s="17"/>
      <c r="C2399" s="16"/>
      <c r="D2399" s="8" t="str">
        <f>IFERROR(VLOOKUP(C2399,[1]米油调味规格数据!$B:$E,3,FALSE),"")</f>
        <v/>
      </c>
      <c r="E2399" s="8"/>
      <c r="F2399" s="8" t="str">
        <f>IFERROR(VLOOKUP(C2399,[1]米油调味规格数据!$B:$E,4,FALSE),"")</f>
        <v/>
      </c>
      <c r="G2399" s="8"/>
      <c r="H2399" s="17"/>
      <c r="I2399" s="17"/>
    </row>
    <row r="2400" spans="1:9">
      <c r="A2400" s="8">
        <f t="shared" si="66"/>
        <v>2399</v>
      </c>
      <c r="B2400" s="17"/>
      <c r="C2400" s="16"/>
      <c r="D2400" s="8" t="str">
        <f>IFERROR(VLOOKUP(C2400,[1]米油调味规格数据!$B:$E,3,FALSE),"")</f>
        <v/>
      </c>
      <c r="E2400" s="8"/>
      <c r="F2400" s="8" t="str">
        <f>IFERROR(VLOOKUP(C2400,[1]米油调味规格数据!$B:$E,4,FALSE),"")</f>
        <v/>
      </c>
      <c r="G2400" s="8"/>
      <c r="H2400" s="17"/>
      <c r="I2400" s="17"/>
    </row>
    <row r="2401" spans="1:9">
      <c r="A2401" s="8">
        <f t="shared" si="66"/>
        <v>2400</v>
      </c>
      <c r="B2401" s="17"/>
      <c r="C2401" s="16"/>
      <c r="D2401" s="8" t="str">
        <f>IFERROR(VLOOKUP(C2401,[1]米油调味规格数据!$B:$E,3,FALSE),"")</f>
        <v/>
      </c>
      <c r="E2401" s="8"/>
      <c r="F2401" s="8" t="str">
        <f>IFERROR(VLOOKUP(C2401,[1]米油调味规格数据!$B:$E,4,FALSE),"")</f>
        <v/>
      </c>
      <c r="G2401" s="8"/>
      <c r="H2401" s="17"/>
      <c r="I2401" s="17"/>
    </row>
    <row r="2402" spans="1:9">
      <c r="A2402" s="8">
        <f t="shared" si="66"/>
        <v>2401</v>
      </c>
      <c r="B2402" s="17"/>
      <c r="C2402" s="16"/>
      <c r="D2402" s="8" t="str">
        <f>IFERROR(VLOOKUP(C2402,[1]米油调味规格数据!$B:$E,3,FALSE),"")</f>
        <v/>
      </c>
      <c r="E2402" s="8"/>
      <c r="F2402" s="8" t="str">
        <f>IFERROR(VLOOKUP(C2402,[1]米油调味规格数据!$B:$E,4,FALSE),"")</f>
        <v/>
      </c>
      <c r="G2402" s="8"/>
      <c r="H2402" s="17"/>
      <c r="I2402" s="17"/>
    </row>
    <row r="2403" spans="1:9">
      <c r="A2403" s="8">
        <f t="shared" si="66"/>
        <v>2402</v>
      </c>
      <c r="B2403" s="17"/>
      <c r="C2403" s="16"/>
      <c r="D2403" s="8" t="str">
        <f>IFERROR(VLOOKUP(C2403,[1]米油调味规格数据!$B:$E,3,FALSE),"")</f>
        <v/>
      </c>
      <c r="E2403" s="8"/>
      <c r="F2403" s="8" t="str">
        <f>IFERROR(VLOOKUP(C2403,[1]米油调味规格数据!$B:$E,4,FALSE),"")</f>
        <v/>
      </c>
      <c r="G2403" s="8"/>
      <c r="H2403" s="17"/>
      <c r="I2403" s="17"/>
    </row>
    <row r="2404" spans="1:9">
      <c r="A2404" s="8">
        <f t="shared" si="66"/>
        <v>2403</v>
      </c>
      <c r="B2404" s="17"/>
      <c r="C2404" s="16"/>
      <c r="D2404" s="8" t="str">
        <f>IFERROR(VLOOKUP(C2404,[1]米油调味规格数据!$B:$E,3,FALSE),"")</f>
        <v/>
      </c>
      <c r="E2404" s="8"/>
      <c r="F2404" s="8" t="str">
        <f>IFERROR(VLOOKUP(C2404,[1]米油调味规格数据!$B:$E,4,FALSE),"")</f>
        <v/>
      </c>
      <c r="G2404" s="8"/>
      <c r="H2404" s="17"/>
      <c r="I2404" s="17"/>
    </row>
    <row r="2405" spans="1:9">
      <c r="A2405" s="8">
        <f t="shared" si="66"/>
        <v>2404</v>
      </c>
      <c r="B2405" s="17"/>
      <c r="C2405" s="16"/>
      <c r="D2405" s="8" t="str">
        <f>IFERROR(VLOOKUP(C2405,[1]米油调味规格数据!$B:$E,3,FALSE),"")</f>
        <v/>
      </c>
      <c r="E2405" s="8"/>
      <c r="F2405" s="8" t="str">
        <f>IFERROR(VLOOKUP(C2405,[1]米油调味规格数据!$B:$E,4,FALSE),"")</f>
        <v/>
      </c>
      <c r="G2405" s="8"/>
      <c r="H2405" s="17"/>
      <c r="I2405" s="17"/>
    </row>
    <row r="2406" spans="1:9">
      <c r="A2406" s="8">
        <f t="shared" si="66"/>
        <v>2405</v>
      </c>
      <c r="B2406" s="17"/>
      <c r="C2406" s="16"/>
      <c r="D2406" s="8" t="str">
        <f>IFERROR(VLOOKUP(C2406,[1]米油调味规格数据!$B:$E,3,FALSE),"")</f>
        <v/>
      </c>
      <c r="E2406" s="8"/>
      <c r="F2406" s="8" t="str">
        <f>IFERROR(VLOOKUP(C2406,[1]米油调味规格数据!$B:$E,4,FALSE),"")</f>
        <v/>
      </c>
      <c r="G2406" s="8"/>
      <c r="H2406" s="17"/>
      <c r="I2406" s="17"/>
    </row>
    <row r="2407" spans="1:9">
      <c r="A2407" s="8">
        <f t="shared" si="66"/>
        <v>2406</v>
      </c>
      <c r="B2407" s="17"/>
      <c r="C2407" s="16"/>
      <c r="D2407" s="8" t="str">
        <f>IFERROR(VLOOKUP(C2407,[1]米油调味规格数据!$B:$E,3,FALSE),"")</f>
        <v/>
      </c>
      <c r="E2407" s="8"/>
      <c r="F2407" s="8" t="str">
        <f>IFERROR(VLOOKUP(C2407,[1]米油调味规格数据!$B:$E,4,FALSE),"")</f>
        <v/>
      </c>
      <c r="G2407" s="8"/>
      <c r="H2407" s="17"/>
      <c r="I2407" s="17"/>
    </row>
    <row r="2408" spans="1:9">
      <c r="A2408" s="8">
        <f t="shared" si="66"/>
        <v>2407</v>
      </c>
      <c r="B2408" s="17"/>
      <c r="C2408" s="16"/>
      <c r="D2408" s="8" t="str">
        <f>IFERROR(VLOOKUP(C2408,[1]米油调味规格数据!$B:$E,3,FALSE),"")</f>
        <v/>
      </c>
      <c r="E2408" s="8"/>
      <c r="F2408" s="8" t="str">
        <f>IFERROR(VLOOKUP(C2408,[1]米油调味规格数据!$B:$E,4,FALSE),"")</f>
        <v/>
      </c>
      <c r="G2408" s="8"/>
      <c r="H2408" s="17"/>
      <c r="I2408" s="17"/>
    </row>
    <row r="2409" spans="1:9">
      <c r="A2409" s="8">
        <f t="shared" si="66"/>
        <v>2408</v>
      </c>
      <c r="B2409" s="17"/>
      <c r="C2409" s="16"/>
      <c r="D2409" s="8" t="str">
        <f>IFERROR(VLOOKUP(C2409,[1]米油调味规格数据!$B:$E,3,FALSE),"")</f>
        <v/>
      </c>
      <c r="E2409" s="8"/>
      <c r="F2409" s="8" t="str">
        <f>IFERROR(VLOOKUP(C2409,[1]米油调味规格数据!$B:$E,4,FALSE),"")</f>
        <v/>
      </c>
      <c r="G2409" s="8"/>
      <c r="H2409" s="17"/>
      <c r="I2409" s="17"/>
    </row>
    <row r="2410" spans="1:9">
      <c r="A2410" s="8">
        <f t="shared" si="66"/>
        <v>2409</v>
      </c>
      <c r="B2410" s="17"/>
      <c r="C2410" s="16"/>
      <c r="D2410" s="8" t="str">
        <f>IFERROR(VLOOKUP(C2410,[1]米油调味规格数据!$B:$E,3,FALSE),"")</f>
        <v/>
      </c>
      <c r="E2410" s="8"/>
      <c r="F2410" s="8" t="str">
        <f>IFERROR(VLOOKUP(C2410,[1]米油调味规格数据!$B:$E,4,FALSE),"")</f>
        <v/>
      </c>
      <c r="G2410" s="8"/>
      <c r="H2410" s="17"/>
      <c r="I2410" s="17"/>
    </row>
    <row r="2411" spans="1:9">
      <c r="A2411" s="8">
        <f t="shared" si="66"/>
        <v>2410</v>
      </c>
      <c r="B2411" s="17"/>
      <c r="C2411" s="16"/>
      <c r="D2411" s="8" t="str">
        <f>IFERROR(VLOOKUP(C2411,[1]米油调味规格数据!$B:$E,3,FALSE),"")</f>
        <v/>
      </c>
      <c r="E2411" s="8"/>
      <c r="F2411" s="8" t="str">
        <f>IFERROR(VLOOKUP(C2411,[1]米油调味规格数据!$B:$E,4,FALSE),"")</f>
        <v/>
      </c>
      <c r="G2411" s="8"/>
      <c r="H2411" s="17"/>
      <c r="I2411" s="17"/>
    </row>
    <row r="2412" spans="1:9">
      <c r="A2412" s="8">
        <f t="shared" si="66"/>
        <v>2411</v>
      </c>
      <c r="B2412" s="17"/>
      <c r="C2412" s="16"/>
      <c r="D2412" s="8" t="str">
        <f>IFERROR(VLOOKUP(C2412,[1]米油调味规格数据!$B:$E,3,FALSE),"")</f>
        <v/>
      </c>
      <c r="E2412" s="8"/>
      <c r="F2412" s="8" t="str">
        <f>IFERROR(VLOOKUP(C2412,[1]米油调味规格数据!$B:$E,4,FALSE),"")</f>
        <v/>
      </c>
      <c r="G2412" s="8"/>
      <c r="H2412" s="17"/>
      <c r="I2412" s="17"/>
    </row>
    <row r="2413" spans="1:9">
      <c r="A2413" s="8">
        <f t="shared" si="66"/>
        <v>2412</v>
      </c>
      <c r="B2413" s="17"/>
      <c r="C2413" s="16"/>
      <c r="D2413" s="8" t="str">
        <f>IFERROR(VLOOKUP(C2413,[1]米油调味规格数据!$B:$E,3,FALSE),"")</f>
        <v/>
      </c>
      <c r="E2413" s="8"/>
      <c r="F2413" s="8" t="str">
        <f>IFERROR(VLOOKUP(C2413,[1]米油调味规格数据!$B:$E,4,FALSE),"")</f>
        <v/>
      </c>
      <c r="G2413" s="8"/>
      <c r="H2413" s="17"/>
      <c r="I2413" s="17"/>
    </row>
    <row r="2414" spans="1:9">
      <c r="A2414" s="8">
        <f t="shared" si="66"/>
        <v>2413</v>
      </c>
      <c r="B2414" s="17"/>
      <c r="C2414" s="16"/>
      <c r="D2414" s="8" t="str">
        <f>IFERROR(VLOOKUP(C2414,[1]米油调味规格数据!$B:$E,3,FALSE),"")</f>
        <v/>
      </c>
      <c r="E2414" s="8"/>
      <c r="F2414" s="8" t="str">
        <f>IFERROR(VLOOKUP(C2414,[1]米油调味规格数据!$B:$E,4,FALSE),"")</f>
        <v/>
      </c>
      <c r="G2414" s="8"/>
      <c r="H2414" s="17"/>
      <c r="I2414" s="17"/>
    </row>
    <row r="2415" spans="1:9">
      <c r="A2415" s="8">
        <f t="shared" si="66"/>
        <v>2414</v>
      </c>
      <c r="B2415" s="17"/>
      <c r="C2415" s="16"/>
      <c r="D2415" s="8" t="str">
        <f>IFERROR(VLOOKUP(C2415,[1]米油调味规格数据!$B:$E,3,FALSE),"")</f>
        <v/>
      </c>
      <c r="E2415" s="8"/>
      <c r="F2415" s="8" t="str">
        <f>IFERROR(VLOOKUP(C2415,[1]米油调味规格数据!$B:$E,4,FALSE),"")</f>
        <v/>
      </c>
      <c r="G2415" s="8"/>
      <c r="H2415" s="17"/>
      <c r="I2415" s="17"/>
    </row>
    <row r="2416" spans="1:9">
      <c r="A2416" s="8">
        <f t="shared" si="66"/>
        <v>2415</v>
      </c>
      <c r="B2416" s="17"/>
      <c r="C2416" s="16"/>
      <c r="D2416" s="8" t="str">
        <f>IFERROR(VLOOKUP(C2416,[1]米油调味规格数据!$B:$E,3,FALSE),"")</f>
        <v/>
      </c>
      <c r="E2416" s="8"/>
      <c r="F2416" s="8" t="str">
        <f>IFERROR(VLOOKUP(C2416,[1]米油调味规格数据!$B:$E,4,FALSE),"")</f>
        <v/>
      </c>
      <c r="G2416" s="8"/>
      <c r="H2416" s="17"/>
      <c r="I2416" s="17"/>
    </row>
    <row r="2417" spans="1:9">
      <c r="A2417" s="8">
        <f t="shared" si="66"/>
        <v>2416</v>
      </c>
      <c r="B2417" s="17"/>
      <c r="C2417" s="16"/>
      <c r="D2417" s="8" t="str">
        <f>IFERROR(VLOOKUP(C2417,[1]米油调味规格数据!$B:$E,3,FALSE),"")</f>
        <v/>
      </c>
      <c r="E2417" s="8"/>
      <c r="F2417" s="8" t="str">
        <f>IFERROR(VLOOKUP(C2417,[1]米油调味规格数据!$B:$E,4,FALSE),"")</f>
        <v/>
      </c>
      <c r="G2417" s="8"/>
      <c r="H2417" s="17"/>
      <c r="I2417" s="17"/>
    </row>
    <row r="2418" spans="1:9">
      <c r="A2418" s="8">
        <f t="shared" si="66"/>
        <v>2417</v>
      </c>
      <c r="B2418" s="17"/>
      <c r="C2418" s="16"/>
      <c r="D2418" s="8" t="str">
        <f>IFERROR(VLOOKUP(C2418,[1]米油调味规格数据!$B:$E,3,FALSE),"")</f>
        <v/>
      </c>
      <c r="E2418" s="8"/>
      <c r="F2418" s="8" t="str">
        <f>IFERROR(VLOOKUP(C2418,[1]米油调味规格数据!$B:$E,4,FALSE),"")</f>
        <v/>
      </c>
      <c r="G2418" s="8"/>
      <c r="H2418" s="17"/>
      <c r="I2418" s="17"/>
    </row>
    <row r="2419" spans="1:9">
      <c r="A2419" s="8">
        <f t="shared" si="66"/>
        <v>2418</v>
      </c>
      <c r="B2419" s="17"/>
      <c r="C2419" s="16"/>
      <c r="D2419" s="8" t="str">
        <f>IFERROR(VLOOKUP(C2419,[1]米油调味规格数据!$B:$E,3,FALSE),"")</f>
        <v/>
      </c>
      <c r="E2419" s="8"/>
      <c r="F2419" s="8" t="str">
        <f>IFERROR(VLOOKUP(C2419,[1]米油调味规格数据!$B:$E,4,FALSE),"")</f>
        <v/>
      </c>
      <c r="G2419" s="8"/>
      <c r="H2419" s="17"/>
      <c r="I2419" s="17"/>
    </row>
    <row r="2420" spans="1:9">
      <c r="A2420" s="8">
        <f t="shared" si="66"/>
        <v>2419</v>
      </c>
      <c r="B2420" s="17"/>
      <c r="C2420" s="16"/>
      <c r="D2420" s="8" t="str">
        <f>IFERROR(VLOOKUP(C2420,[1]米油调味规格数据!$B:$E,3,FALSE),"")</f>
        <v/>
      </c>
      <c r="E2420" s="8"/>
      <c r="F2420" s="8" t="str">
        <f>IFERROR(VLOOKUP(C2420,[1]米油调味规格数据!$B:$E,4,FALSE),"")</f>
        <v/>
      </c>
      <c r="G2420" s="8"/>
      <c r="H2420" s="17"/>
      <c r="I2420" s="17"/>
    </row>
    <row r="2421" spans="1:9">
      <c r="A2421" s="8">
        <f t="shared" si="66"/>
        <v>2420</v>
      </c>
      <c r="B2421" s="17"/>
      <c r="C2421" s="16"/>
      <c r="D2421" s="8" t="str">
        <f>IFERROR(VLOOKUP(C2421,[1]米油调味规格数据!$B:$E,3,FALSE),"")</f>
        <v/>
      </c>
      <c r="E2421" s="8"/>
      <c r="F2421" s="8" t="str">
        <f>IFERROR(VLOOKUP(C2421,[1]米油调味规格数据!$B:$E,4,FALSE),"")</f>
        <v/>
      </c>
      <c r="G2421" s="8"/>
      <c r="H2421" s="17"/>
      <c r="I2421" s="17"/>
    </row>
    <row r="2422" spans="1:9">
      <c r="A2422" s="8">
        <f t="shared" si="66"/>
        <v>2421</v>
      </c>
      <c r="B2422" s="17"/>
      <c r="C2422" s="16"/>
      <c r="D2422" s="8" t="str">
        <f>IFERROR(VLOOKUP(C2422,[1]米油调味规格数据!$B:$E,3,FALSE),"")</f>
        <v/>
      </c>
      <c r="E2422" s="8"/>
      <c r="F2422" s="8" t="str">
        <f>IFERROR(VLOOKUP(C2422,[1]米油调味规格数据!$B:$E,4,FALSE),"")</f>
        <v/>
      </c>
      <c r="G2422" s="8"/>
      <c r="H2422" s="17"/>
      <c r="I2422" s="17"/>
    </row>
    <row r="2423" spans="1:9">
      <c r="A2423" s="8">
        <f t="shared" si="66"/>
        <v>2422</v>
      </c>
      <c r="B2423" s="17"/>
      <c r="C2423" s="16"/>
      <c r="D2423" s="8" t="str">
        <f>IFERROR(VLOOKUP(C2423,[1]米油调味规格数据!$B:$E,3,FALSE),"")</f>
        <v/>
      </c>
      <c r="E2423" s="8"/>
      <c r="F2423" s="8" t="str">
        <f>IFERROR(VLOOKUP(C2423,[1]米油调味规格数据!$B:$E,4,FALSE),"")</f>
        <v/>
      </c>
      <c r="G2423" s="8"/>
      <c r="H2423" s="17"/>
      <c r="I2423" s="17"/>
    </row>
    <row r="2424" spans="1:9">
      <c r="A2424" s="8">
        <f t="shared" si="66"/>
        <v>2423</v>
      </c>
      <c r="B2424" s="17"/>
      <c r="C2424" s="16"/>
      <c r="D2424" s="8" t="str">
        <f>IFERROR(VLOOKUP(C2424,[1]米油调味规格数据!$B:$E,3,FALSE),"")</f>
        <v/>
      </c>
      <c r="E2424" s="8"/>
      <c r="F2424" s="8" t="str">
        <f>IFERROR(VLOOKUP(C2424,[1]米油调味规格数据!$B:$E,4,FALSE),"")</f>
        <v/>
      </c>
      <c r="G2424" s="8"/>
      <c r="H2424" s="17"/>
      <c r="I2424" s="17"/>
    </row>
    <row r="2425" spans="1:9">
      <c r="A2425" s="8">
        <f t="shared" si="66"/>
        <v>2424</v>
      </c>
      <c r="B2425" s="17"/>
      <c r="C2425" s="16"/>
      <c r="D2425" s="8" t="str">
        <f>IFERROR(VLOOKUP(C2425,[1]米油调味规格数据!$B:$E,3,FALSE),"")</f>
        <v/>
      </c>
      <c r="E2425" s="8"/>
      <c r="F2425" s="8" t="str">
        <f>IFERROR(VLOOKUP(C2425,[1]米油调味规格数据!$B:$E,4,FALSE),"")</f>
        <v/>
      </c>
      <c r="G2425" s="8"/>
      <c r="H2425" s="17"/>
      <c r="I2425" s="17"/>
    </row>
    <row r="2426" spans="1:9">
      <c r="A2426" s="8">
        <f t="shared" si="66"/>
        <v>2425</v>
      </c>
      <c r="B2426" s="17"/>
      <c r="C2426" s="16"/>
      <c r="D2426" s="8" t="str">
        <f>IFERROR(VLOOKUP(C2426,[1]米油调味规格数据!$B:$E,3,FALSE),"")</f>
        <v/>
      </c>
      <c r="E2426" s="8"/>
      <c r="F2426" s="8" t="str">
        <f>IFERROR(VLOOKUP(C2426,[1]米油调味规格数据!$B:$E,4,FALSE),"")</f>
        <v/>
      </c>
      <c r="G2426" s="8"/>
      <c r="H2426" s="17"/>
      <c r="I2426" s="17"/>
    </row>
    <row r="2427" spans="1:9">
      <c r="A2427" s="8">
        <f t="shared" ref="A2427:A2448" si="67">ROW()-1</f>
        <v>2426</v>
      </c>
      <c r="B2427" s="17"/>
      <c r="C2427" s="16"/>
      <c r="D2427" s="8" t="str">
        <f>IFERROR(VLOOKUP(C2427,[1]米油调味规格数据!$B:$E,3,FALSE),"")</f>
        <v/>
      </c>
      <c r="E2427" s="8"/>
      <c r="F2427" s="8" t="str">
        <f>IFERROR(VLOOKUP(C2427,[1]米油调味规格数据!$B:$E,4,FALSE),"")</f>
        <v/>
      </c>
      <c r="G2427" s="8"/>
      <c r="H2427" s="17"/>
      <c r="I2427" s="17"/>
    </row>
    <row r="2428" spans="1:9">
      <c r="A2428" s="8">
        <f t="shared" si="67"/>
        <v>2427</v>
      </c>
      <c r="B2428" s="17"/>
      <c r="C2428" s="16"/>
      <c r="D2428" s="8" t="str">
        <f>IFERROR(VLOOKUP(C2428,[1]米油调味规格数据!$B:$E,3,FALSE),"")</f>
        <v/>
      </c>
      <c r="E2428" s="8"/>
      <c r="F2428" s="8" t="str">
        <f>IFERROR(VLOOKUP(C2428,[1]米油调味规格数据!$B:$E,4,FALSE),"")</f>
        <v/>
      </c>
      <c r="G2428" s="8"/>
      <c r="H2428" s="17"/>
      <c r="I2428" s="17"/>
    </row>
    <row r="2429" spans="1:9">
      <c r="A2429" s="8">
        <f t="shared" si="67"/>
        <v>2428</v>
      </c>
      <c r="B2429" s="17"/>
      <c r="C2429" s="16"/>
      <c r="D2429" s="8" t="str">
        <f>IFERROR(VLOOKUP(C2429,[1]米油调味规格数据!$B:$E,3,FALSE),"")</f>
        <v/>
      </c>
      <c r="E2429" s="8"/>
      <c r="F2429" s="8" t="str">
        <f>IFERROR(VLOOKUP(C2429,[1]米油调味规格数据!$B:$E,4,FALSE),"")</f>
        <v/>
      </c>
      <c r="G2429" s="8"/>
      <c r="H2429" s="17"/>
      <c r="I2429" s="17"/>
    </row>
    <row r="2430" spans="1:9">
      <c r="A2430" s="8">
        <f t="shared" si="67"/>
        <v>2429</v>
      </c>
      <c r="B2430" s="17"/>
      <c r="C2430" s="16"/>
      <c r="D2430" s="8" t="str">
        <f>IFERROR(VLOOKUP(C2430,[1]米油调味规格数据!$B:$E,3,FALSE),"")</f>
        <v/>
      </c>
      <c r="E2430" s="8"/>
      <c r="F2430" s="8" t="str">
        <f>IFERROR(VLOOKUP(C2430,[1]米油调味规格数据!$B:$E,4,FALSE),"")</f>
        <v/>
      </c>
      <c r="G2430" s="8"/>
      <c r="H2430" s="17"/>
      <c r="I2430" s="17"/>
    </row>
    <row r="2431" spans="1:9">
      <c r="A2431" s="8">
        <f t="shared" si="67"/>
        <v>2430</v>
      </c>
      <c r="B2431" s="17"/>
      <c r="C2431" s="16"/>
      <c r="D2431" s="8" t="str">
        <f>IFERROR(VLOOKUP(C2431,[1]米油调味规格数据!$B:$E,3,FALSE),"")</f>
        <v/>
      </c>
      <c r="E2431" s="8"/>
      <c r="F2431" s="8" t="str">
        <f>IFERROR(VLOOKUP(C2431,[1]米油调味规格数据!$B:$E,4,FALSE),"")</f>
        <v/>
      </c>
      <c r="G2431" s="8"/>
      <c r="H2431" s="17"/>
      <c r="I2431" s="17"/>
    </row>
    <row r="2432" spans="1:9">
      <c r="A2432" s="8">
        <f t="shared" si="67"/>
        <v>2431</v>
      </c>
      <c r="B2432" s="17"/>
      <c r="C2432" s="16"/>
      <c r="D2432" s="8" t="str">
        <f>IFERROR(VLOOKUP(C2432,[1]米油调味规格数据!$B:$E,3,FALSE),"")</f>
        <v/>
      </c>
      <c r="E2432" s="8"/>
      <c r="F2432" s="8" t="str">
        <f>IFERROR(VLOOKUP(C2432,[1]米油调味规格数据!$B:$E,4,FALSE),"")</f>
        <v/>
      </c>
      <c r="G2432" s="8"/>
      <c r="H2432" s="17"/>
      <c r="I2432" s="17"/>
    </row>
    <row r="2433" spans="1:9">
      <c r="A2433" s="8">
        <f t="shared" si="67"/>
        <v>2432</v>
      </c>
      <c r="B2433" s="17"/>
      <c r="C2433" s="16"/>
      <c r="D2433" s="8" t="str">
        <f>IFERROR(VLOOKUP(C2433,[1]米油调味规格数据!$B:$E,3,FALSE),"")</f>
        <v/>
      </c>
      <c r="E2433" s="8"/>
      <c r="F2433" s="8" t="str">
        <f>IFERROR(VLOOKUP(C2433,[1]米油调味规格数据!$B:$E,4,FALSE),"")</f>
        <v/>
      </c>
      <c r="G2433" s="8"/>
      <c r="H2433" s="17"/>
      <c r="I2433" s="17"/>
    </row>
    <row r="2434" spans="1:9">
      <c r="A2434" s="8">
        <f t="shared" si="67"/>
        <v>2433</v>
      </c>
      <c r="B2434" s="17"/>
      <c r="C2434" s="16"/>
      <c r="D2434" s="8" t="str">
        <f>IFERROR(VLOOKUP(C2434,[1]米油调味规格数据!$B:$E,3,FALSE),"")</f>
        <v/>
      </c>
      <c r="E2434" s="8"/>
      <c r="F2434" s="8" t="str">
        <f>IFERROR(VLOOKUP(C2434,[1]米油调味规格数据!$B:$E,4,FALSE),"")</f>
        <v/>
      </c>
      <c r="G2434" s="8"/>
      <c r="H2434" s="17"/>
      <c r="I2434" s="17"/>
    </row>
    <row r="2435" spans="1:9">
      <c r="A2435" s="8">
        <f t="shared" si="67"/>
        <v>2434</v>
      </c>
      <c r="B2435" s="17"/>
      <c r="C2435" s="16"/>
      <c r="D2435" s="8" t="str">
        <f>IFERROR(VLOOKUP(C2435,[1]米油调味规格数据!$B:$E,3,FALSE),"")</f>
        <v/>
      </c>
      <c r="E2435" s="8"/>
      <c r="F2435" s="8" t="str">
        <f>IFERROR(VLOOKUP(C2435,[1]米油调味规格数据!$B:$E,4,FALSE),"")</f>
        <v/>
      </c>
      <c r="G2435" s="8"/>
      <c r="H2435" s="17"/>
      <c r="I2435" s="17"/>
    </row>
    <row r="2436" spans="1:9">
      <c r="A2436" s="8">
        <f t="shared" si="67"/>
        <v>2435</v>
      </c>
      <c r="B2436" s="17"/>
      <c r="C2436" s="16"/>
      <c r="D2436" s="8" t="str">
        <f>IFERROR(VLOOKUP(C2436,[1]米油调味规格数据!$B:$E,3,FALSE),"")</f>
        <v/>
      </c>
      <c r="E2436" s="8"/>
      <c r="F2436" s="8" t="str">
        <f>IFERROR(VLOOKUP(C2436,[1]米油调味规格数据!$B:$E,4,FALSE),"")</f>
        <v/>
      </c>
      <c r="G2436" s="8"/>
      <c r="H2436" s="17"/>
      <c r="I2436" s="17"/>
    </row>
    <row r="2437" spans="1:9">
      <c r="A2437" s="8">
        <f t="shared" si="67"/>
        <v>2436</v>
      </c>
      <c r="B2437" s="17"/>
      <c r="C2437" s="16"/>
      <c r="D2437" s="8" t="str">
        <f>IFERROR(VLOOKUP(C2437,[1]米油调味规格数据!$B:$E,3,FALSE),"")</f>
        <v/>
      </c>
      <c r="E2437" s="8"/>
      <c r="F2437" s="8" t="str">
        <f>IFERROR(VLOOKUP(C2437,[1]米油调味规格数据!$B:$E,4,FALSE),"")</f>
        <v/>
      </c>
      <c r="G2437" s="8"/>
      <c r="H2437" s="17"/>
      <c r="I2437" s="17"/>
    </row>
    <row r="2438" spans="1:9">
      <c r="A2438" s="8">
        <f t="shared" si="67"/>
        <v>2437</v>
      </c>
      <c r="B2438" s="17"/>
      <c r="C2438" s="16"/>
      <c r="D2438" s="8" t="str">
        <f>IFERROR(VLOOKUP(C2438,[1]米油调味规格数据!$B:$E,3,FALSE),"")</f>
        <v/>
      </c>
      <c r="E2438" s="8"/>
      <c r="F2438" s="8" t="str">
        <f>IFERROR(VLOOKUP(C2438,[1]米油调味规格数据!$B:$E,4,FALSE),"")</f>
        <v/>
      </c>
      <c r="G2438" s="8"/>
      <c r="H2438" s="17"/>
      <c r="I2438" s="17"/>
    </row>
    <row r="2439" spans="1:9">
      <c r="A2439" s="8">
        <f t="shared" si="67"/>
        <v>2438</v>
      </c>
      <c r="B2439" s="17"/>
      <c r="C2439" s="16"/>
      <c r="D2439" s="8" t="str">
        <f>IFERROR(VLOOKUP(C2439,[1]米油调味规格数据!$B:$E,3,FALSE),"")</f>
        <v/>
      </c>
      <c r="E2439" s="8"/>
      <c r="F2439" s="8" t="str">
        <f>IFERROR(VLOOKUP(C2439,[1]米油调味规格数据!$B:$E,4,FALSE),"")</f>
        <v/>
      </c>
      <c r="G2439" s="8"/>
      <c r="H2439" s="17"/>
      <c r="I2439" s="17"/>
    </row>
    <row r="2440" spans="1:9">
      <c r="A2440" s="8">
        <f t="shared" si="67"/>
        <v>2439</v>
      </c>
      <c r="B2440" s="17"/>
      <c r="C2440" s="16"/>
      <c r="D2440" s="8" t="str">
        <f>IFERROR(VLOOKUP(C2440,[1]米油调味规格数据!$B:$E,3,FALSE),"")</f>
        <v/>
      </c>
      <c r="E2440" s="8"/>
      <c r="F2440" s="8" t="str">
        <f>IFERROR(VLOOKUP(C2440,[1]米油调味规格数据!$B:$E,4,FALSE),"")</f>
        <v/>
      </c>
      <c r="G2440" s="8"/>
      <c r="H2440" s="17"/>
      <c r="I2440" s="17"/>
    </row>
    <row r="2441" spans="1:9">
      <c r="A2441" s="8">
        <f t="shared" si="67"/>
        <v>2440</v>
      </c>
      <c r="B2441" s="17"/>
      <c r="C2441" s="16"/>
      <c r="D2441" s="8" t="str">
        <f>IFERROR(VLOOKUP(C2441,[1]米油调味规格数据!$B:$E,3,FALSE),"")</f>
        <v/>
      </c>
      <c r="E2441" s="8"/>
      <c r="F2441" s="8" t="str">
        <f>IFERROR(VLOOKUP(C2441,[1]米油调味规格数据!$B:$E,4,FALSE),"")</f>
        <v/>
      </c>
      <c r="G2441" s="8"/>
      <c r="H2441" s="17"/>
      <c r="I2441" s="17"/>
    </row>
    <row r="2442" spans="1:9">
      <c r="A2442" s="8">
        <f t="shared" si="67"/>
        <v>2441</v>
      </c>
      <c r="B2442" s="17"/>
      <c r="C2442" s="16"/>
      <c r="D2442" s="8" t="str">
        <f>IFERROR(VLOOKUP(C2442,[1]米油调味规格数据!$B:$E,3,FALSE),"")</f>
        <v/>
      </c>
      <c r="E2442" s="8"/>
      <c r="F2442" s="8" t="str">
        <f>IFERROR(VLOOKUP(C2442,[1]米油调味规格数据!$B:$E,4,FALSE),"")</f>
        <v/>
      </c>
      <c r="G2442" s="8"/>
      <c r="H2442" s="17"/>
      <c r="I2442" s="17"/>
    </row>
    <row r="2443" spans="1:9">
      <c r="A2443" s="8">
        <f t="shared" si="67"/>
        <v>2442</v>
      </c>
      <c r="B2443" s="17"/>
      <c r="C2443" s="16"/>
      <c r="D2443" s="8" t="str">
        <f>IFERROR(VLOOKUP(C2443,[1]米油调味规格数据!$B:$E,3,FALSE),"")</f>
        <v/>
      </c>
      <c r="E2443" s="8"/>
      <c r="F2443" s="8" t="str">
        <f>IFERROR(VLOOKUP(C2443,[1]米油调味规格数据!$B:$E,4,FALSE),"")</f>
        <v/>
      </c>
      <c r="G2443" s="8"/>
      <c r="H2443" s="17"/>
      <c r="I2443" s="17"/>
    </row>
    <row r="2444" spans="1:9">
      <c r="A2444" s="8">
        <f t="shared" si="67"/>
        <v>2443</v>
      </c>
      <c r="B2444" s="17"/>
      <c r="C2444" s="16"/>
      <c r="D2444" s="8" t="str">
        <f>IFERROR(VLOOKUP(C2444,[1]米油调味规格数据!$B:$E,3,FALSE),"")</f>
        <v/>
      </c>
      <c r="E2444" s="8"/>
      <c r="F2444" s="8" t="str">
        <f>IFERROR(VLOOKUP(C2444,[1]米油调味规格数据!$B:$E,4,FALSE),"")</f>
        <v/>
      </c>
      <c r="G2444" s="8"/>
      <c r="H2444" s="17"/>
      <c r="I2444" s="17"/>
    </row>
    <row r="2445" spans="1:9">
      <c r="A2445" s="8">
        <f t="shared" si="67"/>
        <v>2444</v>
      </c>
      <c r="B2445" s="17"/>
      <c r="C2445" s="16"/>
      <c r="D2445" s="8" t="str">
        <f>IFERROR(VLOOKUP(C2445,[1]米油调味规格数据!$B:$E,3,FALSE),"")</f>
        <v/>
      </c>
      <c r="E2445" s="8"/>
      <c r="F2445" s="8" t="str">
        <f>IFERROR(VLOOKUP(C2445,[1]米油调味规格数据!$B:$E,4,FALSE),"")</f>
        <v/>
      </c>
      <c r="G2445" s="8"/>
      <c r="H2445" s="17"/>
      <c r="I2445" s="17"/>
    </row>
    <row r="2446" spans="1:9">
      <c r="A2446" s="8">
        <f t="shared" si="67"/>
        <v>2445</v>
      </c>
      <c r="B2446" s="17"/>
      <c r="C2446" s="16"/>
      <c r="D2446" s="8" t="str">
        <f>IFERROR(VLOOKUP(C2446,[1]米油调味规格数据!$B:$E,3,FALSE),"")</f>
        <v/>
      </c>
      <c r="E2446" s="8"/>
      <c r="F2446" s="8" t="str">
        <f>IFERROR(VLOOKUP(C2446,[1]米油调味规格数据!$B:$E,4,FALSE),"")</f>
        <v/>
      </c>
      <c r="G2446" s="8"/>
      <c r="H2446" s="17"/>
      <c r="I2446" s="17"/>
    </row>
    <row r="2447" spans="1:9">
      <c r="A2447" s="8">
        <f t="shared" si="67"/>
        <v>2446</v>
      </c>
      <c r="B2447" s="17"/>
      <c r="C2447" s="16"/>
      <c r="D2447" s="8" t="str">
        <f>IFERROR(VLOOKUP(C2447,[1]米油调味规格数据!$B:$E,3,FALSE),"")</f>
        <v/>
      </c>
      <c r="E2447" s="8"/>
      <c r="F2447" s="8" t="str">
        <f>IFERROR(VLOOKUP(C2447,[1]米油调味规格数据!$B:$E,4,FALSE),"")</f>
        <v/>
      </c>
      <c r="G2447" s="8"/>
      <c r="H2447" s="17"/>
      <c r="I2447" s="17"/>
    </row>
    <row r="2448" spans="1:9">
      <c r="A2448" s="8">
        <f t="shared" si="67"/>
        <v>2447</v>
      </c>
      <c r="B2448" s="17"/>
      <c r="C2448" s="16"/>
      <c r="D2448" s="8" t="str">
        <f>IFERROR(VLOOKUP(C2448,[1]米油调味规格数据!$B:$E,3,FALSE),"")</f>
        <v/>
      </c>
      <c r="E2448" s="8"/>
      <c r="F2448" s="8" t="str">
        <f>IFERROR(VLOOKUP(C2448,[1]米油调味规格数据!$B:$E,4,FALSE),"")</f>
        <v/>
      </c>
      <c r="G2448" s="8"/>
      <c r="H2448" s="17"/>
      <c r="I2448" s="17"/>
    </row>
    <row r="2688" spans="1:1">
      <c r="A2688" s="20"/>
    </row>
    <row r="2690" spans="4:6">
      <c r="D2690" s="10">
        <v>45809</v>
      </c>
      <c r="F2690" s="10">
        <v>45930</v>
      </c>
    </row>
    <row r="2878" spans="3:3">
      <c r="C2878" s="12" t="s">
        <v>121</v>
      </c>
    </row>
  </sheetData>
  <dataValidations count="1">
    <dataValidation type="list" allowBlank="1" showInputMessage="1" showErrorMessage="1" sqref="C2:C2448">
      <formula1>产品数据!$B:$B</formula1>
    </dataValidation>
  </dataValidation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39"/>
  <sheetViews>
    <sheetView topLeftCell="A1290" workbookViewId="0">
      <selection activeCell="B1288" sqref="B1288:B1297"/>
    </sheetView>
  </sheetViews>
  <sheetFormatPr defaultColWidth="9" defaultRowHeight="14.4" outlineLevelCol="6"/>
  <cols>
    <col min="1" max="1" width="4.87962962962963" style="1" customWidth="1"/>
    <col min="2" max="2" width="18.0092592592593" style="2" customWidth="1"/>
    <col min="3" max="3" width="41.5" style="3" customWidth="1"/>
    <col min="4" max="4" width="26" style="3" customWidth="1"/>
    <col min="5" max="5" width="7.5" style="1" customWidth="1"/>
    <col min="6" max="6" width="7.5" style="3" customWidth="1"/>
    <col min="7" max="7" width="9.33333333333333" style="4" customWidth="1"/>
  </cols>
  <sheetData>
    <row r="1" spans="1:7">
      <c r="A1" s="5" t="s">
        <v>1</v>
      </c>
      <c r="B1" s="5" t="s">
        <v>122</v>
      </c>
      <c r="C1" s="6" t="s">
        <v>123</v>
      </c>
      <c r="D1" s="6" t="s">
        <v>65</v>
      </c>
      <c r="E1" s="6" t="s">
        <v>117</v>
      </c>
      <c r="F1" s="7" t="s">
        <v>3</v>
      </c>
      <c r="G1" s="6" t="s">
        <v>124</v>
      </c>
    </row>
    <row r="2" spans="1:7">
      <c r="A2" s="6">
        <f t="shared" ref="A2:A65" si="0">ROW()-1</f>
        <v>1</v>
      </c>
      <c r="B2" s="5">
        <v>46026</v>
      </c>
      <c r="C2" s="7" t="s">
        <v>41</v>
      </c>
      <c r="D2" s="8" t="str">
        <f>IFERROR(VLOOKUP(C2,产品数据!$B:$D,2,FALSE),"")</f>
        <v>5l/*4桶/箱</v>
      </c>
      <c r="E2" s="8">
        <v>4</v>
      </c>
      <c r="F2" s="8" t="str">
        <f>IFERROR(VLOOKUP(C2,产品数据!$B:$D,3,FALSE),"")</f>
        <v>桶</v>
      </c>
      <c r="G2" s="6" t="s">
        <v>125</v>
      </c>
    </row>
    <row r="3" spans="1:7">
      <c r="A3" s="6">
        <f t="shared" si="0"/>
        <v>2</v>
      </c>
      <c r="B3" s="5">
        <v>46026</v>
      </c>
      <c r="C3" s="7" t="s">
        <v>42</v>
      </c>
      <c r="D3" s="8" t="str">
        <f>IFERROR(VLOOKUP(C3,产品数据!$B:$D,2,FALSE),"")</f>
        <v>1.68L*6壶</v>
      </c>
      <c r="E3" s="8">
        <v>2</v>
      </c>
      <c r="F3" s="8" t="str">
        <f>IFERROR(VLOOKUP(C3,产品数据!$B:$D,3,FALSE),"")</f>
        <v>壶</v>
      </c>
      <c r="G3" s="6" t="s">
        <v>125</v>
      </c>
    </row>
    <row r="4" spans="1:7">
      <c r="A4" s="6">
        <f t="shared" si="0"/>
        <v>3</v>
      </c>
      <c r="B4" s="5">
        <v>46026</v>
      </c>
      <c r="C4" s="7" t="s">
        <v>57</v>
      </c>
      <c r="D4" s="8" t="str">
        <f>IFERROR(VLOOKUP(C4,产品数据!$B:$D,2,FALSE),"")</f>
        <v>400g*25包/箱</v>
      </c>
      <c r="E4" s="8">
        <v>2</v>
      </c>
      <c r="F4" s="8" t="str">
        <f>IFERROR(VLOOKUP(C4,产品数据!$B:$D,3,FALSE),"")</f>
        <v>包</v>
      </c>
      <c r="G4" s="6" t="s">
        <v>125</v>
      </c>
    </row>
    <row r="5" spans="1:7">
      <c r="A5" s="6">
        <f t="shared" si="0"/>
        <v>4</v>
      </c>
      <c r="B5" s="5">
        <v>46026</v>
      </c>
      <c r="C5" s="7" t="s">
        <v>54</v>
      </c>
      <c r="D5" s="8" t="str">
        <f>IFERROR(VLOOKUP(C5,产品数据!$B:$D,2,FALSE),"")</f>
        <v>1kg*6瓶/箱</v>
      </c>
      <c r="E5" s="8">
        <v>1</v>
      </c>
      <c r="F5" s="8" t="str">
        <f>IFERROR(VLOOKUP(C5,产品数据!$B:$D,3,FALSE),"")</f>
        <v>瓶</v>
      </c>
      <c r="G5" s="6" t="s">
        <v>125</v>
      </c>
    </row>
    <row r="6" spans="1:7">
      <c r="A6" s="6">
        <f t="shared" si="0"/>
        <v>5</v>
      </c>
      <c r="B6" s="5">
        <v>46026</v>
      </c>
      <c r="C6" s="7" t="s">
        <v>52</v>
      </c>
      <c r="D6" s="8" t="str">
        <f>IFERROR(VLOOKUP(C6,产品数据!$B:$D,2,FALSE),"")</f>
        <v>705ml/瓶</v>
      </c>
      <c r="E6" s="8">
        <v>1</v>
      </c>
      <c r="F6" s="8" t="str">
        <f>IFERROR(VLOOKUP(C6,产品数据!$B:$D,3,FALSE),"")</f>
        <v>瓶</v>
      </c>
      <c r="G6" s="6" t="s">
        <v>125</v>
      </c>
    </row>
    <row r="7" spans="1:7">
      <c r="A7" s="6">
        <f t="shared" si="0"/>
        <v>6</v>
      </c>
      <c r="B7" s="5">
        <v>46026</v>
      </c>
      <c r="C7" s="7" t="s">
        <v>63</v>
      </c>
      <c r="D7" s="8" t="str">
        <f>IFERROR(VLOOKUP(C7,产品数据!$B:$D,2,FALSE),"")</f>
        <v>280g/包</v>
      </c>
      <c r="E7" s="8">
        <v>6</v>
      </c>
      <c r="F7" s="8" t="str">
        <f>IFERROR(VLOOKUP(C7,产品数据!$B:$D,3,FALSE),"")</f>
        <v>包</v>
      </c>
      <c r="G7" s="6" t="s">
        <v>125</v>
      </c>
    </row>
    <row r="8" spans="1:7">
      <c r="A8" s="6">
        <f t="shared" si="0"/>
        <v>7</v>
      </c>
      <c r="B8" s="5">
        <v>46026</v>
      </c>
      <c r="C8" s="7" t="s">
        <v>56</v>
      </c>
      <c r="D8" s="8" t="str">
        <f>IFERROR(VLOOKUP(C8,产品数据!$B:$D,2,FALSE),"")</f>
        <v>178g*50包/箱</v>
      </c>
      <c r="E8" s="8">
        <v>6</v>
      </c>
      <c r="F8" s="8" t="str">
        <f>IFERROR(VLOOKUP(C8,产品数据!$B:$D,3,FALSE),"")</f>
        <v>包</v>
      </c>
      <c r="G8" s="6" t="s">
        <v>125</v>
      </c>
    </row>
    <row r="9" spans="1:7">
      <c r="A9" s="6">
        <f t="shared" si="0"/>
        <v>8</v>
      </c>
      <c r="B9" s="5">
        <v>46026</v>
      </c>
      <c r="C9" s="7" t="s">
        <v>41</v>
      </c>
      <c r="D9" s="8" t="str">
        <f>IFERROR(VLOOKUP(C9,产品数据!$B:$D,2,FALSE),"")</f>
        <v>5l/*4桶/箱</v>
      </c>
      <c r="E9" s="8">
        <v>2</v>
      </c>
      <c r="F9" s="8" t="str">
        <f>IFERROR(VLOOKUP(C9,产品数据!$B:$D,3,FALSE),"")</f>
        <v>桶</v>
      </c>
      <c r="G9" s="6" t="s">
        <v>126</v>
      </c>
    </row>
    <row r="10" spans="1:7">
      <c r="A10" s="6">
        <f t="shared" si="0"/>
        <v>9</v>
      </c>
      <c r="B10" s="5">
        <v>46026</v>
      </c>
      <c r="C10" s="7" t="s">
        <v>57</v>
      </c>
      <c r="D10" s="8" t="str">
        <f>IFERROR(VLOOKUP(C10,产品数据!$B:$D,2,FALSE),"")</f>
        <v>400g*25包/箱</v>
      </c>
      <c r="E10" s="8">
        <v>2</v>
      </c>
      <c r="F10" s="8" t="str">
        <f>IFERROR(VLOOKUP(C10,产品数据!$B:$D,3,FALSE),"")</f>
        <v>包</v>
      </c>
      <c r="G10" s="6" t="s">
        <v>126</v>
      </c>
    </row>
    <row r="11" spans="1:7">
      <c r="A11" s="6">
        <f t="shared" si="0"/>
        <v>10</v>
      </c>
      <c r="B11" s="5">
        <v>46026</v>
      </c>
      <c r="C11" s="7" t="s">
        <v>63</v>
      </c>
      <c r="D11" s="8" t="str">
        <f>IFERROR(VLOOKUP(C11,产品数据!$B:$D,2,FALSE),"")</f>
        <v>280g/包</v>
      </c>
      <c r="E11" s="8">
        <v>2</v>
      </c>
      <c r="F11" s="8" t="str">
        <f>IFERROR(VLOOKUP(C11,产品数据!$B:$D,3,FALSE),"")</f>
        <v>包</v>
      </c>
      <c r="G11" s="6" t="s">
        <v>126</v>
      </c>
    </row>
    <row r="12" spans="1:7">
      <c r="A12" s="6">
        <f t="shared" si="0"/>
        <v>11</v>
      </c>
      <c r="B12" s="5">
        <v>46026</v>
      </c>
      <c r="C12" s="7" t="s">
        <v>56</v>
      </c>
      <c r="D12" s="8" t="str">
        <f>IFERROR(VLOOKUP(C12,产品数据!$B:$D,2,FALSE),"")</f>
        <v>178g*50包/箱</v>
      </c>
      <c r="E12" s="8">
        <v>10</v>
      </c>
      <c r="F12" s="8" t="str">
        <f>IFERROR(VLOOKUP(C12,产品数据!$B:$D,3,FALSE),"")</f>
        <v>包</v>
      </c>
      <c r="G12" s="6" t="s">
        <v>126</v>
      </c>
    </row>
    <row r="13" spans="1:7">
      <c r="A13" s="6">
        <f t="shared" si="0"/>
        <v>12</v>
      </c>
      <c r="B13" s="5">
        <v>46026</v>
      </c>
      <c r="C13" s="7" t="s">
        <v>39</v>
      </c>
      <c r="D13" s="8" t="str">
        <f>IFERROR(VLOOKUP(C13,产品数据!$B:$D,2,FALSE),"")</f>
        <v>10千克/袋</v>
      </c>
      <c r="E13" s="8">
        <v>2</v>
      </c>
      <c r="F13" s="8" t="str">
        <f>IFERROR(VLOOKUP(C13,产品数据!$B:$D,3,FALSE),"")</f>
        <v>袋</v>
      </c>
      <c r="G13" s="6" t="s">
        <v>127</v>
      </c>
    </row>
    <row r="14" spans="1:7">
      <c r="A14" s="6">
        <f t="shared" si="0"/>
        <v>13</v>
      </c>
      <c r="B14" s="5">
        <v>46026</v>
      </c>
      <c r="C14" s="7" t="s">
        <v>40</v>
      </c>
      <c r="D14" s="8" t="str">
        <f>IFERROR(VLOOKUP(C14,产品数据!$B:$D,2,FALSE),"")</f>
        <v>10kg/包</v>
      </c>
      <c r="E14" s="8">
        <v>3</v>
      </c>
      <c r="F14" s="8" t="str">
        <f>IFERROR(VLOOKUP(C14,产品数据!$B:$D,3,FALSE),"")</f>
        <v>包</v>
      </c>
      <c r="G14" s="6" t="s">
        <v>128</v>
      </c>
    </row>
    <row r="15" spans="1:7">
      <c r="A15" s="6">
        <f t="shared" si="0"/>
        <v>14</v>
      </c>
      <c r="B15" s="5">
        <v>46026</v>
      </c>
      <c r="C15" s="7" t="s">
        <v>48</v>
      </c>
      <c r="D15" s="8" t="str">
        <f>IFERROR(VLOOKUP(C15,产品数据!$B:$D,2,FALSE),"")</f>
        <v>500克/瓶*24瓶/箱</v>
      </c>
      <c r="E15" s="8">
        <v>2</v>
      </c>
      <c r="F15" s="8" t="str">
        <f>IFERROR(VLOOKUP(C15,产品数据!$B:$D,3,FALSE),"")</f>
        <v>瓶</v>
      </c>
      <c r="G15" s="6" t="s">
        <v>125</v>
      </c>
    </row>
    <row r="16" spans="1:7">
      <c r="A16" s="6">
        <f t="shared" si="0"/>
        <v>15</v>
      </c>
      <c r="B16" s="5">
        <v>46027</v>
      </c>
      <c r="C16" s="7" t="s">
        <v>41</v>
      </c>
      <c r="D16" s="8" t="str">
        <f>IFERROR(VLOOKUP(C16,产品数据!$B:$D,2,FALSE),"")</f>
        <v>5l/*4桶/箱</v>
      </c>
      <c r="E16" s="8">
        <v>3</v>
      </c>
      <c r="F16" s="8" t="str">
        <f>IFERROR(VLOOKUP(C16,产品数据!$B:$D,3,FALSE),"")</f>
        <v>桶</v>
      </c>
      <c r="G16" s="6" t="s">
        <v>125</v>
      </c>
    </row>
    <row r="17" spans="1:7">
      <c r="A17" s="6">
        <f t="shared" si="0"/>
        <v>16</v>
      </c>
      <c r="B17" s="5">
        <v>46027</v>
      </c>
      <c r="C17" s="7" t="s">
        <v>43</v>
      </c>
      <c r="D17" s="8" t="str">
        <f>IFERROR(VLOOKUP(C17,产品数据!$B:$D,2,FALSE),"")</f>
        <v>1.9升/瓶*6瓶/箱</v>
      </c>
      <c r="E17" s="8">
        <v>1</v>
      </c>
      <c r="F17" s="8" t="str">
        <f>IFERROR(VLOOKUP(C17,产品数据!$B:$D,3,FALSE),"")</f>
        <v>瓶</v>
      </c>
      <c r="G17" s="6" t="s">
        <v>125</v>
      </c>
    </row>
    <row r="18" spans="1:7">
      <c r="A18" s="6">
        <f t="shared" si="0"/>
        <v>17</v>
      </c>
      <c r="B18" s="5">
        <v>46027</v>
      </c>
      <c r="C18" s="7" t="s">
        <v>50</v>
      </c>
      <c r="D18" s="8" t="str">
        <f>IFERROR(VLOOKUP(C18,产品数据!$B:$D,2,FALSE),"")</f>
        <v>2kg/包*6包/箱</v>
      </c>
      <c r="E18" s="8">
        <v>2</v>
      </c>
      <c r="F18" s="8" t="str">
        <f>IFERROR(VLOOKUP(C18,产品数据!$B:$D,3,FALSE),"")</f>
        <v>包</v>
      </c>
      <c r="G18" s="6" t="s">
        <v>125</v>
      </c>
    </row>
    <row r="19" spans="1:7">
      <c r="A19" s="6">
        <f t="shared" si="0"/>
        <v>18</v>
      </c>
      <c r="B19" s="5">
        <v>46027</v>
      </c>
      <c r="C19" s="7" t="s">
        <v>57</v>
      </c>
      <c r="D19" s="8" t="str">
        <f>IFERROR(VLOOKUP(C19,产品数据!$B:$D,2,FALSE),"")</f>
        <v>400g*25包/箱</v>
      </c>
      <c r="E19" s="8">
        <v>1</v>
      </c>
      <c r="F19" s="8" t="str">
        <f>IFERROR(VLOOKUP(C19,产品数据!$B:$D,3,FALSE),"")</f>
        <v>包</v>
      </c>
      <c r="G19" s="6" t="s">
        <v>125</v>
      </c>
    </row>
    <row r="20" spans="1:7">
      <c r="A20" s="6">
        <f t="shared" si="0"/>
        <v>19</v>
      </c>
      <c r="B20" s="5">
        <v>46027</v>
      </c>
      <c r="C20" s="7" t="s">
        <v>47</v>
      </c>
      <c r="D20" s="8" t="str">
        <f>IFERROR(VLOOKUP(C20,产品数据!$B:$D,2,FALSE),"")</f>
        <v>500克/瓶*24瓶/箱</v>
      </c>
      <c r="E20" s="8">
        <v>1</v>
      </c>
      <c r="F20" s="8" t="str">
        <f>IFERROR(VLOOKUP(C20,产品数据!$B:$D,3,FALSE),"")</f>
        <v>瓶</v>
      </c>
      <c r="G20" s="6" t="s">
        <v>125</v>
      </c>
    </row>
    <row r="21" spans="1:7">
      <c r="A21" s="6">
        <f t="shared" si="0"/>
        <v>20</v>
      </c>
      <c r="B21" s="5">
        <v>46027</v>
      </c>
      <c r="C21" s="7" t="s">
        <v>48</v>
      </c>
      <c r="D21" s="8" t="str">
        <f>IFERROR(VLOOKUP(C21,产品数据!$B:$D,2,FALSE),"")</f>
        <v>500克/瓶*24瓶/箱</v>
      </c>
      <c r="E21" s="8">
        <v>1</v>
      </c>
      <c r="F21" s="8" t="str">
        <f>IFERROR(VLOOKUP(C21,产品数据!$B:$D,3,FALSE),"")</f>
        <v>瓶</v>
      </c>
      <c r="G21" s="6" t="s">
        <v>125</v>
      </c>
    </row>
    <row r="22" spans="1:7">
      <c r="A22" s="6">
        <f t="shared" si="0"/>
        <v>21</v>
      </c>
      <c r="B22" s="5">
        <v>46027</v>
      </c>
      <c r="C22" s="7" t="s">
        <v>60</v>
      </c>
      <c r="D22" s="8" t="str">
        <f>IFERROR(VLOOKUP(C22,产品数据!$B:$D,2,FALSE),"")</f>
        <v>150克/包</v>
      </c>
      <c r="E22" s="8">
        <v>2</v>
      </c>
      <c r="F22" s="8" t="str">
        <f>IFERROR(VLOOKUP(C22,产品数据!$B:$D,3,FALSE),"")</f>
        <v>包</v>
      </c>
      <c r="G22" s="6" t="s">
        <v>125</v>
      </c>
    </row>
    <row r="23" spans="1:7">
      <c r="A23" s="6">
        <f t="shared" si="0"/>
        <v>22</v>
      </c>
      <c r="B23" s="5">
        <v>46027</v>
      </c>
      <c r="C23" s="7" t="s">
        <v>59</v>
      </c>
      <c r="D23" s="8" t="str">
        <f>IFERROR(VLOOKUP(C23,产品数据!$B:$D,2,FALSE),"")</f>
        <v>102克/包</v>
      </c>
      <c r="E23" s="8">
        <v>1</v>
      </c>
      <c r="F23" s="8" t="str">
        <f>IFERROR(VLOOKUP(C23,产品数据!$B:$D,3,FALSE),"")</f>
        <v>包</v>
      </c>
      <c r="G23" s="6" t="s">
        <v>125</v>
      </c>
    </row>
    <row r="24" spans="1:7">
      <c r="A24" s="6">
        <f t="shared" si="0"/>
        <v>23</v>
      </c>
      <c r="B24" s="5">
        <v>46027</v>
      </c>
      <c r="C24" s="7" t="s">
        <v>58</v>
      </c>
      <c r="D24" s="8" t="str">
        <f>IFERROR(VLOOKUP(C24,产品数据!$B:$D,2,FALSE),"")</f>
        <v>200克/包</v>
      </c>
      <c r="E24" s="8">
        <v>1</v>
      </c>
      <c r="F24" s="8" t="str">
        <f>IFERROR(VLOOKUP(C24,产品数据!$B:$D,3,FALSE),"")</f>
        <v>包</v>
      </c>
      <c r="G24" s="6" t="s">
        <v>125</v>
      </c>
    </row>
    <row r="25" spans="1:7">
      <c r="A25" s="6">
        <f t="shared" si="0"/>
        <v>24</v>
      </c>
      <c r="B25" s="5">
        <v>46027</v>
      </c>
      <c r="C25" s="7" t="s">
        <v>40</v>
      </c>
      <c r="D25" s="8" t="str">
        <f>IFERROR(VLOOKUP(C25,产品数据!$B:$D,2,FALSE),"")</f>
        <v>10kg/包</v>
      </c>
      <c r="E25" s="8">
        <v>3</v>
      </c>
      <c r="F25" s="8" t="str">
        <f>IFERROR(VLOOKUP(C25,产品数据!$B:$D,3,FALSE),"")</f>
        <v>包</v>
      </c>
      <c r="G25" s="6" t="s">
        <v>128</v>
      </c>
    </row>
    <row r="26" spans="1:7">
      <c r="A26" s="6">
        <f t="shared" si="0"/>
        <v>25</v>
      </c>
      <c r="B26" s="5">
        <v>46027</v>
      </c>
      <c r="C26" s="7" t="s">
        <v>39</v>
      </c>
      <c r="D26" s="8" t="str">
        <f>IFERROR(VLOOKUP(C26,产品数据!$B:$D,2,FALSE),"")</f>
        <v>10千克/袋</v>
      </c>
      <c r="E26" s="8">
        <v>2</v>
      </c>
      <c r="F26" s="8" t="str">
        <f>IFERROR(VLOOKUP(C26,产品数据!$B:$D,3,FALSE),"")</f>
        <v>袋</v>
      </c>
      <c r="G26" s="6" t="s">
        <v>127</v>
      </c>
    </row>
    <row r="27" spans="1:7">
      <c r="A27" s="6">
        <f t="shared" si="0"/>
        <v>26</v>
      </c>
      <c r="B27" s="5">
        <v>46028</v>
      </c>
      <c r="C27" s="7" t="s">
        <v>41</v>
      </c>
      <c r="D27" s="8" t="str">
        <f>IFERROR(VLOOKUP(C27,产品数据!$B:$D,2,FALSE),"")</f>
        <v>5l/*4桶/箱</v>
      </c>
      <c r="E27" s="8">
        <v>3</v>
      </c>
      <c r="F27" s="8" t="str">
        <f>IFERROR(VLOOKUP(C27,产品数据!$B:$D,3,FALSE),"")</f>
        <v>桶</v>
      </c>
      <c r="G27" s="6" t="s">
        <v>125</v>
      </c>
    </row>
    <row r="28" spans="1:7">
      <c r="A28" s="6">
        <f t="shared" si="0"/>
        <v>27</v>
      </c>
      <c r="B28" s="5">
        <v>46028</v>
      </c>
      <c r="C28" s="7" t="s">
        <v>42</v>
      </c>
      <c r="D28" s="8" t="str">
        <f>IFERROR(VLOOKUP(C28,产品数据!$B:$D,2,FALSE),"")</f>
        <v>1.68L*6壶</v>
      </c>
      <c r="E28" s="8">
        <v>2</v>
      </c>
      <c r="F28" s="8" t="str">
        <f>IFERROR(VLOOKUP(C28,产品数据!$B:$D,3,FALSE),"")</f>
        <v>壶</v>
      </c>
      <c r="G28" s="6" t="s">
        <v>125</v>
      </c>
    </row>
    <row r="29" spans="1:7">
      <c r="A29" s="6">
        <f t="shared" si="0"/>
        <v>28</v>
      </c>
      <c r="B29" s="5">
        <v>46028</v>
      </c>
      <c r="C29" s="7" t="s">
        <v>57</v>
      </c>
      <c r="D29" s="8" t="str">
        <f>IFERROR(VLOOKUP(C29,产品数据!$B:$D,2,FALSE),"")</f>
        <v>400g*25包/箱</v>
      </c>
      <c r="E29" s="8">
        <v>2</v>
      </c>
      <c r="F29" s="8" t="str">
        <f>IFERROR(VLOOKUP(C29,产品数据!$B:$D,3,FALSE),"")</f>
        <v>包</v>
      </c>
      <c r="G29" s="6" t="s">
        <v>125</v>
      </c>
    </row>
    <row r="30" spans="1:7">
      <c r="A30" s="6">
        <f t="shared" si="0"/>
        <v>29</v>
      </c>
      <c r="B30" s="5">
        <v>46028</v>
      </c>
      <c r="C30" s="7" t="s">
        <v>54</v>
      </c>
      <c r="D30" s="8" t="str">
        <f>IFERROR(VLOOKUP(C30,产品数据!$B:$D,2,FALSE),"")</f>
        <v>1kg*6瓶/箱</v>
      </c>
      <c r="E30" s="8">
        <v>1</v>
      </c>
      <c r="F30" s="8" t="str">
        <f>IFERROR(VLOOKUP(C30,产品数据!$B:$D,3,FALSE),"")</f>
        <v>瓶</v>
      </c>
      <c r="G30" s="6" t="s">
        <v>125</v>
      </c>
    </row>
    <row r="31" spans="1:7">
      <c r="A31" s="6">
        <f t="shared" si="0"/>
        <v>30</v>
      </c>
      <c r="B31" s="5">
        <v>46028</v>
      </c>
      <c r="C31" s="7" t="s">
        <v>53</v>
      </c>
      <c r="D31" s="8" t="str">
        <f>IFERROR(VLOOKUP(C31,产品数据!$B:$D,2,FALSE),"")</f>
        <v>2.5L*6桶/箱</v>
      </c>
      <c r="E31" s="8">
        <v>1</v>
      </c>
      <c r="F31" s="8" t="str">
        <f>IFERROR(VLOOKUP(C31,产品数据!$B:$D,3,FALSE),"")</f>
        <v>桶</v>
      </c>
      <c r="G31" s="6" t="s">
        <v>125</v>
      </c>
    </row>
    <row r="32" spans="1:7">
      <c r="A32" s="6">
        <f t="shared" si="0"/>
        <v>31</v>
      </c>
      <c r="B32" s="5">
        <v>46028</v>
      </c>
      <c r="C32" s="7" t="s">
        <v>63</v>
      </c>
      <c r="D32" s="8" t="str">
        <f>IFERROR(VLOOKUP(C32,产品数据!$B:$D,2,FALSE),"")</f>
        <v>280g/包</v>
      </c>
      <c r="E32" s="8">
        <v>6</v>
      </c>
      <c r="F32" s="8" t="str">
        <f>IFERROR(VLOOKUP(C32,产品数据!$B:$D,3,FALSE),"")</f>
        <v>包</v>
      </c>
      <c r="G32" s="6" t="s">
        <v>125</v>
      </c>
    </row>
    <row r="33" spans="1:7">
      <c r="A33" s="6">
        <f t="shared" si="0"/>
        <v>32</v>
      </c>
      <c r="B33" s="5">
        <v>46028</v>
      </c>
      <c r="C33" s="7" t="s">
        <v>50</v>
      </c>
      <c r="D33" s="8" t="str">
        <f>IFERROR(VLOOKUP(C33,产品数据!$B:$D,2,FALSE),"")</f>
        <v>2kg/包*6包/箱</v>
      </c>
      <c r="E33" s="8">
        <v>1</v>
      </c>
      <c r="F33" s="8" t="str">
        <f>IFERROR(VLOOKUP(C33,产品数据!$B:$D,3,FALSE),"")</f>
        <v>包</v>
      </c>
      <c r="G33" s="6" t="s">
        <v>125</v>
      </c>
    </row>
    <row r="34" spans="1:7">
      <c r="A34" s="6">
        <f t="shared" si="0"/>
        <v>33</v>
      </c>
      <c r="B34" s="5">
        <v>46028</v>
      </c>
      <c r="C34" s="7" t="s">
        <v>45</v>
      </c>
      <c r="D34" s="8" t="str">
        <f>IFERROR(VLOOKUP(C34,产品数据!$B:$D,2,FALSE),"")</f>
        <v>1.9kg/瓶</v>
      </c>
      <c r="E34" s="8">
        <v>1</v>
      </c>
      <c r="F34" s="8" t="str">
        <f>IFERROR(VLOOKUP(C34,产品数据!$B:$D,3,FALSE),"")</f>
        <v>瓶</v>
      </c>
      <c r="G34" s="6" t="s">
        <v>125</v>
      </c>
    </row>
    <row r="35" spans="1:7">
      <c r="A35" s="6">
        <f t="shared" si="0"/>
        <v>34</v>
      </c>
      <c r="B35" s="5">
        <v>46028</v>
      </c>
      <c r="C35" s="7" t="s">
        <v>61</v>
      </c>
      <c r="D35" s="8" t="str">
        <f>IFERROR(VLOOKUP(C35,产品数据!$B:$D,2,FALSE),"")</f>
        <v>2.5kg/包</v>
      </c>
      <c r="E35" s="8">
        <v>1</v>
      </c>
      <c r="F35" s="8" t="str">
        <f>IFERROR(VLOOKUP(C35,产品数据!$B:$D,3,FALSE),"")</f>
        <v>包</v>
      </c>
      <c r="G35" s="6" t="s">
        <v>125</v>
      </c>
    </row>
    <row r="36" spans="1:7">
      <c r="A36" s="6">
        <f t="shared" si="0"/>
        <v>35</v>
      </c>
      <c r="B36" s="5">
        <v>46028</v>
      </c>
      <c r="C36" s="7" t="s">
        <v>52</v>
      </c>
      <c r="D36" s="8" t="str">
        <f>IFERROR(VLOOKUP(C36,产品数据!$B:$D,2,FALSE),"")</f>
        <v>705ml/瓶</v>
      </c>
      <c r="E36" s="8">
        <v>1</v>
      </c>
      <c r="F36" s="8" t="str">
        <f>IFERROR(VLOOKUP(C36,产品数据!$B:$D,3,FALSE),"")</f>
        <v>瓶</v>
      </c>
      <c r="G36" s="6" t="s">
        <v>125</v>
      </c>
    </row>
    <row r="37" spans="1:7">
      <c r="A37" s="6">
        <f t="shared" si="0"/>
        <v>36</v>
      </c>
      <c r="B37" s="5">
        <v>46028</v>
      </c>
      <c r="C37" s="7" t="s">
        <v>56</v>
      </c>
      <c r="D37" s="8" t="str">
        <f>IFERROR(VLOOKUP(C37,产品数据!$B:$D,2,FALSE),"")</f>
        <v>178g*50包/箱</v>
      </c>
      <c r="E37" s="8">
        <v>4</v>
      </c>
      <c r="F37" s="8" t="str">
        <f>IFERROR(VLOOKUP(C37,产品数据!$B:$D,3,FALSE),"")</f>
        <v>包</v>
      </c>
      <c r="G37" s="6" t="s">
        <v>129</v>
      </c>
    </row>
    <row r="38" spans="1:7">
      <c r="A38" s="6">
        <f t="shared" si="0"/>
        <v>37</v>
      </c>
      <c r="B38" s="5">
        <v>46028</v>
      </c>
      <c r="C38" s="7" t="s">
        <v>44</v>
      </c>
      <c r="D38" s="8" t="str">
        <f>IFERROR(VLOOKUP(C38,产品数据!$B:$D,2,FALSE),"")</f>
        <v>1.9升/瓶*6瓶/箱</v>
      </c>
      <c r="E38" s="8">
        <v>1</v>
      </c>
      <c r="F38" s="8" t="str">
        <f>IFERROR(VLOOKUP(C38,产品数据!$B:$D,3,FALSE),"")</f>
        <v>瓶</v>
      </c>
      <c r="G38" s="6" t="s">
        <v>128</v>
      </c>
    </row>
    <row r="39" spans="1:7">
      <c r="A39" s="6">
        <f t="shared" si="0"/>
        <v>38</v>
      </c>
      <c r="B39" s="5">
        <v>46028</v>
      </c>
      <c r="C39" s="7" t="s">
        <v>39</v>
      </c>
      <c r="D39" s="8" t="str">
        <f>IFERROR(VLOOKUP(C39,产品数据!$B:$D,2,FALSE),"")</f>
        <v>10千克/袋</v>
      </c>
      <c r="E39" s="8">
        <v>2</v>
      </c>
      <c r="F39" s="8" t="str">
        <f>IFERROR(VLOOKUP(C39,产品数据!$B:$D,3,FALSE),"")</f>
        <v>袋</v>
      </c>
      <c r="G39" s="6" t="s">
        <v>127</v>
      </c>
    </row>
    <row r="40" spans="1:7">
      <c r="A40" s="6">
        <f t="shared" si="0"/>
        <v>39</v>
      </c>
      <c r="B40" s="5">
        <v>46029</v>
      </c>
      <c r="C40" s="7" t="s">
        <v>41</v>
      </c>
      <c r="D40" s="8" t="str">
        <f>IFERROR(VLOOKUP(C40,产品数据!$B:$D,2,FALSE),"")</f>
        <v>5l/*4桶/箱</v>
      </c>
      <c r="E40" s="8">
        <v>3</v>
      </c>
      <c r="F40" s="8" t="str">
        <f>IFERROR(VLOOKUP(C40,产品数据!$B:$D,3,FALSE),"")</f>
        <v>桶</v>
      </c>
      <c r="G40" s="6" t="s">
        <v>125</v>
      </c>
    </row>
    <row r="41" spans="1:7">
      <c r="A41" s="6">
        <f t="shared" si="0"/>
        <v>40</v>
      </c>
      <c r="B41" s="5">
        <v>46029</v>
      </c>
      <c r="C41" s="7" t="s">
        <v>44</v>
      </c>
      <c r="D41" s="8" t="str">
        <f>IFERROR(VLOOKUP(C41,产品数据!$B:$D,2,FALSE),"")</f>
        <v>1.9升/瓶*6瓶/箱</v>
      </c>
      <c r="E41" s="8">
        <v>1</v>
      </c>
      <c r="F41" s="8" t="str">
        <f>IFERROR(VLOOKUP(C41,产品数据!$B:$D,3,FALSE),"")</f>
        <v>瓶</v>
      </c>
      <c r="G41" s="6" t="s">
        <v>125</v>
      </c>
    </row>
    <row r="42" spans="1:7">
      <c r="A42" s="6">
        <f t="shared" si="0"/>
        <v>41</v>
      </c>
      <c r="B42" s="5">
        <v>46029</v>
      </c>
      <c r="C42" s="7" t="s">
        <v>43</v>
      </c>
      <c r="D42" s="8" t="str">
        <f>IFERROR(VLOOKUP(C42,产品数据!$B:$D,2,FALSE),"")</f>
        <v>1.9升/瓶*6瓶/箱</v>
      </c>
      <c r="E42" s="8">
        <v>1</v>
      </c>
      <c r="F42" s="8" t="str">
        <f>IFERROR(VLOOKUP(C42,产品数据!$B:$D,3,FALSE),"")</f>
        <v>瓶</v>
      </c>
      <c r="G42" s="6" t="s">
        <v>125</v>
      </c>
    </row>
    <row r="43" spans="1:7">
      <c r="A43" s="6">
        <f t="shared" si="0"/>
        <v>42</v>
      </c>
      <c r="B43" s="5">
        <v>46029</v>
      </c>
      <c r="C43" s="7" t="s">
        <v>53</v>
      </c>
      <c r="D43" s="8" t="str">
        <f>IFERROR(VLOOKUP(C43,产品数据!$B:$D,2,FALSE),"")</f>
        <v>2.5L*6桶/箱</v>
      </c>
      <c r="E43" s="8">
        <v>1</v>
      </c>
      <c r="F43" s="8" t="str">
        <f>IFERROR(VLOOKUP(C43,产品数据!$B:$D,3,FALSE),"")</f>
        <v>桶</v>
      </c>
      <c r="G43" s="6" t="s">
        <v>125</v>
      </c>
    </row>
    <row r="44" spans="1:7">
      <c r="A44" s="6">
        <f t="shared" si="0"/>
        <v>43</v>
      </c>
      <c r="B44" s="5">
        <v>46029</v>
      </c>
      <c r="C44" s="7" t="s">
        <v>54</v>
      </c>
      <c r="D44" s="8" t="str">
        <f>IFERROR(VLOOKUP(C44,产品数据!$B:$D,2,FALSE),"")</f>
        <v>1kg*6瓶/箱</v>
      </c>
      <c r="E44" s="8">
        <v>1</v>
      </c>
      <c r="F44" s="8" t="str">
        <f>IFERROR(VLOOKUP(C44,产品数据!$B:$D,3,FALSE),"")</f>
        <v>瓶</v>
      </c>
      <c r="G44" s="6" t="s">
        <v>125</v>
      </c>
    </row>
    <row r="45" spans="1:7">
      <c r="A45" s="6">
        <f t="shared" si="0"/>
        <v>44</v>
      </c>
      <c r="B45" s="5">
        <v>46029</v>
      </c>
      <c r="C45" s="7" t="s">
        <v>52</v>
      </c>
      <c r="D45" s="8" t="str">
        <f>IFERROR(VLOOKUP(C45,产品数据!$B:$D,2,FALSE),"")</f>
        <v>705ml/瓶</v>
      </c>
      <c r="E45" s="8">
        <v>1</v>
      </c>
      <c r="F45" s="8" t="str">
        <f>IFERROR(VLOOKUP(C45,产品数据!$B:$D,3,FALSE),"")</f>
        <v>瓶</v>
      </c>
      <c r="G45" s="6" t="s">
        <v>125</v>
      </c>
    </row>
    <row r="46" spans="1:7">
      <c r="A46" s="6">
        <f t="shared" si="0"/>
        <v>45</v>
      </c>
      <c r="B46" s="5">
        <v>46029</v>
      </c>
      <c r="C46" s="7" t="s">
        <v>57</v>
      </c>
      <c r="D46" s="8" t="str">
        <f>IFERROR(VLOOKUP(C46,产品数据!$B:$D,2,FALSE),"")</f>
        <v>400g*25包/箱</v>
      </c>
      <c r="E46" s="8">
        <v>1</v>
      </c>
      <c r="F46" s="8" t="str">
        <f>IFERROR(VLOOKUP(C46,产品数据!$B:$D,3,FALSE),"")</f>
        <v>包</v>
      </c>
      <c r="G46" s="6" t="s">
        <v>125</v>
      </c>
    </row>
    <row r="47" spans="1:7">
      <c r="A47" s="6">
        <f t="shared" si="0"/>
        <v>46</v>
      </c>
      <c r="B47" s="5">
        <v>46029</v>
      </c>
      <c r="C47" s="7" t="s">
        <v>63</v>
      </c>
      <c r="D47" s="8" t="str">
        <f>IFERROR(VLOOKUP(C47,产品数据!$B:$D,2,FALSE),"")</f>
        <v>280g/包</v>
      </c>
      <c r="E47" s="8">
        <v>5</v>
      </c>
      <c r="F47" s="8" t="str">
        <f>IFERROR(VLOOKUP(C47,产品数据!$B:$D,3,FALSE),"")</f>
        <v>包</v>
      </c>
      <c r="G47" s="6" t="s">
        <v>125</v>
      </c>
    </row>
    <row r="48" spans="1:7">
      <c r="A48" s="6">
        <f t="shared" si="0"/>
        <v>47</v>
      </c>
      <c r="B48" s="5">
        <v>46029</v>
      </c>
      <c r="C48" s="7" t="s">
        <v>39</v>
      </c>
      <c r="D48" s="8" t="str">
        <f>IFERROR(VLOOKUP(C48,产品数据!$B:$D,2,FALSE),"")</f>
        <v>10千克/袋</v>
      </c>
      <c r="E48" s="8">
        <v>2</v>
      </c>
      <c r="F48" s="8" t="str">
        <f>IFERROR(VLOOKUP(C48,产品数据!$B:$D,3,FALSE),"")</f>
        <v>袋</v>
      </c>
      <c r="G48" s="6" t="s">
        <v>127</v>
      </c>
    </row>
    <row r="49" spans="1:7">
      <c r="A49" s="6">
        <f t="shared" si="0"/>
        <v>48</v>
      </c>
      <c r="B49" s="5">
        <v>46029</v>
      </c>
      <c r="C49" s="7" t="s">
        <v>40</v>
      </c>
      <c r="D49" s="8" t="str">
        <f>IFERROR(VLOOKUP(C49,产品数据!$B:$D,2,FALSE),"")</f>
        <v>10kg/包</v>
      </c>
      <c r="E49" s="8">
        <v>3</v>
      </c>
      <c r="F49" s="8" t="str">
        <f>IFERROR(VLOOKUP(C49,产品数据!$B:$D,3,FALSE),"")</f>
        <v>包</v>
      </c>
      <c r="G49" s="6" t="s">
        <v>128</v>
      </c>
    </row>
    <row r="50" spans="1:7">
      <c r="A50" s="6">
        <f t="shared" si="0"/>
        <v>49</v>
      </c>
      <c r="B50" s="5">
        <v>46030</v>
      </c>
      <c r="C50" s="7" t="s">
        <v>41</v>
      </c>
      <c r="D50" s="8" t="str">
        <f>IFERROR(VLOOKUP(C50,产品数据!$B:$D,2,FALSE),"")</f>
        <v>5l/*4桶/箱</v>
      </c>
      <c r="E50" s="8">
        <v>3</v>
      </c>
      <c r="F50" s="8" t="str">
        <f>IFERROR(VLOOKUP(C50,产品数据!$B:$D,3,FALSE),"")</f>
        <v>桶</v>
      </c>
      <c r="G50" s="6" t="s">
        <v>125</v>
      </c>
    </row>
    <row r="51" spans="1:7">
      <c r="A51" s="6">
        <f t="shared" si="0"/>
        <v>50</v>
      </c>
      <c r="B51" s="5">
        <v>46030</v>
      </c>
      <c r="C51" s="7" t="s">
        <v>42</v>
      </c>
      <c r="D51" s="8" t="str">
        <f>IFERROR(VLOOKUP(C51,产品数据!$B:$D,2,FALSE),"")</f>
        <v>1.68L*6壶</v>
      </c>
      <c r="E51" s="8">
        <v>1</v>
      </c>
      <c r="F51" s="8" t="str">
        <f>IFERROR(VLOOKUP(C51,产品数据!$B:$D,3,FALSE),"")</f>
        <v>壶</v>
      </c>
      <c r="G51" s="6" t="s">
        <v>125</v>
      </c>
    </row>
    <row r="52" spans="1:7">
      <c r="A52" s="6">
        <f t="shared" si="0"/>
        <v>51</v>
      </c>
      <c r="B52" s="5">
        <v>46030</v>
      </c>
      <c r="C52" s="7" t="s">
        <v>53</v>
      </c>
      <c r="D52" s="8" t="str">
        <f>IFERROR(VLOOKUP(C52,产品数据!$B:$D,2,FALSE),"")</f>
        <v>2.5L*6桶/箱</v>
      </c>
      <c r="E52" s="8">
        <v>1</v>
      </c>
      <c r="F52" s="8" t="str">
        <f>IFERROR(VLOOKUP(C52,产品数据!$B:$D,3,FALSE),"")</f>
        <v>桶</v>
      </c>
      <c r="G52" s="6" t="s">
        <v>125</v>
      </c>
    </row>
    <row r="53" spans="1:7">
      <c r="A53" s="6">
        <f t="shared" si="0"/>
        <v>52</v>
      </c>
      <c r="B53" s="5">
        <v>46030</v>
      </c>
      <c r="C53" s="7" t="s">
        <v>57</v>
      </c>
      <c r="D53" s="8" t="str">
        <f>IFERROR(VLOOKUP(C53,产品数据!$B:$D,2,FALSE),"")</f>
        <v>400g*25包/箱</v>
      </c>
      <c r="E53" s="8">
        <v>1</v>
      </c>
      <c r="F53" s="8" t="str">
        <f>IFERROR(VLOOKUP(C53,产品数据!$B:$D,3,FALSE),"")</f>
        <v>包</v>
      </c>
      <c r="G53" s="6" t="s">
        <v>125</v>
      </c>
    </row>
    <row r="54" spans="1:7">
      <c r="A54" s="6">
        <f t="shared" si="0"/>
        <v>53</v>
      </c>
      <c r="B54" s="5">
        <v>46030</v>
      </c>
      <c r="C54" s="7" t="s">
        <v>54</v>
      </c>
      <c r="D54" s="8" t="str">
        <f>IFERROR(VLOOKUP(C54,产品数据!$B:$D,2,FALSE),"")</f>
        <v>1kg*6瓶/箱</v>
      </c>
      <c r="E54" s="8">
        <v>1</v>
      </c>
      <c r="F54" s="8" t="str">
        <f>IFERROR(VLOOKUP(C54,产品数据!$B:$D,3,FALSE),"")</f>
        <v>瓶</v>
      </c>
      <c r="G54" s="6" t="s">
        <v>125</v>
      </c>
    </row>
    <row r="55" spans="1:7">
      <c r="A55" s="6">
        <f t="shared" si="0"/>
        <v>54</v>
      </c>
      <c r="B55" s="5">
        <v>46030</v>
      </c>
      <c r="C55" s="7" t="s">
        <v>52</v>
      </c>
      <c r="D55" s="8" t="str">
        <f>IFERROR(VLOOKUP(C55,产品数据!$B:$D,2,FALSE),"")</f>
        <v>705ml/瓶</v>
      </c>
      <c r="E55" s="8">
        <v>1</v>
      </c>
      <c r="F55" s="8" t="str">
        <f>IFERROR(VLOOKUP(C55,产品数据!$B:$D,3,FALSE),"")</f>
        <v>瓶</v>
      </c>
      <c r="G55" s="6" t="s">
        <v>125</v>
      </c>
    </row>
    <row r="56" spans="1:7">
      <c r="A56" s="6">
        <f t="shared" si="0"/>
        <v>55</v>
      </c>
      <c r="B56" s="5">
        <v>46030</v>
      </c>
      <c r="C56" s="7" t="s">
        <v>41</v>
      </c>
      <c r="D56" s="8" t="str">
        <f>IFERROR(VLOOKUP(C56,产品数据!$B:$D,2,FALSE),"")</f>
        <v>5l/*4桶/箱</v>
      </c>
      <c r="E56" s="8">
        <v>1</v>
      </c>
      <c r="F56" s="8" t="str">
        <f>IFERROR(VLOOKUP(C56,产品数据!$B:$D,3,FALSE),"")</f>
        <v>桶</v>
      </c>
      <c r="G56" s="6" t="s">
        <v>129</v>
      </c>
    </row>
    <row r="57" spans="1:7">
      <c r="A57" s="6">
        <f t="shared" si="0"/>
        <v>56</v>
      </c>
      <c r="B57" s="5">
        <v>46030</v>
      </c>
      <c r="C57" s="7" t="s">
        <v>39</v>
      </c>
      <c r="D57" s="8" t="str">
        <f>IFERROR(VLOOKUP(C57,产品数据!$B:$D,2,FALSE),"")</f>
        <v>10千克/袋</v>
      </c>
      <c r="E57" s="8">
        <v>2</v>
      </c>
      <c r="F57" s="8" t="str">
        <f>IFERROR(VLOOKUP(C57,产品数据!$B:$D,3,FALSE),"")</f>
        <v>袋</v>
      </c>
      <c r="G57" s="6" t="s">
        <v>127</v>
      </c>
    </row>
    <row r="58" spans="1:7">
      <c r="A58" s="6">
        <f t="shared" si="0"/>
        <v>57</v>
      </c>
      <c r="B58" s="5">
        <v>46031</v>
      </c>
      <c r="C58" s="7" t="s">
        <v>41</v>
      </c>
      <c r="D58" s="8" t="str">
        <f>IFERROR(VLOOKUP(C58,产品数据!$B:$D,2,FALSE),"")</f>
        <v>5l/*4桶/箱</v>
      </c>
      <c r="E58" s="8">
        <v>4</v>
      </c>
      <c r="F58" s="8" t="str">
        <f>IFERROR(VLOOKUP(C58,产品数据!$B:$D,3,FALSE),"")</f>
        <v>桶</v>
      </c>
      <c r="G58" s="6" t="s">
        <v>125</v>
      </c>
    </row>
    <row r="59" spans="1:7">
      <c r="A59" s="6">
        <f t="shared" si="0"/>
        <v>58</v>
      </c>
      <c r="B59" s="5">
        <v>46031</v>
      </c>
      <c r="C59" s="7" t="s">
        <v>44</v>
      </c>
      <c r="D59" s="8" t="str">
        <f>IFERROR(VLOOKUP(C59,产品数据!$B:$D,2,FALSE),"")</f>
        <v>1.9升/瓶*6瓶/箱</v>
      </c>
      <c r="E59" s="8">
        <v>1</v>
      </c>
      <c r="F59" s="8" t="str">
        <f>IFERROR(VLOOKUP(C59,产品数据!$B:$D,3,FALSE),"")</f>
        <v>瓶</v>
      </c>
      <c r="G59" s="6" t="s">
        <v>125</v>
      </c>
    </row>
    <row r="60" spans="1:7">
      <c r="A60" s="6">
        <f t="shared" si="0"/>
        <v>59</v>
      </c>
      <c r="B60" s="5">
        <v>46031</v>
      </c>
      <c r="C60" s="7" t="s">
        <v>43</v>
      </c>
      <c r="D60" s="8" t="str">
        <f>IFERROR(VLOOKUP(C60,产品数据!$B:$D,2,FALSE),"")</f>
        <v>1.9升/瓶*6瓶/箱</v>
      </c>
      <c r="E60" s="8">
        <v>1</v>
      </c>
      <c r="F60" s="8" t="str">
        <f>IFERROR(VLOOKUP(C60,产品数据!$B:$D,3,FALSE),"")</f>
        <v>瓶</v>
      </c>
      <c r="G60" s="6" t="s">
        <v>125</v>
      </c>
    </row>
    <row r="61" spans="1:7">
      <c r="A61" s="6">
        <f t="shared" si="0"/>
        <v>60</v>
      </c>
      <c r="B61" s="5">
        <v>46031</v>
      </c>
      <c r="C61" s="7" t="s">
        <v>42</v>
      </c>
      <c r="D61" s="8" t="str">
        <f>IFERROR(VLOOKUP(C61,产品数据!$B:$D,2,FALSE),"")</f>
        <v>1.68L*6壶</v>
      </c>
      <c r="E61" s="8">
        <v>1</v>
      </c>
      <c r="F61" s="8" t="str">
        <f>IFERROR(VLOOKUP(C61,产品数据!$B:$D,3,FALSE),"")</f>
        <v>壶</v>
      </c>
      <c r="G61" s="6" t="s">
        <v>125</v>
      </c>
    </row>
    <row r="62" spans="1:7">
      <c r="A62" s="6">
        <f t="shared" si="0"/>
        <v>61</v>
      </c>
      <c r="B62" s="5">
        <v>46031</v>
      </c>
      <c r="C62" s="7" t="s">
        <v>53</v>
      </c>
      <c r="D62" s="8" t="str">
        <f>IFERROR(VLOOKUP(C62,产品数据!$B:$D,2,FALSE),"")</f>
        <v>2.5L*6桶/箱</v>
      </c>
      <c r="E62" s="8">
        <v>1</v>
      </c>
      <c r="F62" s="8" t="str">
        <f>IFERROR(VLOOKUP(C62,产品数据!$B:$D,3,FALSE),"")</f>
        <v>桶</v>
      </c>
      <c r="G62" s="6" t="s">
        <v>125</v>
      </c>
    </row>
    <row r="63" spans="1:7">
      <c r="A63" s="6">
        <f t="shared" si="0"/>
        <v>62</v>
      </c>
      <c r="B63" s="5">
        <v>46031</v>
      </c>
      <c r="C63" s="7" t="s">
        <v>54</v>
      </c>
      <c r="D63" s="8" t="str">
        <f>IFERROR(VLOOKUP(C63,产品数据!$B:$D,2,FALSE),"")</f>
        <v>1kg*6瓶/箱</v>
      </c>
      <c r="E63" s="8">
        <v>1</v>
      </c>
      <c r="F63" s="8" t="str">
        <f>IFERROR(VLOOKUP(C63,产品数据!$B:$D,3,FALSE),"")</f>
        <v>瓶</v>
      </c>
      <c r="G63" s="6" t="s">
        <v>125</v>
      </c>
    </row>
    <row r="64" spans="1:7">
      <c r="A64" s="6">
        <f t="shared" si="0"/>
        <v>63</v>
      </c>
      <c r="B64" s="5">
        <v>46031</v>
      </c>
      <c r="C64" s="7" t="s">
        <v>52</v>
      </c>
      <c r="D64" s="8" t="str">
        <f>IFERROR(VLOOKUP(C64,产品数据!$B:$D,2,FALSE),"")</f>
        <v>705ml/瓶</v>
      </c>
      <c r="E64" s="8">
        <v>1</v>
      </c>
      <c r="F64" s="8" t="str">
        <f>IFERROR(VLOOKUP(C64,产品数据!$B:$D,3,FALSE),"")</f>
        <v>瓶</v>
      </c>
      <c r="G64" s="6" t="s">
        <v>125</v>
      </c>
    </row>
    <row r="65" spans="1:7">
      <c r="A65" s="6">
        <f t="shared" si="0"/>
        <v>64</v>
      </c>
      <c r="B65" s="5">
        <v>46031</v>
      </c>
      <c r="C65" s="7" t="s">
        <v>57</v>
      </c>
      <c r="D65" s="8" t="str">
        <f>IFERROR(VLOOKUP(C65,产品数据!$B:$D,2,FALSE),"")</f>
        <v>400g*25包/箱</v>
      </c>
      <c r="E65" s="8">
        <v>2</v>
      </c>
      <c r="F65" s="8" t="str">
        <f>IFERROR(VLOOKUP(C65,产品数据!$B:$D,3,FALSE),"")</f>
        <v>包</v>
      </c>
      <c r="G65" s="6" t="s">
        <v>125</v>
      </c>
    </row>
    <row r="66" spans="1:7">
      <c r="A66" s="6">
        <f t="shared" ref="A66:A129" si="1">ROW()-1</f>
        <v>65</v>
      </c>
      <c r="B66" s="5">
        <v>46031</v>
      </c>
      <c r="C66" s="7" t="s">
        <v>63</v>
      </c>
      <c r="D66" s="8" t="str">
        <f>IFERROR(VLOOKUP(C66,产品数据!$B:$D,2,FALSE),"")</f>
        <v>280g/包</v>
      </c>
      <c r="E66" s="8">
        <v>10</v>
      </c>
      <c r="F66" s="8" t="str">
        <f>IFERROR(VLOOKUP(C66,产品数据!$B:$D,3,FALSE),"")</f>
        <v>包</v>
      </c>
      <c r="G66" s="6" t="s">
        <v>125</v>
      </c>
    </row>
    <row r="67" spans="1:7">
      <c r="A67" s="6">
        <f t="shared" si="1"/>
        <v>66</v>
      </c>
      <c r="B67" s="5">
        <v>46031</v>
      </c>
      <c r="C67" s="7" t="s">
        <v>61</v>
      </c>
      <c r="D67" s="8" t="str">
        <f>IFERROR(VLOOKUP(C67,产品数据!$B:$D,2,FALSE),"")</f>
        <v>2.5kg/包</v>
      </c>
      <c r="E67" s="8">
        <v>1</v>
      </c>
      <c r="F67" s="8" t="str">
        <f>IFERROR(VLOOKUP(C67,产品数据!$B:$D,3,FALSE),"")</f>
        <v>包</v>
      </c>
      <c r="G67" s="6" t="s">
        <v>125</v>
      </c>
    </row>
    <row r="68" spans="1:7">
      <c r="A68" s="6">
        <f t="shared" si="1"/>
        <v>67</v>
      </c>
      <c r="B68" s="5">
        <v>46031</v>
      </c>
      <c r="C68" s="7" t="s">
        <v>56</v>
      </c>
      <c r="D68" s="8" t="str">
        <f>IFERROR(VLOOKUP(C68,产品数据!$B:$D,2,FALSE),"")</f>
        <v>178g*50包/箱</v>
      </c>
      <c r="E68" s="8">
        <v>6</v>
      </c>
      <c r="F68" s="8" t="str">
        <f>IFERROR(VLOOKUP(C68,产品数据!$B:$D,3,FALSE),"")</f>
        <v>包</v>
      </c>
      <c r="G68" s="6" t="s">
        <v>125</v>
      </c>
    </row>
    <row r="69" spans="1:7">
      <c r="A69" s="6">
        <f t="shared" si="1"/>
        <v>68</v>
      </c>
      <c r="B69" s="5">
        <v>46031</v>
      </c>
      <c r="C69" s="7" t="s">
        <v>41</v>
      </c>
      <c r="D69" s="8" t="str">
        <f>IFERROR(VLOOKUP(C69,产品数据!$B:$D,2,FALSE),"")</f>
        <v>5l/*4桶/箱</v>
      </c>
      <c r="E69" s="8">
        <v>1</v>
      </c>
      <c r="F69" s="8" t="str">
        <f>IFERROR(VLOOKUP(C69,产品数据!$B:$D,3,FALSE),"")</f>
        <v>桶</v>
      </c>
      <c r="G69" s="6" t="s">
        <v>126</v>
      </c>
    </row>
    <row r="70" spans="1:7">
      <c r="A70" s="6">
        <f t="shared" si="1"/>
        <v>69</v>
      </c>
      <c r="B70" s="5">
        <v>46031</v>
      </c>
      <c r="C70" s="7" t="s">
        <v>63</v>
      </c>
      <c r="D70" s="8" t="str">
        <f>IFERROR(VLOOKUP(C70,产品数据!$B:$D,2,FALSE),"")</f>
        <v>280g/包</v>
      </c>
      <c r="E70" s="8">
        <v>5</v>
      </c>
      <c r="F70" s="8" t="str">
        <f>IFERROR(VLOOKUP(C70,产品数据!$B:$D,3,FALSE),"")</f>
        <v>包</v>
      </c>
      <c r="G70" s="6" t="s">
        <v>126</v>
      </c>
    </row>
    <row r="71" spans="1:7">
      <c r="A71" s="6">
        <f t="shared" si="1"/>
        <v>70</v>
      </c>
      <c r="B71" s="5">
        <v>46031</v>
      </c>
      <c r="C71" s="7" t="s">
        <v>57</v>
      </c>
      <c r="D71" s="8" t="str">
        <f>IFERROR(VLOOKUP(C71,产品数据!$B:$D,2,FALSE),"")</f>
        <v>400g*25包/箱</v>
      </c>
      <c r="E71" s="8">
        <v>2</v>
      </c>
      <c r="F71" s="8" t="str">
        <f>IFERROR(VLOOKUP(C71,产品数据!$B:$D,3,FALSE),"")</f>
        <v>包</v>
      </c>
      <c r="G71" s="6" t="s">
        <v>126</v>
      </c>
    </row>
    <row r="72" spans="1:7">
      <c r="A72" s="6">
        <f t="shared" si="1"/>
        <v>71</v>
      </c>
      <c r="B72" s="5">
        <v>46031</v>
      </c>
      <c r="C72" s="7" t="s">
        <v>53</v>
      </c>
      <c r="D72" s="8" t="str">
        <f>IFERROR(VLOOKUP(C72,产品数据!$B:$D,2,FALSE),"")</f>
        <v>2.5L*6桶/箱</v>
      </c>
      <c r="E72" s="8">
        <v>1</v>
      </c>
      <c r="F72" s="8" t="str">
        <f>IFERROR(VLOOKUP(C72,产品数据!$B:$D,3,FALSE),"")</f>
        <v>桶</v>
      </c>
      <c r="G72" s="6" t="s">
        <v>126</v>
      </c>
    </row>
    <row r="73" spans="1:7">
      <c r="A73" s="6">
        <f t="shared" si="1"/>
        <v>72</v>
      </c>
      <c r="B73" s="5">
        <v>46031</v>
      </c>
      <c r="C73" s="7" t="s">
        <v>39</v>
      </c>
      <c r="D73" s="8" t="str">
        <f>IFERROR(VLOOKUP(C73,产品数据!$B:$D,2,FALSE),"")</f>
        <v>10千克/袋</v>
      </c>
      <c r="E73" s="8">
        <v>2</v>
      </c>
      <c r="F73" s="8" t="str">
        <f>IFERROR(VLOOKUP(C73,产品数据!$B:$D,3,FALSE),"")</f>
        <v>袋</v>
      </c>
      <c r="G73" s="6" t="s">
        <v>127</v>
      </c>
    </row>
    <row r="74" spans="1:7">
      <c r="A74" s="6">
        <f t="shared" si="1"/>
        <v>73</v>
      </c>
      <c r="B74" s="5">
        <v>46031</v>
      </c>
      <c r="C74" s="7" t="s">
        <v>56</v>
      </c>
      <c r="D74" s="8" t="str">
        <f>IFERROR(VLOOKUP(C74,产品数据!$B:$D,2,FALSE),"")</f>
        <v>178g*50包/箱</v>
      </c>
      <c r="E74" s="8">
        <v>5</v>
      </c>
      <c r="F74" s="8" t="str">
        <f>IFERROR(VLOOKUP(C74,产品数据!$B:$D,3,FALSE),"")</f>
        <v>包</v>
      </c>
      <c r="G74" s="6" t="s">
        <v>127</v>
      </c>
    </row>
    <row r="75" spans="1:7">
      <c r="A75" s="6">
        <f t="shared" si="1"/>
        <v>74</v>
      </c>
      <c r="B75" s="5">
        <v>46031</v>
      </c>
      <c r="C75" s="7" t="s">
        <v>49</v>
      </c>
      <c r="D75" s="8" t="str">
        <f>IFERROR(VLOOKUP(C75,产品数据!$B:$D,2,FALSE),"")</f>
        <v>180g/包</v>
      </c>
      <c r="E75" s="8">
        <v>1</v>
      </c>
      <c r="F75" s="8" t="str">
        <f>IFERROR(VLOOKUP(C75,产品数据!$B:$D,3,FALSE),"")</f>
        <v>包</v>
      </c>
      <c r="G75" s="6" t="s">
        <v>127</v>
      </c>
    </row>
    <row r="76" spans="1:7">
      <c r="A76" s="6">
        <f t="shared" si="1"/>
        <v>75</v>
      </c>
      <c r="B76" s="5">
        <v>46034</v>
      </c>
      <c r="C76" s="7" t="s">
        <v>40</v>
      </c>
      <c r="D76" s="8" t="str">
        <f>IFERROR(VLOOKUP(C76,产品数据!$B:$D,2,FALSE),"")</f>
        <v>10kg/包</v>
      </c>
      <c r="E76" s="8">
        <v>3</v>
      </c>
      <c r="F76" s="8" t="str">
        <f>IFERROR(VLOOKUP(C76,产品数据!$B:$D,3,FALSE),"")</f>
        <v>包</v>
      </c>
      <c r="G76" s="6" t="s">
        <v>128</v>
      </c>
    </row>
    <row r="77" spans="1:7">
      <c r="A77" s="6">
        <f t="shared" si="1"/>
        <v>76</v>
      </c>
      <c r="B77" s="5">
        <v>46034</v>
      </c>
      <c r="C77" s="7" t="s">
        <v>42</v>
      </c>
      <c r="D77" s="8" t="str">
        <f>IFERROR(VLOOKUP(C77,产品数据!$B:$D,2,FALSE),"")</f>
        <v>1.68L*6壶</v>
      </c>
      <c r="E77" s="8">
        <v>1</v>
      </c>
      <c r="F77" s="8" t="str">
        <f>IFERROR(VLOOKUP(C77,产品数据!$B:$D,3,FALSE),"")</f>
        <v>壶</v>
      </c>
      <c r="G77" s="6" t="s">
        <v>128</v>
      </c>
    </row>
    <row r="78" spans="1:7">
      <c r="A78" s="6">
        <f t="shared" si="1"/>
        <v>77</v>
      </c>
      <c r="B78" s="5">
        <v>46034</v>
      </c>
      <c r="C78" s="7" t="s">
        <v>63</v>
      </c>
      <c r="D78" s="8" t="str">
        <f>IFERROR(VLOOKUP(C78,产品数据!$B:$D,2,FALSE),"")</f>
        <v>280g/包</v>
      </c>
      <c r="E78" s="8">
        <v>2</v>
      </c>
      <c r="F78" s="8" t="str">
        <f>IFERROR(VLOOKUP(C78,产品数据!$B:$D,3,FALSE),"")</f>
        <v>包</v>
      </c>
      <c r="G78" s="6" t="s">
        <v>128</v>
      </c>
    </row>
    <row r="79" spans="1:7">
      <c r="A79" s="6">
        <f t="shared" si="1"/>
        <v>78</v>
      </c>
      <c r="B79" s="5">
        <v>46034</v>
      </c>
      <c r="C79" s="7" t="s">
        <v>54</v>
      </c>
      <c r="D79" s="8" t="str">
        <f>IFERROR(VLOOKUP(C79,产品数据!$B:$D,2,FALSE),"")</f>
        <v>1kg*6瓶/箱</v>
      </c>
      <c r="E79" s="8">
        <v>1</v>
      </c>
      <c r="F79" s="8" t="str">
        <f>IFERROR(VLOOKUP(C79,产品数据!$B:$D,3,FALSE),"")</f>
        <v>瓶</v>
      </c>
      <c r="G79" s="6" t="s">
        <v>128</v>
      </c>
    </row>
    <row r="80" spans="1:7">
      <c r="A80" s="6">
        <f t="shared" si="1"/>
        <v>79</v>
      </c>
      <c r="B80" s="5">
        <v>46034</v>
      </c>
      <c r="C80" s="7" t="s">
        <v>52</v>
      </c>
      <c r="D80" s="8" t="str">
        <f>IFERROR(VLOOKUP(C80,产品数据!$B:$D,2,FALSE),"")</f>
        <v>705ml/瓶</v>
      </c>
      <c r="E80" s="8">
        <v>1</v>
      </c>
      <c r="F80" s="8" t="str">
        <f>IFERROR(VLOOKUP(C80,产品数据!$B:$D,3,FALSE),"")</f>
        <v>瓶</v>
      </c>
      <c r="G80" s="6" t="s">
        <v>128</v>
      </c>
    </row>
    <row r="81" spans="1:7">
      <c r="A81" s="6">
        <f t="shared" si="1"/>
        <v>80</v>
      </c>
      <c r="B81" s="5">
        <v>46034</v>
      </c>
      <c r="C81" s="7" t="s">
        <v>55</v>
      </c>
      <c r="D81" s="8" t="str">
        <f>IFERROR(VLOOKUP(C81,产品数据!$B:$D,2,FALSE),"")</f>
        <v>1升*12瓶/箱</v>
      </c>
      <c r="E81" s="8">
        <v>1</v>
      </c>
      <c r="F81" s="8" t="str">
        <f>IFERROR(VLOOKUP(C81,产品数据!$B:$D,3,FALSE),"")</f>
        <v>瓶</v>
      </c>
      <c r="G81" s="6" t="s">
        <v>128</v>
      </c>
    </row>
    <row r="82" spans="1:7">
      <c r="A82" s="6">
        <f t="shared" si="1"/>
        <v>81</v>
      </c>
      <c r="B82" s="5">
        <v>46034</v>
      </c>
      <c r="C82" s="7" t="s">
        <v>57</v>
      </c>
      <c r="D82" s="8" t="str">
        <f>IFERROR(VLOOKUP(C82,产品数据!$B:$D,2,FALSE),"")</f>
        <v>400g*25包/箱</v>
      </c>
      <c r="E82" s="8">
        <v>1</v>
      </c>
      <c r="F82" s="8" t="str">
        <f>IFERROR(VLOOKUP(C82,产品数据!$B:$D,3,FALSE),"")</f>
        <v>包</v>
      </c>
      <c r="G82" s="6" t="s">
        <v>128</v>
      </c>
    </row>
    <row r="83" spans="1:7">
      <c r="A83" s="6">
        <f t="shared" si="1"/>
        <v>82</v>
      </c>
      <c r="B83" s="5">
        <v>46034</v>
      </c>
      <c r="C83" s="7" t="s">
        <v>41</v>
      </c>
      <c r="D83" s="8" t="str">
        <f>IFERROR(VLOOKUP(C83,产品数据!$B:$D,2,FALSE),"")</f>
        <v>5l/*4桶/箱</v>
      </c>
      <c r="E83" s="8">
        <v>4</v>
      </c>
      <c r="F83" s="8" t="str">
        <f>IFERROR(VLOOKUP(C83,产品数据!$B:$D,3,FALSE),"")</f>
        <v>桶</v>
      </c>
      <c r="G83" s="6" t="s">
        <v>125</v>
      </c>
    </row>
    <row r="84" spans="1:7">
      <c r="A84" s="6">
        <f t="shared" si="1"/>
        <v>83</v>
      </c>
      <c r="B84" s="5">
        <v>46034</v>
      </c>
      <c r="C84" s="7" t="s">
        <v>43</v>
      </c>
      <c r="D84" s="8" t="str">
        <f>IFERROR(VLOOKUP(C84,产品数据!$B:$D,2,FALSE),"")</f>
        <v>1.9升/瓶*6瓶/箱</v>
      </c>
      <c r="E84" s="8">
        <v>1</v>
      </c>
      <c r="F84" s="8" t="str">
        <f>IFERROR(VLOOKUP(C84,产品数据!$B:$D,3,FALSE),"")</f>
        <v>瓶</v>
      </c>
      <c r="G84" s="6" t="s">
        <v>125</v>
      </c>
    </row>
    <row r="85" spans="1:7">
      <c r="A85" s="6">
        <f t="shared" si="1"/>
        <v>84</v>
      </c>
      <c r="B85" s="5">
        <v>46034</v>
      </c>
      <c r="C85" s="7" t="s">
        <v>42</v>
      </c>
      <c r="D85" s="8" t="str">
        <f>IFERROR(VLOOKUP(C85,产品数据!$B:$D,2,FALSE),"")</f>
        <v>1.68L*6壶</v>
      </c>
      <c r="E85" s="8">
        <v>1</v>
      </c>
      <c r="F85" s="8" t="str">
        <f>IFERROR(VLOOKUP(C85,产品数据!$B:$D,3,FALSE),"")</f>
        <v>壶</v>
      </c>
      <c r="G85" s="6" t="s">
        <v>125</v>
      </c>
    </row>
    <row r="86" spans="1:7">
      <c r="A86" s="6">
        <f t="shared" si="1"/>
        <v>85</v>
      </c>
      <c r="B86" s="5">
        <v>46034</v>
      </c>
      <c r="C86" s="7" t="s">
        <v>53</v>
      </c>
      <c r="D86" s="8" t="str">
        <f>IFERROR(VLOOKUP(C86,产品数据!$B:$D,2,FALSE),"")</f>
        <v>2.5L*6桶/箱</v>
      </c>
      <c r="E86" s="8">
        <v>1</v>
      </c>
      <c r="F86" s="8" t="str">
        <f>IFERROR(VLOOKUP(C86,产品数据!$B:$D,3,FALSE),"")</f>
        <v>桶</v>
      </c>
      <c r="G86" s="6" t="s">
        <v>125</v>
      </c>
    </row>
    <row r="87" spans="1:7">
      <c r="A87" s="6">
        <f t="shared" si="1"/>
        <v>86</v>
      </c>
      <c r="B87" s="5">
        <v>46034</v>
      </c>
      <c r="C87" s="7" t="s">
        <v>54</v>
      </c>
      <c r="D87" s="8" t="str">
        <f>IFERROR(VLOOKUP(C87,产品数据!$B:$D,2,FALSE),"")</f>
        <v>1kg*6瓶/箱</v>
      </c>
      <c r="E87" s="8">
        <v>1</v>
      </c>
      <c r="F87" s="8" t="str">
        <f>IFERROR(VLOOKUP(C87,产品数据!$B:$D,3,FALSE),"")</f>
        <v>瓶</v>
      </c>
      <c r="G87" s="6" t="s">
        <v>125</v>
      </c>
    </row>
    <row r="88" spans="1:7">
      <c r="A88" s="6">
        <f t="shared" si="1"/>
        <v>87</v>
      </c>
      <c r="B88" s="5">
        <v>46034</v>
      </c>
      <c r="C88" s="7" t="s">
        <v>52</v>
      </c>
      <c r="D88" s="8" t="str">
        <f>IFERROR(VLOOKUP(C88,产品数据!$B:$D,2,FALSE),"")</f>
        <v>705ml/瓶</v>
      </c>
      <c r="E88" s="8">
        <v>1</v>
      </c>
      <c r="F88" s="8" t="str">
        <f>IFERROR(VLOOKUP(C88,产品数据!$B:$D,3,FALSE),"")</f>
        <v>瓶</v>
      </c>
      <c r="G88" s="6" t="s">
        <v>125</v>
      </c>
    </row>
    <row r="89" spans="1:7">
      <c r="A89" s="6">
        <f t="shared" si="1"/>
        <v>88</v>
      </c>
      <c r="B89" s="5">
        <v>46034</v>
      </c>
      <c r="C89" s="7" t="s">
        <v>57</v>
      </c>
      <c r="D89" s="8" t="str">
        <f>IFERROR(VLOOKUP(C89,产品数据!$B:$D,2,FALSE),"")</f>
        <v>400g*25包/箱</v>
      </c>
      <c r="E89" s="8">
        <v>2</v>
      </c>
      <c r="F89" s="8" t="str">
        <f>IFERROR(VLOOKUP(C89,产品数据!$B:$D,3,FALSE),"")</f>
        <v>包</v>
      </c>
      <c r="G89" s="6" t="s">
        <v>125</v>
      </c>
    </row>
    <row r="90" spans="1:7">
      <c r="A90" s="6">
        <f t="shared" si="1"/>
        <v>89</v>
      </c>
      <c r="B90" s="5">
        <v>46034</v>
      </c>
      <c r="C90" s="7" t="s">
        <v>61</v>
      </c>
      <c r="D90" s="8" t="str">
        <f>IFERROR(VLOOKUP(C90,产品数据!$B:$D,2,FALSE),"")</f>
        <v>2.5kg/包</v>
      </c>
      <c r="E90" s="8">
        <v>1</v>
      </c>
      <c r="F90" s="8" t="str">
        <f>IFERROR(VLOOKUP(C90,产品数据!$B:$D,3,FALSE),"")</f>
        <v>包</v>
      </c>
      <c r="G90" s="6" t="s">
        <v>125</v>
      </c>
    </row>
    <row r="91" spans="1:7">
      <c r="A91" s="6">
        <f t="shared" si="1"/>
        <v>90</v>
      </c>
      <c r="B91" s="5">
        <v>46034</v>
      </c>
      <c r="C91" s="7" t="s">
        <v>63</v>
      </c>
      <c r="D91" s="8" t="str">
        <f>IFERROR(VLOOKUP(C91,产品数据!$B:$D,2,FALSE),"")</f>
        <v>280g/包</v>
      </c>
      <c r="E91" s="8">
        <v>10</v>
      </c>
      <c r="F91" s="8" t="str">
        <f>IFERROR(VLOOKUP(C91,产品数据!$B:$D,3,FALSE),"")</f>
        <v>包</v>
      </c>
      <c r="G91" s="6" t="s">
        <v>125</v>
      </c>
    </row>
    <row r="92" spans="1:7">
      <c r="A92" s="6">
        <f t="shared" si="1"/>
        <v>91</v>
      </c>
      <c r="B92" s="5">
        <v>46034</v>
      </c>
      <c r="C92" s="7" t="s">
        <v>44</v>
      </c>
      <c r="D92" s="8" t="str">
        <f>IFERROR(VLOOKUP(C92,产品数据!$B:$D,2,FALSE),"")</f>
        <v>1.9升/瓶*6瓶/箱</v>
      </c>
      <c r="E92" s="8">
        <v>1</v>
      </c>
      <c r="F92" s="8" t="str">
        <f>IFERROR(VLOOKUP(C92,产品数据!$B:$D,3,FALSE),"")</f>
        <v>瓶</v>
      </c>
      <c r="G92" s="6" t="s">
        <v>125</v>
      </c>
    </row>
    <row r="93" spans="1:7">
      <c r="A93" s="6">
        <f t="shared" si="1"/>
        <v>92</v>
      </c>
      <c r="B93" s="5">
        <v>46034</v>
      </c>
      <c r="C93" s="7" t="s">
        <v>39</v>
      </c>
      <c r="D93" s="8" t="str">
        <f>IFERROR(VLOOKUP(C93,产品数据!$B:$D,2,FALSE),"")</f>
        <v>10千克/袋</v>
      </c>
      <c r="E93" s="8">
        <v>3</v>
      </c>
      <c r="F93" s="8" t="str">
        <f>IFERROR(VLOOKUP(C93,产品数据!$B:$D,3,FALSE),"")</f>
        <v>袋</v>
      </c>
      <c r="G93" s="6" t="s">
        <v>127</v>
      </c>
    </row>
    <row r="94" spans="1:7">
      <c r="A94" s="6">
        <f t="shared" si="1"/>
        <v>93</v>
      </c>
      <c r="B94" s="5">
        <v>46034</v>
      </c>
      <c r="C94" s="7" t="s">
        <v>43</v>
      </c>
      <c r="D94" s="8" t="str">
        <f>IFERROR(VLOOKUP(C94,产品数据!$B:$D,2,FALSE),"")</f>
        <v>1.9升/瓶*6瓶/箱</v>
      </c>
      <c r="E94" s="8">
        <v>1</v>
      </c>
      <c r="F94" s="8" t="str">
        <f>IFERROR(VLOOKUP(C94,产品数据!$B:$D,3,FALSE),"")</f>
        <v>瓶</v>
      </c>
      <c r="G94" s="6" t="s">
        <v>127</v>
      </c>
    </row>
    <row r="95" spans="1:7">
      <c r="A95" s="6">
        <f t="shared" si="1"/>
        <v>94</v>
      </c>
      <c r="B95" s="5">
        <v>46034</v>
      </c>
      <c r="C95" s="7" t="s">
        <v>47</v>
      </c>
      <c r="D95" s="8" t="str">
        <f>IFERROR(VLOOKUP(C95,产品数据!$B:$D,2,FALSE),"")</f>
        <v>500克/瓶*24瓶/箱</v>
      </c>
      <c r="E95" s="8">
        <v>2</v>
      </c>
      <c r="F95" s="8" t="str">
        <f>IFERROR(VLOOKUP(C95,产品数据!$B:$D,3,FALSE),"")</f>
        <v>瓶</v>
      </c>
      <c r="G95" s="6" t="s">
        <v>127</v>
      </c>
    </row>
    <row r="96" spans="1:7">
      <c r="A96" s="6">
        <f t="shared" si="1"/>
        <v>95</v>
      </c>
      <c r="B96" s="5">
        <v>46034</v>
      </c>
      <c r="C96" s="7" t="s">
        <v>42</v>
      </c>
      <c r="D96" s="8" t="str">
        <f>IFERROR(VLOOKUP(C96,产品数据!$B:$D,2,FALSE),"")</f>
        <v>1.68L*6壶</v>
      </c>
      <c r="E96" s="8">
        <v>1</v>
      </c>
      <c r="F96" s="8" t="str">
        <f>IFERROR(VLOOKUP(C96,产品数据!$B:$D,3,FALSE),"")</f>
        <v>壶</v>
      </c>
      <c r="G96" s="6" t="s">
        <v>127</v>
      </c>
    </row>
    <row r="97" spans="1:7">
      <c r="A97" s="6">
        <f t="shared" si="1"/>
        <v>96</v>
      </c>
      <c r="B97" s="5">
        <v>46035</v>
      </c>
      <c r="C97" s="7" t="s">
        <v>41</v>
      </c>
      <c r="D97" s="8" t="str">
        <f>IFERROR(VLOOKUP(C97,产品数据!$B:$D,2,FALSE),"")</f>
        <v>5l/*4桶/箱</v>
      </c>
      <c r="E97" s="8">
        <v>3</v>
      </c>
      <c r="F97" s="8" t="str">
        <f>IFERROR(VLOOKUP(C97,产品数据!$B:$D,3,FALSE),"")</f>
        <v>桶</v>
      </c>
      <c r="G97" s="6" t="s">
        <v>125</v>
      </c>
    </row>
    <row r="98" spans="1:7">
      <c r="A98" s="6">
        <f t="shared" si="1"/>
        <v>97</v>
      </c>
      <c r="B98" s="5">
        <v>46035</v>
      </c>
      <c r="C98" s="7" t="s">
        <v>45</v>
      </c>
      <c r="D98" s="8" t="str">
        <f>IFERROR(VLOOKUP(C98,产品数据!$B:$D,2,FALSE),"")</f>
        <v>1.9kg/瓶</v>
      </c>
      <c r="E98" s="8">
        <v>1</v>
      </c>
      <c r="F98" s="8" t="str">
        <f>IFERROR(VLOOKUP(C98,产品数据!$B:$D,3,FALSE),"")</f>
        <v>瓶</v>
      </c>
      <c r="G98" s="6" t="s">
        <v>125</v>
      </c>
    </row>
    <row r="99" spans="1:7">
      <c r="A99" s="6">
        <f t="shared" si="1"/>
        <v>98</v>
      </c>
      <c r="B99" s="5">
        <v>46035</v>
      </c>
      <c r="C99" s="7" t="s">
        <v>57</v>
      </c>
      <c r="D99" s="8" t="str">
        <f>IFERROR(VLOOKUP(C99,产品数据!$B:$D,2,FALSE),"")</f>
        <v>400g*25包/箱</v>
      </c>
      <c r="E99" s="8">
        <v>1</v>
      </c>
      <c r="F99" s="8" t="str">
        <f>IFERROR(VLOOKUP(C99,产品数据!$B:$D,3,FALSE),"")</f>
        <v>包</v>
      </c>
      <c r="G99" s="6" t="s">
        <v>125</v>
      </c>
    </row>
    <row r="100" spans="1:7">
      <c r="A100" s="6">
        <f t="shared" si="1"/>
        <v>99</v>
      </c>
      <c r="B100" s="5">
        <v>46035</v>
      </c>
      <c r="C100" s="7" t="s">
        <v>42</v>
      </c>
      <c r="D100" s="8" t="str">
        <f>IFERROR(VLOOKUP(C100,产品数据!$B:$D,2,FALSE),"")</f>
        <v>1.68L*6壶</v>
      </c>
      <c r="E100" s="8">
        <v>1</v>
      </c>
      <c r="F100" s="8" t="str">
        <f>IFERROR(VLOOKUP(C100,产品数据!$B:$D,3,FALSE),"")</f>
        <v>壶</v>
      </c>
      <c r="G100" s="6" t="s">
        <v>125</v>
      </c>
    </row>
    <row r="101" spans="1:7">
      <c r="A101" s="6">
        <f t="shared" si="1"/>
        <v>100</v>
      </c>
      <c r="B101" s="5">
        <v>46035</v>
      </c>
      <c r="C101" s="7" t="s">
        <v>39</v>
      </c>
      <c r="D101" s="8" t="str">
        <f>IFERROR(VLOOKUP(C101,产品数据!$B:$D,2,FALSE),"")</f>
        <v>10千克/袋</v>
      </c>
      <c r="E101" s="8">
        <v>2</v>
      </c>
      <c r="F101" s="8" t="str">
        <f>IFERROR(VLOOKUP(C101,产品数据!$B:$D,3,FALSE),"")</f>
        <v>袋</v>
      </c>
      <c r="G101" s="6" t="s">
        <v>127</v>
      </c>
    </row>
    <row r="102" spans="1:7">
      <c r="A102" s="6">
        <f t="shared" si="1"/>
        <v>101</v>
      </c>
      <c r="B102" s="5">
        <v>46036</v>
      </c>
      <c r="C102" s="7" t="s">
        <v>41</v>
      </c>
      <c r="D102" s="8" t="str">
        <f>IFERROR(VLOOKUP(C102,产品数据!$B:$D,2,FALSE),"")</f>
        <v>5l/*4桶/箱</v>
      </c>
      <c r="E102" s="8">
        <v>3</v>
      </c>
      <c r="F102" s="8" t="str">
        <f>IFERROR(VLOOKUP(C102,产品数据!$B:$D,3,FALSE),"")</f>
        <v>桶</v>
      </c>
      <c r="G102" s="6" t="s">
        <v>125</v>
      </c>
    </row>
    <row r="103" spans="1:7">
      <c r="A103" s="6">
        <f t="shared" si="1"/>
        <v>102</v>
      </c>
      <c r="B103" s="5">
        <v>46036</v>
      </c>
      <c r="C103" s="7" t="s">
        <v>42</v>
      </c>
      <c r="D103" s="8" t="str">
        <f>IFERROR(VLOOKUP(C103,产品数据!$B:$D,2,FALSE),"")</f>
        <v>1.68L*6壶</v>
      </c>
      <c r="E103" s="8">
        <v>1</v>
      </c>
      <c r="F103" s="8" t="str">
        <f>IFERROR(VLOOKUP(C103,产品数据!$B:$D,3,FALSE),"")</f>
        <v>壶</v>
      </c>
      <c r="G103" s="6" t="s">
        <v>125</v>
      </c>
    </row>
    <row r="104" spans="1:7">
      <c r="A104" s="6">
        <f t="shared" si="1"/>
        <v>103</v>
      </c>
      <c r="B104" s="5">
        <v>46036</v>
      </c>
      <c r="C104" s="7" t="s">
        <v>54</v>
      </c>
      <c r="D104" s="8" t="str">
        <f>IFERROR(VLOOKUP(C104,产品数据!$B:$D,2,FALSE),"")</f>
        <v>1kg*6瓶/箱</v>
      </c>
      <c r="E104" s="8">
        <v>1</v>
      </c>
      <c r="F104" s="8" t="str">
        <f>IFERROR(VLOOKUP(C104,产品数据!$B:$D,3,FALSE),"")</f>
        <v>瓶</v>
      </c>
      <c r="G104" s="6" t="s">
        <v>125</v>
      </c>
    </row>
    <row r="105" spans="1:7">
      <c r="A105" s="6">
        <f t="shared" si="1"/>
        <v>104</v>
      </c>
      <c r="B105" s="5">
        <v>46036</v>
      </c>
      <c r="C105" s="7" t="s">
        <v>52</v>
      </c>
      <c r="D105" s="8" t="str">
        <f>IFERROR(VLOOKUP(C105,产品数据!$B:$D,2,FALSE),"")</f>
        <v>705ml/瓶</v>
      </c>
      <c r="E105" s="8">
        <v>1</v>
      </c>
      <c r="F105" s="8" t="str">
        <f>IFERROR(VLOOKUP(C105,产品数据!$B:$D,3,FALSE),"")</f>
        <v>瓶</v>
      </c>
      <c r="G105" s="6" t="s">
        <v>125</v>
      </c>
    </row>
    <row r="106" spans="1:7">
      <c r="A106" s="6">
        <f t="shared" si="1"/>
        <v>105</v>
      </c>
      <c r="B106" s="5">
        <v>46036</v>
      </c>
      <c r="C106" s="7" t="s">
        <v>57</v>
      </c>
      <c r="D106" s="8" t="str">
        <f>IFERROR(VLOOKUP(C106,产品数据!$B:$D,2,FALSE),"")</f>
        <v>400g*25包/箱</v>
      </c>
      <c r="E106" s="8">
        <v>1</v>
      </c>
      <c r="F106" s="8" t="str">
        <f>IFERROR(VLOOKUP(C106,产品数据!$B:$D,3,FALSE),"")</f>
        <v>包</v>
      </c>
      <c r="G106" s="6" t="s">
        <v>125</v>
      </c>
    </row>
    <row r="107" spans="1:7">
      <c r="A107" s="6">
        <f t="shared" si="1"/>
        <v>106</v>
      </c>
      <c r="B107" s="5">
        <v>46036</v>
      </c>
      <c r="C107" s="7" t="s">
        <v>45</v>
      </c>
      <c r="D107" s="8" t="str">
        <f>IFERROR(VLOOKUP(C107,产品数据!$B:$D,2,FALSE),"")</f>
        <v>1.9kg/瓶</v>
      </c>
      <c r="E107" s="8">
        <v>1</v>
      </c>
      <c r="F107" s="8" t="str">
        <f>IFERROR(VLOOKUP(C107,产品数据!$B:$D,3,FALSE),"")</f>
        <v>瓶</v>
      </c>
      <c r="G107" s="6" t="s">
        <v>125</v>
      </c>
    </row>
    <row r="108" spans="1:7">
      <c r="A108" s="6">
        <f t="shared" si="1"/>
        <v>107</v>
      </c>
      <c r="B108" s="5">
        <v>46036</v>
      </c>
      <c r="C108" s="7" t="s">
        <v>48</v>
      </c>
      <c r="D108" s="8" t="str">
        <f>IFERROR(VLOOKUP(C108,产品数据!$B:$D,2,FALSE),"")</f>
        <v>500克/瓶*24瓶/箱</v>
      </c>
      <c r="E108" s="8">
        <v>4</v>
      </c>
      <c r="F108" s="8" t="str">
        <f>IFERROR(VLOOKUP(C108,产品数据!$B:$D,3,FALSE),"")</f>
        <v>瓶</v>
      </c>
      <c r="G108" s="6" t="s">
        <v>125</v>
      </c>
    </row>
    <row r="109" spans="1:7">
      <c r="A109" s="6">
        <f t="shared" si="1"/>
        <v>108</v>
      </c>
      <c r="B109" s="5">
        <v>46036</v>
      </c>
      <c r="C109" s="7" t="s">
        <v>47</v>
      </c>
      <c r="D109" s="8" t="str">
        <f>IFERROR(VLOOKUP(C109,产品数据!$B:$D,2,FALSE),"")</f>
        <v>500克/瓶*24瓶/箱</v>
      </c>
      <c r="E109" s="8">
        <v>2</v>
      </c>
      <c r="F109" s="8" t="str">
        <f>IFERROR(VLOOKUP(C109,产品数据!$B:$D,3,FALSE),"")</f>
        <v>瓶</v>
      </c>
      <c r="G109" s="6" t="s">
        <v>125</v>
      </c>
    </row>
    <row r="110" spans="1:7">
      <c r="A110" s="6">
        <f t="shared" si="1"/>
        <v>109</v>
      </c>
      <c r="B110" s="5">
        <v>46036</v>
      </c>
      <c r="C110" s="7" t="s">
        <v>63</v>
      </c>
      <c r="D110" s="8" t="str">
        <f>IFERROR(VLOOKUP(C110,产品数据!$B:$D,2,FALSE),"")</f>
        <v>280g/包</v>
      </c>
      <c r="E110" s="8">
        <v>10</v>
      </c>
      <c r="F110" s="8" t="str">
        <f>IFERROR(VLOOKUP(C110,产品数据!$B:$D,3,FALSE),"")</f>
        <v>包</v>
      </c>
      <c r="G110" s="6" t="s">
        <v>125</v>
      </c>
    </row>
    <row r="111" spans="1:7">
      <c r="A111" s="6">
        <f t="shared" si="1"/>
        <v>110</v>
      </c>
      <c r="B111" s="5">
        <v>46036</v>
      </c>
      <c r="C111" s="7" t="s">
        <v>41</v>
      </c>
      <c r="D111" s="8" t="str">
        <f>IFERROR(VLOOKUP(C111,产品数据!$B:$D,2,FALSE),"")</f>
        <v>5l/*4桶/箱</v>
      </c>
      <c r="E111" s="8">
        <v>1</v>
      </c>
      <c r="F111" s="8" t="str">
        <f>IFERROR(VLOOKUP(C111,产品数据!$B:$D,3,FALSE),"")</f>
        <v>桶</v>
      </c>
      <c r="G111" s="6" t="s">
        <v>129</v>
      </c>
    </row>
    <row r="112" spans="1:7">
      <c r="A112" s="6">
        <f t="shared" si="1"/>
        <v>111</v>
      </c>
      <c r="B112" s="5">
        <v>46036</v>
      </c>
      <c r="C112" s="7" t="s">
        <v>56</v>
      </c>
      <c r="D112" s="8" t="str">
        <f>IFERROR(VLOOKUP(C112,产品数据!$B:$D,2,FALSE),"")</f>
        <v>178g*50包/箱</v>
      </c>
      <c r="E112" s="8">
        <v>4</v>
      </c>
      <c r="F112" s="8" t="str">
        <f>IFERROR(VLOOKUP(C112,产品数据!$B:$D,3,FALSE),"")</f>
        <v>包</v>
      </c>
      <c r="G112" s="6" t="s">
        <v>129</v>
      </c>
    </row>
    <row r="113" spans="1:7">
      <c r="A113" s="6">
        <f t="shared" si="1"/>
        <v>112</v>
      </c>
      <c r="B113" s="5">
        <v>46036</v>
      </c>
      <c r="C113" s="7" t="s">
        <v>39</v>
      </c>
      <c r="D113" s="8" t="str">
        <f>IFERROR(VLOOKUP(C113,产品数据!$B:$D,2,FALSE),"")</f>
        <v>10千克/袋</v>
      </c>
      <c r="E113" s="8">
        <v>2</v>
      </c>
      <c r="F113" s="8" t="str">
        <f>IFERROR(VLOOKUP(C113,产品数据!$B:$D,3,FALSE),"")</f>
        <v>袋</v>
      </c>
      <c r="G113" s="6" t="s">
        <v>127</v>
      </c>
    </row>
    <row r="114" spans="1:7">
      <c r="A114" s="6">
        <f t="shared" si="1"/>
        <v>113</v>
      </c>
      <c r="B114" s="5">
        <v>46037</v>
      </c>
      <c r="C114" s="7" t="s">
        <v>41</v>
      </c>
      <c r="D114" s="8" t="str">
        <f>IFERROR(VLOOKUP(C114,产品数据!$B:$D,2,FALSE),"")</f>
        <v>5l/*4桶/箱</v>
      </c>
      <c r="E114" s="8">
        <v>3</v>
      </c>
      <c r="F114" s="8" t="str">
        <f>IFERROR(VLOOKUP(C114,产品数据!$B:$D,3,FALSE),"")</f>
        <v>桶</v>
      </c>
      <c r="G114" s="6" t="s">
        <v>125</v>
      </c>
    </row>
    <row r="115" spans="1:7">
      <c r="A115" s="6">
        <f t="shared" si="1"/>
        <v>114</v>
      </c>
      <c r="B115" s="5">
        <v>46037</v>
      </c>
      <c r="C115" s="7" t="s">
        <v>44</v>
      </c>
      <c r="D115" s="8" t="str">
        <f>IFERROR(VLOOKUP(C115,产品数据!$B:$D,2,FALSE),"")</f>
        <v>1.9升/瓶*6瓶/箱</v>
      </c>
      <c r="E115" s="8">
        <v>1</v>
      </c>
      <c r="F115" s="8" t="str">
        <f>IFERROR(VLOOKUP(C115,产品数据!$B:$D,3,FALSE),"")</f>
        <v>瓶</v>
      </c>
      <c r="G115" s="6" t="s">
        <v>125</v>
      </c>
    </row>
    <row r="116" spans="1:7">
      <c r="A116" s="6">
        <f t="shared" si="1"/>
        <v>115</v>
      </c>
      <c r="B116" s="5">
        <v>46037</v>
      </c>
      <c r="C116" s="7" t="s">
        <v>43</v>
      </c>
      <c r="D116" s="8" t="str">
        <f>IFERROR(VLOOKUP(C116,产品数据!$B:$D,2,FALSE),"")</f>
        <v>1.9升/瓶*6瓶/箱</v>
      </c>
      <c r="E116" s="8">
        <v>1</v>
      </c>
      <c r="F116" s="8" t="str">
        <f>IFERROR(VLOOKUP(C116,产品数据!$B:$D,3,FALSE),"")</f>
        <v>瓶</v>
      </c>
      <c r="G116" s="6" t="s">
        <v>125</v>
      </c>
    </row>
    <row r="117" spans="1:7">
      <c r="A117" s="6">
        <f t="shared" si="1"/>
        <v>116</v>
      </c>
      <c r="B117" s="5">
        <v>46037</v>
      </c>
      <c r="C117" s="7" t="s">
        <v>42</v>
      </c>
      <c r="D117" s="8" t="str">
        <f>IFERROR(VLOOKUP(C117,产品数据!$B:$D,2,FALSE),"")</f>
        <v>1.68L*6壶</v>
      </c>
      <c r="E117" s="8">
        <v>1</v>
      </c>
      <c r="F117" s="8" t="str">
        <f>IFERROR(VLOOKUP(C117,产品数据!$B:$D,3,FALSE),"")</f>
        <v>壶</v>
      </c>
      <c r="G117" s="6" t="s">
        <v>125</v>
      </c>
    </row>
    <row r="118" spans="1:7">
      <c r="A118" s="6">
        <f t="shared" si="1"/>
        <v>117</v>
      </c>
      <c r="B118" s="5">
        <v>46037</v>
      </c>
      <c r="C118" s="7" t="s">
        <v>52</v>
      </c>
      <c r="D118" s="8" t="str">
        <f>IFERROR(VLOOKUP(C118,产品数据!$B:$D,2,FALSE),"")</f>
        <v>705ml/瓶</v>
      </c>
      <c r="E118" s="8">
        <v>1</v>
      </c>
      <c r="F118" s="8" t="str">
        <f>IFERROR(VLOOKUP(C118,产品数据!$B:$D,3,FALSE),"")</f>
        <v>瓶</v>
      </c>
      <c r="G118" s="6" t="s">
        <v>125</v>
      </c>
    </row>
    <row r="119" spans="1:7">
      <c r="A119" s="6">
        <f t="shared" si="1"/>
        <v>118</v>
      </c>
      <c r="B119" s="5">
        <v>46037</v>
      </c>
      <c r="C119" s="7" t="s">
        <v>54</v>
      </c>
      <c r="D119" s="8" t="str">
        <f>IFERROR(VLOOKUP(C119,产品数据!$B:$D,2,FALSE),"")</f>
        <v>1kg*6瓶/箱</v>
      </c>
      <c r="E119" s="8">
        <v>1</v>
      </c>
      <c r="F119" s="8" t="str">
        <f>IFERROR(VLOOKUP(C119,产品数据!$B:$D,3,FALSE),"")</f>
        <v>瓶</v>
      </c>
      <c r="G119" s="6" t="s">
        <v>125</v>
      </c>
    </row>
    <row r="120" spans="1:7">
      <c r="A120" s="6">
        <f t="shared" si="1"/>
        <v>119</v>
      </c>
      <c r="B120" s="5">
        <v>46037</v>
      </c>
      <c r="C120" s="7" t="s">
        <v>57</v>
      </c>
      <c r="D120" s="8" t="str">
        <f>IFERROR(VLOOKUP(C120,产品数据!$B:$D,2,FALSE),"")</f>
        <v>400g*25包/箱</v>
      </c>
      <c r="E120" s="8">
        <v>1</v>
      </c>
      <c r="F120" s="8" t="str">
        <f>IFERROR(VLOOKUP(C120,产品数据!$B:$D,3,FALSE),"")</f>
        <v>包</v>
      </c>
      <c r="G120" s="6" t="s">
        <v>125</v>
      </c>
    </row>
    <row r="121" spans="1:7">
      <c r="A121" s="6">
        <f t="shared" si="1"/>
        <v>120</v>
      </c>
      <c r="B121" s="5">
        <v>46037</v>
      </c>
      <c r="C121" s="7" t="s">
        <v>53</v>
      </c>
      <c r="D121" s="8" t="str">
        <f>IFERROR(VLOOKUP(C121,产品数据!$B:$D,2,FALSE),"")</f>
        <v>2.5L*6桶/箱</v>
      </c>
      <c r="E121" s="8">
        <v>1</v>
      </c>
      <c r="F121" s="8" t="str">
        <f>IFERROR(VLOOKUP(C121,产品数据!$B:$D,3,FALSE),"")</f>
        <v>桶</v>
      </c>
      <c r="G121" s="6" t="s">
        <v>125</v>
      </c>
    </row>
    <row r="122" spans="1:7">
      <c r="A122" s="6">
        <f t="shared" si="1"/>
        <v>121</v>
      </c>
      <c r="B122" s="5">
        <v>46037</v>
      </c>
      <c r="C122" s="7" t="s">
        <v>50</v>
      </c>
      <c r="D122" s="8" t="str">
        <f>IFERROR(VLOOKUP(C122,产品数据!$B:$D,2,FALSE),"")</f>
        <v>2kg/包*6包/箱</v>
      </c>
      <c r="E122" s="8">
        <v>1</v>
      </c>
      <c r="F122" s="8" t="str">
        <f>IFERROR(VLOOKUP(C122,产品数据!$B:$D,3,FALSE),"")</f>
        <v>包</v>
      </c>
      <c r="G122" s="6" t="s">
        <v>125</v>
      </c>
    </row>
    <row r="123" spans="1:7">
      <c r="A123" s="6">
        <f t="shared" si="1"/>
        <v>122</v>
      </c>
      <c r="B123" s="5">
        <v>46037</v>
      </c>
      <c r="C123" s="7" t="s">
        <v>39</v>
      </c>
      <c r="D123" s="8" t="str">
        <f>IFERROR(VLOOKUP(C123,产品数据!$B:$D,2,FALSE),"")</f>
        <v>10千克/袋</v>
      </c>
      <c r="E123" s="8">
        <v>2</v>
      </c>
      <c r="F123" s="8" t="str">
        <f>IFERROR(VLOOKUP(C123,产品数据!$B:$D,3,FALSE),"")</f>
        <v>袋</v>
      </c>
      <c r="G123" s="6" t="s">
        <v>127</v>
      </c>
    </row>
    <row r="124" spans="1:7">
      <c r="A124" s="6">
        <f t="shared" si="1"/>
        <v>123</v>
      </c>
      <c r="B124" s="5">
        <v>46037</v>
      </c>
      <c r="C124" s="7" t="s">
        <v>40</v>
      </c>
      <c r="D124" s="8" t="str">
        <f>IFERROR(VLOOKUP(C124,产品数据!$B:$D,2,FALSE),"")</f>
        <v>10kg/包</v>
      </c>
      <c r="E124" s="8">
        <v>1</v>
      </c>
      <c r="F124" s="8" t="str">
        <f>IFERROR(VLOOKUP(C124,产品数据!$B:$D,3,FALSE),"")</f>
        <v>包</v>
      </c>
      <c r="G124" s="6" t="s">
        <v>128</v>
      </c>
    </row>
    <row r="125" spans="1:7">
      <c r="A125" s="6">
        <f t="shared" si="1"/>
        <v>124</v>
      </c>
      <c r="B125" s="5">
        <v>46038</v>
      </c>
      <c r="C125" s="7" t="s">
        <v>41</v>
      </c>
      <c r="D125" s="8" t="str">
        <f>IFERROR(VLOOKUP(C125,产品数据!$B:$D,2,FALSE),"")</f>
        <v>5l/*4桶/箱</v>
      </c>
      <c r="E125" s="8">
        <v>4</v>
      </c>
      <c r="F125" s="8" t="str">
        <f>IFERROR(VLOOKUP(C125,产品数据!$B:$D,3,FALSE),"")</f>
        <v>桶</v>
      </c>
      <c r="G125" s="6" t="s">
        <v>125</v>
      </c>
    </row>
    <row r="126" spans="1:7">
      <c r="A126" s="6">
        <f t="shared" si="1"/>
        <v>125</v>
      </c>
      <c r="B126" s="5">
        <v>46038</v>
      </c>
      <c r="C126" s="7" t="s">
        <v>53</v>
      </c>
      <c r="D126" s="8" t="str">
        <f>IFERROR(VLOOKUP(C126,产品数据!$B:$D,2,FALSE),"")</f>
        <v>2.5L*6桶/箱</v>
      </c>
      <c r="E126" s="8">
        <v>2</v>
      </c>
      <c r="F126" s="8" t="str">
        <f>IFERROR(VLOOKUP(C126,产品数据!$B:$D,3,FALSE),"")</f>
        <v>桶</v>
      </c>
      <c r="G126" s="6" t="s">
        <v>125</v>
      </c>
    </row>
    <row r="127" spans="1:7">
      <c r="A127" s="6">
        <f t="shared" si="1"/>
        <v>126</v>
      </c>
      <c r="B127" s="5">
        <v>46038</v>
      </c>
      <c r="C127" s="7" t="s">
        <v>54</v>
      </c>
      <c r="D127" s="8" t="str">
        <f>IFERROR(VLOOKUP(C127,产品数据!$B:$D,2,FALSE),"")</f>
        <v>1kg*6瓶/箱</v>
      </c>
      <c r="E127" s="8">
        <v>1</v>
      </c>
      <c r="F127" s="8" t="str">
        <f>IFERROR(VLOOKUP(C127,产品数据!$B:$D,3,FALSE),"")</f>
        <v>瓶</v>
      </c>
      <c r="G127" s="6" t="s">
        <v>125</v>
      </c>
    </row>
    <row r="128" spans="1:7">
      <c r="A128" s="6">
        <f t="shared" si="1"/>
        <v>127</v>
      </c>
      <c r="B128" s="5">
        <v>46038</v>
      </c>
      <c r="C128" s="7" t="s">
        <v>52</v>
      </c>
      <c r="D128" s="8" t="str">
        <f>IFERROR(VLOOKUP(C128,产品数据!$B:$D,2,FALSE),"")</f>
        <v>705ml/瓶</v>
      </c>
      <c r="E128" s="8">
        <v>1</v>
      </c>
      <c r="F128" s="8" t="str">
        <f>IFERROR(VLOOKUP(C128,产品数据!$B:$D,3,FALSE),"")</f>
        <v>瓶</v>
      </c>
      <c r="G128" s="6" t="s">
        <v>125</v>
      </c>
    </row>
    <row r="129" spans="1:7">
      <c r="A129" s="6">
        <f t="shared" si="1"/>
        <v>128</v>
      </c>
      <c r="B129" s="5">
        <v>46038</v>
      </c>
      <c r="C129" s="7" t="s">
        <v>57</v>
      </c>
      <c r="D129" s="8" t="str">
        <f>IFERROR(VLOOKUP(C129,产品数据!$B:$D,2,FALSE),"")</f>
        <v>400g*25包/箱</v>
      </c>
      <c r="E129" s="8">
        <v>2</v>
      </c>
      <c r="F129" s="8" t="str">
        <f>IFERROR(VLOOKUP(C129,产品数据!$B:$D,3,FALSE),"")</f>
        <v>包</v>
      </c>
      <c r="G129" s="6" t="s">
        <v>125</v>
      </c>
    </row>
    <row r="130" spans="1:7">
      <c r="A130" s="6">
        <f t="shared" ref="A130:A193" si="2">ROW()-1</f>
        <v>129</v>
      </c>
      <c r="B130" s="5">
        <v>46038</v>
      </c>
      <c r="C130" s="7" t="s">
        <v>42</v>
      </c>
      <c r="D130" s="8" t="str">
        <f>IFERROR(VLOOKUP(C130,产品数据!$B:$D,2,FALSE),"")</f>
        <v>1.68L*6壶</v>
      </c>
      <c r="E130" s="8">
        <v>2</v>
      </c>
      <c r="F130" s="8" t="str">
        <f>IFERROR(VLOOKUP(C130,产品数据!$B:$D,3,FALSE),"")</f>
        <v>壶</v>
      </c>
      <c r="G130" s="6" t="s">
        <v>125</v>
      </c>
    </row>
    <row r="131" spans="1:7">
      <c r="A131" s="6">
        <f t="shared" si="2"/>
        <v>130</v>
      </c>
      <c r="B131" s="5">
        <v>46038</v>
      </c>
      <c r="C131" s="7" t="s">
        <v>60</v>
      </c>
      <c r="D131" s="8" t="str">
        <f>IFERROR(VLOOKUP(C131,产品数据!$B:$D,2,FALSE),"")</f>
        <v>150克/包</v>
      </c>
      <c r="E131" s="8">
        <v>2</v>
      </c>
      <c r="F131" s="8" t="str">
        <f>IFERROR(VLOOKUP(C131,产品数据!$B:$D,3,FALSE),"")</f>
        <v>包</v>
      </c>
      <c r="G131" s="6" t="s">
        <v>125</v>
      </c>
    </row>
    <row r="132" spans="1:7">
      <c r="A132" s="6">
        <f t="shared" si="2"/>
        <v>131</v>
      </c>
      <c r="B132" s="5">
        <v>46038</v>
      </c>
      <c r="C132" s="7" t="s">
        <v>61</v>
      </c>
      <c r="D132" s="8" t="str">
        <f>IFERROR(VLOOKUP(C132,产品数据!$B:$D,2,FALSE),"")</f>
        <v>2.5kg/包</v>
      </c>
      <c r="E132" s="8">
        <v>1</v>
      </c>
      <c r="F132" s="8" t="str">
        <f>IFERROR(VLOOKUP(C132,产品数据!$B:$D,3,FALSE),"")</f>
        <v>包</v>
      </c>
      <c r="G132" s="6" t="s">
        <v>125</v>
      </c>
    </row>
    <row r="133" spans="1:7">
      <c r="A133" s="6">
        <f t="shared" si="2"/>
        <v>132</v>
      </c>
      <c r="B133" s="5">
        <v>46038</v>
      </c>
      <c r="C133" s="7" t="s">
        <v>56</v>
      </c>
      <c r="D133" s="8" t="str">
        <f>IFERROR(VLOOKUP(C133,产品数据!$B:$D,2,FALSE),"")</f>
        <v>178g*50包/箱</v>
      </c>
      <c r="E133" s="8">
        <v>5</v>
      </c>
      <c r="F133" s="8" t="str">
        <f>IFERROR(VLOOKUP(C133,产品数据!$B:$D,3,FALSE),"")</f>
        <v>包</v>
      </c>
      <c r="G133" s="6" t="s">
        <v>125</v>
      </c>
    </row>
    <row r="134" spans="1:7">
      <c r="A134" s="6">
        <f t="shared" si="2"/>
        <v>133</v>
      </c>
      <c r="B134" s="5">
        <v>46038</v>
      </c>
      <c r="C134" s="7" t="s">
        <v>63</v>
      </c>
      <c r="D134" s="8" t="str">
        <f>IFERROR(VLOOKUP(C134,产品数据!$B:$D,2,FALSE),"")</f>
        <v>280g/包</v>
      </c>
      <c r="E134" s="8">
        <v>10</v>
      </c>
      <c r="F134" s="8" t="str">
        <f>IFERROR(VLOOKUP(C134,产品数据!$B:$D,3,FALSE),"")</f>
        <v>包</v>
      </c>
      <c r="G134" s="6" t="s">
        <v>125</v>
      </c>
    </row>
    <row r="135" spans="1:7">
      <c r="A135" s="6">
        <f t="shared" si="2"/>
        <v>134</v>
      </c>
      <c r="B135" s="5">
        <v>46038</v>
      </c>
      <c r="C135" s="7" t="s">
        <v>43</v>
      </c>
      <c r="D135" s="8" t="str">
        <f>IFERROR(VLOOKUP(C135,产品数据!$B:$D,2,FALSE),"")</f>
        <v>1.9升/瓶*6瓶/箱</v>
      </c>
      <c r="E135" s="8">
        <v>1</v>
      </c>
      <c r="F135" s="8" t="str">
        <f>IFERROR(VLOOKUP(C135,产品数据!$B:$D,3,FALSE),"")</f>
        <v>瓶</v>
      </c>
      <c r="G135" s="6" t="s">
        <v>128</v>
      </c>
    </row>
    <row r="136" spans="1:7">
      <c r="A136" s="6">
        <f t="shared" si="2"/>
        <v>135</v>
      </c>
      <c r="B136" s="5">
        <v>46038</v>
      </c>
      <c r="C136" s="7" t="s">
        <v>54</v>
      </c>
      <c r="D136" s="8" t="str">
        <f>IFERROR(VLOOKUP(C136,产品数据!$B:$D,2,FALSE),"")</f>
        <v>1kg*6瓶/箱</v>
      </c>
      <c r="E136" s="8">
        <v>1</v>
      </c>
      <c r="F136" s="8" t="str">
        <f>IFERROR(VLOOKUP(C136,产品数据!$B:$D,3,FALSE),"")</f>
        <v>瓶</v>
      </c>
      <c r="G136" s="6" t="s">
        <v>128</v>
      </c>
    </row>
    <row r="137" spans="1:7">
      <c r="A137" s="6">
        <f t="shared" si="2"/>
        <v>136</v>
      </c>
      <c r="B137" s="5">
        <v>46038</v>
      </c>
      <c r="C137" s="7" t="s">
        <v>57</v>
      </c>
      <c r="D137" s="8" t="str">
        <f>IFERROR(VLOOKUP(C137,产品数据!$B:$D,2,FALSE),"")</f>
        <v>400g*25包/箱</v>
      </c>
      <c r="E137" s="8">
        <v>1</v>
      </c>
      <c r="F137" s="8" t="str">
        <f>IFERROR(VLOOKUP(C137,产品数据!$B:$D,3,FALSE),"")</f>
        <v>包</v>
      </c>
      <c r="G137" s="6" t="s">
        <v>128</v>
      </c>
    </row>
    <row r="138" spans="1:7">
      <c r="A138" s="6">
        <f t="shared" si="2"/>
        <v>137</v>
      </c>
      <c r="B138" s="5">
        <v>46038</v>
      </c>
      <c r="C138" s="7" t="s">
        <v>56</v>
      </c>
      <c r="D138" s="8" t="str">
        <f>IFERROR(VLOOKUP(C138,产品数据!$B:$D,2,FALSE),"")</f>
        <v>178g*50包/箱</v>
      </c>
      <c r="E138" s="8">
        <v>5</v>
      </c>
      <c r="F138" s="8" t="str">
        <f>IFERROR(VLOOKUP(C138,产品数据!$B:$D,3,FALSE),"")</f>
        <v>包</v>
      </c>
      <c r="G138" s="6" t="s">
        <v>128</v>
      </c>
    </row>
    <row r="139" spans="1:7">
      <c r="A139" s="6">
        <f t="shared" si="2"/>
        <v>138</v>
      </c>
      <c r="B139" s="5">
        <v>46038</v>
      </c>
      <c r="C139" s="7" t="s">
        <v>39</v>
      </c>
      <c r="D139" s="8" t="str">
        <f>IFERROR(VLOOKUP(C139,产品数据!$B:$D,2,FALSE),"")</f>
        <v>10千克/袋</v>
      </c>
      <c r="E139" s="8">
        <v>3</v>
      </c>
      <c r="F139" s="8" t="str">
        <f>IFERROR(VLOOKUP(C139,产品数据!$B:$D,3,FALSE),"")</f>
        <v>袋</v>
      </c>
      <c r="G139" s="6" t="s">
        <v>127</v>
      </c>
    </row>
    <row r="140" spans="1:7">
      <c r="A140" s="6">
        <f t="shared" si="2"/>
        <v>139</v>
      </c>
      <c r="B140" s="5">
        <v>46038</v>
      </c>
      <c r="C140" s="7" t="s">
        <v>56</v>
      </c>
      <c r="D140" s="8" t="str">
        <f>IFERROR(VLOOKUP(C140,产品数据!$B:$D,2,FALSE),"")</f>
        <v>178g*50包/箱</v>
      </c>
      <c r="E140" s="8">
        <v>5</v>
      </c>
      <c r="F140" s="8" t="str">
        <f>IFERROR(VLOOKUP(C140,产品数据!$B:$D,3,FALSE),"")</f>
        <v>包</v>
      </c>
      <c r="G140" s="6" t="s">
        <v>127</v>
      </c>
    </row>
    <row r="141" spans="1:7">
      <c r="A141" s="6">
        <f t="shared" si="2"/>
        <v>140</v>
      </c>
      <c r="B141" s="5">
        <v>46041</v>
      </c>
      <c r="C141" s="7" t="s">
        <v>41</v>
      </c>
      <c r="D141" s="8" t="str">
        <f>IFERROR(VLOOKUP(C141,产品数据!$B:$D,2,FALSE),"")</f>
        <v>5l/*4桶/箱</v>
      </c>
      <c r="E141" s="8">
        <v>3</v>
      </c>
      <c r="F141" s="8" t="str">
        <f>IFERROR(VLOOKUP(C141,产品数据!$B:$D,3,FALSE),"")</f>
        <v>桶</v>
      </c>
      <c r="G141" s="6" t="s">
        <v>125</v>
      </c>
    </row>
    <row r="142" spans="1:7">
      <c r="A142" s="6">
        <f t="shared" si="2"/>
        <v>141</v>
      </c>
      <c r="B142" s="5">
        <v>46041</v>
      </c>
      <c r="C142" s="7" t="s">
        <v>42</v>
      </c>
      <c r="D142" s="8" t="str">
        <f>IFERROR(VLOOKUP(C142,产品数据!$B:$D,2,FALSE),"")</f>
        <v>1.68L*6壶</v>
      </c>
      <c r="E142" s="8">
        <v>2</v>
      </c>
      <c r="F142" s="8" t="str">
        <f>IFERROR(VLOOKUP(C142,产品数据!$B:$D,3,FALSE),"")</f>
        <v>壶</v>
      </c>
      <c r="G142" s="6" t="s">
        <v>125</v>
      </c>
    </row>
    <row r="143" spans="1:7">
      <c r="A143" s="6">
        <f t="shared" si="2"/>
        <v>142</v>
      </c>
      <c r="B143" s="5">
        <v>46041</v>
      </c>
      <c r="C143" s="7" t="s">
        <v>43</v>
      </c>
      <c r="D143" s="8" t="str">
        <f>IFERROR(VLOOKUP(C143,产品数据!$B:$D,2,FALSE),"")</f>
        <v>1.9升/瓶*6瓶/箱</v>
      </c>
      <c r="E143" s="8">
        <v>2</v>
      </c>
      <c r="F143" s="8" t="str">
        <f>IFERROR(VLOOKUP(C143,产品数据!$B:$D,3,FALSE),"")</f>
        <v>瓶</v>
      </c>
      <c r="G143" s="6" t="s">
        <v>125</v>
      </c>
    </row>
    <row r="144" spans="1:7">
      <c r="A144" s="6">
        <f t="shared" si="2"/>
        <v>143</v>
      </c>
      <c r="B144" s="5">
        <v>46041</v>
      </c>
      <c r="C144" s="7" t="s">
        <v>53</v>
      </c>
      <c r="D144" s="8" t="str">
        <f>IFERROR(VLOOKUP(C144,产品数据!$B:$D,2,FALSE),"")</f>
        <v>2.5L*6桶/箱</v>
      </c>
      <c r="E144" s="8">
        <v>2</v>
      </c>
      <c r="F144" s="8" t="str">
        <f>IFERROR(VLOOKUP(C144,产品数据!$B:$D,3,FALSE),"")</f>
        <v>桶</v>
      </c>
      <c r="G144" s="6" t="s">
        <v>125</v>
      </c>
    </row>
    <row r="145" spans="1:7">
      <c r="A145" s="6">
        <f t="shared" si="2"/>
        <v>144</v>
      </c>
      <c r="B145" s="5">
        <v>46041</v>
      </c>
      <c r="C145" s="7" t="s">
        <v>54</v>
      </c>
      <c r="D145" s="8" t="str">
        <f>IFERROR(VLOOKUP(C145,产品数据!$B:$D,2,FALSE),"")</f>
        <v>1kg*6瓶/箱</v>
      </c>
      <c r="E145" s="8">
        <v>1</v>
      </c>
      <c r="F145" s="8" t="str">
        <f>IFERROR(VLOOKUP(C145,产品数据!$B:$D,3,FALSE),"")</f>
        <v>瓶</v>
      </c>
      <c r="G145" s="6" t="s">
        <v>125</v>
      </c>
    </row>
    <row r="146" spans="1:7">
      <c r="A146" s="6">
        <f t="shared" si="2"/>
        <v>145</v>
      </c>
      <c r="B146" s="5">
        <v>46041</v>
      </c>
      <c r="C146" s="7" t="s">
        <v>57</v>
      </c>
      <c r="D146" s="8" t="str">
        <f>IFERROR(VLOOKUP(C146,产品数据!$B:$D,2,FALSE),"")</f>
        <v>400g*25包/箱</v>
      </c>
      <c r="E146" s="8">
        <v>2</v>
      </c>
      <c r="F146" s="8" t="str">
        <f>IFERROR(VLOOKUP(C146,产品数据!$B:$D,3,FALSE),"")</f>
        <v>包</v>
      </c>
      <c r="G146" s="6" t="s">
        <v>125</v>
      </c>
    </row>
    <row r="147" spans="1:7">
      <c r="A147" s="6">
        <f t="shared" si="2"/>
        <v>146</v>
      </c>
      <c r="B147" s="5">
        <v>46041</v>
      </c>
      <c r="C147" s="7" t="s">
        <v>56</v>
      </c>
      <c r="D147" s="8" t="str">
        <f>IFERROR(VLOOKUP(C147,产品数据!$B:$D,2,FALSE),"")</f>
        <v>178g*50包/箱</v>
      </c>
      <c r="E147" s="8">
        <v>5</v>
      </c>
      <c r="F147" s="8" t="str">
        <f>IFERROR(VLOOKUP(C147,产品数据!$B:$D,3,FALSE),"")</f>
        <v>包</v>
      </c>
      <c r="G147" s="6" t="s">
        <v>125</v>
      </c>
    </row>
    <row r="148" spans="1:7">
      <c r="A148" s="6">
        <f t="shared" si="2"/>
        <v>147</v>
      </c>
      <c r="B148" s="5">
        <v>46041</v>
      </c>
      <c r="C148" s="7" t="s">
        <v>59</v>
      </c>
      <c r="D148" s="8" t="str">
        <f>IFERROR(VLOOKUP(C148,产品数据!$B:$D,2,FALSE),"")</f>
        <v>102克/包</v>
      </c>
      <c r="E148" s="8">
        <v>1</v>
      </c>
      <c r="F148" s="8" t="str">
        <f>IFERROR(VLOOKUP(C148,产品数据!$B:$D,3,FALSE),"")</f>
        <v>包</v>
      </c>
      <c r="G148" s="6" t="s">
        <v>125</v>
      </c>
    </row>
    <row r="149" spans="1:7">
      <c r="A149" s="6">
        <f t="shared" si="2"/>
        <v>148</v>
      </c>
      <c r="B149" s="5">
        <v>46041</v>
      </c>
      <c r="C149" s="7" t="s">
        <v>63</v>
      </c>
      <c r="D149" s="8" t="str">
        <f>IFERROR(VLOOKUP(C149,产品数据!$B:$D,2,FALSE),"")</f>
        <v>280g/包</v>
      </c>
      <c r="E149" s="8">
        <v>5</v>
      </c>
      <c r="F149" s="8" t="str">
        <f>IFERROR(VLOOKUP(C149,产品数据!$B:$D,3,FALSE),"")</f>
        <v>包</v>
      </c>
      <c r="G149" s="6" t="s">
        <v>125</v>
      </c>
    </row>
    <row r="150" spans="1:7">
      <c r="A150" s="6">
        <f t="shared" si="2"/>
        <v>149</v>
      </c>
      <c r="B150" s="5">
        <v>46041</v>
      </c>
      <c r="C150" s="7" t="s">
        <v>41</v>
      </c>
      <c r="D150" s="8" t="str">
        <f>IFERROR(VLOOKUP(C150,产品数据!$B:$D,2,FALSE),"")</f>
        <v>5l/*4桶/箱</v>
      </c>
      <c r="E150" s="8">
        <v>1</v>
      </c>
      <c r="F150" s="8" t="str">
        <f>IFERROR(VLOOKUP(C150,产品数据!$B:$D,3,FALSE),"")</f>
        <v>桶</v>
      </c>
      <c r="G150" s="6" t="s">
        <v>126</v>
      </c>
    </row>
    <row r="151" spans="1:7">
      <c r="A151" s="6">
        <f t="shared" si="2"/>
        <v>150</v>
      </c>
      <c r="B151" s="5">
        <v>46041</v>
      </c>
      <c r="C151" s="7" t="s">
        <v>44</v>
      </c>
      <c r="D151" s="8" t="str">
        <f>IFERROR(VLOOKUP(C151,产品数据!$B:$D,2,FALSE),"")</f>
        <v>1.9升/瓶*6瓶/箱</v>
      </c>
      <c r="E151" s="8">
        <v>1</v>
      </c>
      <c r="F151" s="8" t="str">
        <f>IFERROR(VLOOKUP(C151,产品数据!$B:$D,3,FALSE),"")</f>
        <v>瓶</v>
      </c>
      <c r="G151" s="6" t="s">
        <v>126</v>
      </c>
    </row>
    <row r="152" spans="1:7">
      <c r="A152" s="6">
        <f t="shared" si="2"/>
        <v>151</v>
      </c>
      <c r="B152" s="5">
        <v>46041</v>
      </c>
      <c r="C152" s="7" t="s">
        <v>39</v>
      </c>
      <c r="D152" s="8" t="str">
        <f>IFERROR(VLOOKUP(C152,产品数据!$B:$D,2,FALSE),"")</f>
        <v>10千克/袋</v>
      </c>
      <c r="E152" s="8">
        <v>3</v>
      </c>
      <c r="F152" s="8" t="str">
        <f>IFERROR(VLOOKUP(C152,产品数据!$B:$D,3,FALSE),"")</f>
        <v>袋</v>
      </c>
      <c r="G152" s="6" t="s">
        <v>127</v>
      </c>
    </row>
    <row r="153" spans="1:7">
      <c r="A153" s="6">
        <f t="shared" si="2"/>
        <v>152</v>
      </c>
      <c r="B153" s="5">
        <v>46041</v>
      </c>
      <c r="C153" s="7" t="s">
        <v>40</v>
      </c>
      <c r="D153" s="8" t="str">
        <f>IFERROR(VLOOKUP(C153,产品数据!$B:$D,2,FALSE),"")</f>
        <v>10kg/包</v>
      </c>
      <c r="E153" s="8">
        <v>5</v>
      </c>
      <c r="F153" s="8" t="str">
        <f>IFERROR(VLOOKUP(C153,产品数据!$B:$D,3,FALSE),"")</f>
        <v>包</v>
      </c>
      <c r="G153" s="6" t="s">
        <v>128</v>
      </c>
    </row>
    <row r="154" spans="1:7">
      <c r="A154" s="6">
        <f t="shared" si="2"/>
        <v>153</v>
      </c>
      <c r="B154" s="5">
        <v>46042</v>
      </c>
      <c r="C154" s="7" t="s">
        <v>41</v>
      </c>
      <c r="D154" s="8" t="str">
        <f>IFERROR(VLOOKUP(C154,产品数据!$B:$D,2,FALSE),"")</f>
        <v>5l/*4桶/箱</v>
      </c>
      <c r="E154" s="8">
        <v>4</v>
      </c>
      <c r="F154" s="8" t="str">
        <f>IFERROR(VLOOKUP(C154,产品数据!$B:$D,3,FALSE),"")</f>
        <v>桶</v>
      </c>
      <c r="G154" s="6" t="s">
        <v>125</v>
      </c>
    </row>
    <row r="155" spans="1:7">
      <c r="A155" s="6">
        <f t="shared" si="2"/>
        <v>154</v>
      </c>
      <c r="B155" s="5">
        <v>46042</v>
      </c>
      <c r="C155" s="7" t="s">
        <v>54</v>
      </c>
      <c r="D155" s="8" t="str">
        <f>IFERROR(VLOOKUP(C155,产品数据!$B:$D,2,FALSE),"")</f>
        <v>1kg*6瓶/箱</v>
      </c>
      <c r="E155" s="8">
        <v>1</v>
      </c>
      <c r="F155" s="8" t="str">
        <f>IFERROR(VLOOKUP(C155,产品数据!$B:$D,3,FALSE),"")</f>
        <v>瓶</v>
      </c>
      <c r="G155" s="6" t="s">
        <v>125</v>
      </c>
    </row>
    <row r="156" spans="1:7">
      <c r="A156" s="6">
        <f t="shared" si="2"/>
        <v>155</v>
      </c>
      <c r="B156" s="5">
        <v>46042</v>
      </c>
      <c r="C156" s="7" t="s">
        <v>52</v>
      </c>
      <c r="D156" s="8" t="str">
        <f>IFERROR(VLOOKUP(C156,产品数据!$B:$D,2,FALSE),"")</f>
        <v>705ml/瓶</v>
      </c>
      <c r="E156" s="8">
        <v>1</v>
      </c>
      <c r="F156" s="8" t="str">
        <f>IFERROR(VLOOKUP(C156,产品数据!$B:$D,3,FALSE),"")</f>
        <v>瓶</v>
      </c>
      <c r="G156" s="6" t="s">
        <v>125</v>
      </c>
    </row>
    <row r="157" spans="1:7">
      <c r="A157" s="6">
        <f t="shared" si="2"/>
        <v>156</v>
      </c>
      <c r="B157" s="5">
        <v>46042</v>
      </c>
      <c r="C157" s="7" t="s">
        <v>57</v>
      </c>
      <c r="D157" s="8" t="str">
        <f>IFERROR(VLOOKUP(C157,产品数据!$B:$D,2,FALSE),"")</f>
        <v>400g*25包/箱</v>
      </c>
      <c r="E157" s="8">
        <v>2</v>
      </c>
      <c r="F157" s="8" t="str">
        <f>IFERROR(VLOOKUP(C157,产品数据!$B:$D,3,FALSE),"")</f>
        <v>包</v>
      </c>
      <c r="G157" s="6" t="s">
        <v>125</v>
      </c>
    </row>
    <row r="158" spans="1:7">
      <c r="A158" s="6">
        <f t="shared" si="2"/>
        <v>157</v>
      </c>
      <c r="B158" s="5">
        <v>46042</v>
      </c>
      <c r="C158" s="7" t="s">
        <v>61</v>
      </c>
      <c r="D158" s="8" t="str">
        <f>IFERROR(VLOOKUP(C158,产品数据!$B:$D,2,FALSE),"")</f>
        <v>2.5kg/包</v>
      </c>
      <c r="E158" s="8">
        <v>1</v>
      </c>
      <c r="F158" s="8" t="str">
        <f>IFERROR(VLOOKUP(C158,产品数据!$B:$D,3,FALSE),"")</f>
        <v>包</v>
      </c>
      <c r="G158" s="6" t="s">
        <v>125</v>
      </c>
    </row>
    <row r="159" spans="1:7">
      <c r="A159" s="6">
        <f t="shared" si="2"/>
        <v>158</v>
      </c>
      <c r="B159" s="5">
        <v>46042</v>
      </c>
      <c r="C159" s="7" t="s">
        <v>42</v>
      </c>
      <c r="D159" s="8" t="str">
        <f>IFERROR(VLOOKUP(C159,产品数据!$B:$D,2,FALSE),"")</f>
        <v>1.68L*6壶</v>
      </c>
      <c r="E159" s="8">
        <v>1</v>
      </c>
      <c r="F159" s="8" t="str">
        <f>IFERROR(VLOOKUP(C159,产品数据!$B:$D,3,FALSE),"")</f>
        <v>壶</v>
      </c>
      <c r="G159" s="6" t="s">
        <v>125</v>
      </c>
    </row>
    <row r="160" spans="1:7">
      <c r="A160" s="6">
        <f t="shared" si="2"/>
        <v>159</v>
      </c>
      <c r="B160" s="5">
        <v>46042</v>
      </c>
      <c r="C160" s="7" t="s">
        <v>59</v>
      </c>
      <c r="D160" s="8" t="str">
        <f>IFERROR(VLOOKUP(C160,产品数据!$B:$D,2,FALSE),"")</f>
        <v>102克/包</v>
      </c>
      <c r="E160" s="8">
        <v>2</v>
      </c>
      <c r="F160" s="8" t="str">
        <f>IFERROR(VLOOKUP(C160,产品数据!$B:$D,3,FALSE),"")</f>
        <v>包</v>
      </c>
      <c r="G160" s="6" t="s">
        <v>125</v>
      </c>
    </row>
    <row r="161" spans="1:7">
      <c r="A161" s="6">
        <f t="shared" si="2"/>
        <v>160</v>
      </c>
      <c r="B161" s="5">
        <v>46042</v>
      </c>
      <c r="C161" s="7" t="s">
        <v>56</v>
      </c>
      <c r="D161" s="8" t="str">
        <f>IFERROR(VLOOKUP(C161,产品数据!$B:$D,2,FALSE),"")</f>
        <v>178g*50包/箱</v>
      </c>
      <c r="E161" s="8">
        <v>2</v>
      </c>
      <c r="F161" s="8" t="str">
        <f>IFERROR(VLOOKUP(C161,产品数据!$B:$D,3,FALSE),"")</f>
        <v>包</v>
      </c>
      <c r="G161" s="6" t="s">
        <v>129</v>
      </c>
    </row>
    <row r="162" spans="1:7">
      <c r="A162" s="6">
        <f t="shared" si="2"/>
        <v>161</v>
      </c>
      <c r="B162" s="5">
        <v>46042</v>
      </c>
      <c r="C162" s="7" t="s">
        <v>43</v>
      </c>
      <c r="D162" s="8" t="str">
        <f>IFERROR(VLOOKUP(C162,产品数据!$B:$D,2,FALSE),"")</f>
        <v>1.9升/瓶*6瓶/箱</v>
      </c>
      <c r="E162" s="8">
        <v>1</v>
      </c>
      <c r="F162" s="8" t="str">
        <f>IFERROR(VLOOKUP(C162,产品数据!$B:$D,3,FALSE),"")</f>
        <v>瓶</v>
      </c>
      <c r="G162" s="6" t="s">
        <v>129</v>
      </c>
    </row>
    <row r="163" spans="1:7">
      <c r="A163" s="6">
        <f t="shared" si="2"/>
        <v>162</v>
      </c>
      <c r="B163" s="5">
        <v>46042</v>
      </c>
      <c r="C163" s="7" t="s">
        <v>54</v>
      </c>
      <c r="D163" s="8" t="str">
        <f>IFERROR(VLOOKUP(C163,产品数据!$B:$D,2,FALSE),"")</f>
        <v>1kg*6瓶/箱</v>
      </c>
      <c r="E163" s="8">
        <v>1</v>
      </c>
      <c r="F163" s="8" t="str">
        <f>IFERROR(VLOOKUP(C163,产品数据!$B:$D,3,FALSE),"")</f>
        <v>瓶</v>
      </c>
      <c r="G163" s="6" t="s">
        <v>129</v>
      </c>
    </row>
    <row r="164" spans="1:7">
      <c r="A164" s="6">
        <f t="shared" si="2"/>
        <v>163</v>
      </c>
      <c r="B164" s="5">
        <v>46042</v>
      </c>
      <c r="C164" s="7" t="s">
        <v>59</v>
      </c>
      <c r="D164" s="8" t="str">
        <f>IFERROR(VLOOKUP(C164,产品数据!$B:$D,2,FALSE),"")</f>
        <v>102克/包</v>
      </c>
      <c r="E164" s="8">
        <v>1</v>
      </c>
      <c r="F164" s="8" t="str">
        <f>IFERROR(VLOOKUP(C164,产品数据!$B:$D,3,FALSE),"")</f>
        <v>包</v>
      </c>
      <c r="G164" s="6" t="s">
        <v>129</v>
      </c>
    </row>
    <row r="165" spans="1:7">
      <c r="A165" s="6">
        <f t="shared" si="2"/>
        <v>164</v>
      </c>
      <c r="B165" s="5">
        <v>46042</v>
      </c>
      <c r="C165" s="7" t="s">
        <v>39</v>
      </c>
      <c r="D165" s="8" t="str">
        <f>IFERROR(VLOOKUP(C165,产品数据!$B:$D,2,FALSE),"")</f>
        <v>10千克/袋</v>
      </c>
      <c r="E165" s="8">
        <v>3</v>
      </c>
      <c r="F165" s="8" t="str">
        <f>IFERROR(VLOOKUP(C165,产品数据!$B:$D,3,FALSE),"")</f>
        <v>袋</v>
      </c>
      <c r="G165" s="6" t="s">
        <v>127</v>
      </c>
    </row>
    <row r="166" spans="1:7">
      <c r="A166" s="6">
        <f t="shared" si="2"/>
        <v>165</v>
      </c>
      <c r="B166" s="5">
        <v>46042</v>
      </c>
      <c r="C166" s="7" t="s">
        <v>56</v>
      </c>
      <c r="D166" s="8" t="str">
        <f>IFERROR(VLOOKUP(C166,产品数据!$B:$D,2,FALSE),"")</f>
        <v>178g*50包/箱</v>
      </c>
      <c r="E166" s="8">
        <v>5</v>
      </c>
      <c r="F166" s="8" t="str">
        <f>IFERROR(VLOOKUP(C166,产品数据!$B:$D,3,FALSE),"")</f>
        <v>包</v>
      </c>
      <c r="G166" s="6" t="s">
        <v>127</v>
      </c>
    </row>
    <row r="167" spans="1:7">
      <c r="A167" s="6">
        <f t="shared" si="2"/>
        <v>166</v>
      </c>
      <c r="B167" s="5">
        <v>46043</v>
      </c>
      <c r="C167" s="7" t="s">
        <v>41</v>
      </c>
      <c r="D167" s="8" t="str">
        <f>IFERROR(VLOOKUP(C167,产品数据!$B:$D,2,FALSE),"")</f>
        <v>5l/*4桶/箱</v>
      </c>
      <c r="E167" s="8">
        <v>3</v>
      </c>
      <c r="F167" s="8" t="str">
        <f>IFERROR(VLOOKUP(C167,产品数据!$B:$D,3,FALSE),"")</f>
        <v>桶</v>
      </c>
      <c r="G167" s="6" t="s">
        <v>125</v>
      </c>
    </row>
    <row r="168" spans="1:7">
      <c r="A168" s="6">
        <f t="shared" si="2"/>
        <v>167</v>
      </c>
      <c r="B168" s="5">
        <v>46043</v>
      </c>
      <c r="C168" s="7" t="s">
        <v>44</v>
      </c>
      <c r="D168" s="8" t="str">
        <f>IFERROR(VLOOKUP(C168,产品数据!$B:$D,2,FALSE),"")</f>
        <v>1.9升/瓶*6瓶/箱</v>
      </c>
      <c r="E168" s="8">
        <v>1</v>
      </c>
      <c r="F168" s="8" t="str">
        <f>IFERROR(VLOOKUP(C168,产品数据!$B:$D,3,FALSE),"")</f>
        <v>瓶</v>
      </c>
      <c r="G168" s="6" t="s">
        <v>125</v>
      </c>
    </row>
    <row r="169" spans="1:7">
      <c r="A169" s="6">
        <f t="shared" si="2"/>
        <v>168</v>
      </c>
      <c r="B169" s="5">
        <v>46043</v>
      </c>
      <c r="C169" s="7" t="s">
        <v>43</v>
      </c>
      <c r="D169" s="8" t="str">
        <f>IFERROR(VLOOKUP(C169,产品数据!$B:$D,2,FALSE),"")</f>
        <v>1.9升/瓶*6瓶/箱</v>
      </c>
      <c r="E169" s="8">
        <v>1</v>
      </c>
      <c r="F169" s="8" t="str">
        <f>IFERROR(VLOOKUP(C169,产品数据!$B:$D,3,FALSE),"")</f>
        <v>瓶</v>
      </c>
      <c r="G169" s="6" t="s">
        <v>125</v>
      </c>
    </row>
    <row r="170" spans="1:7">
      <c r="A170" s="6">
        <f t="shared" si="2"/>
        <v>169</v>
      </c>
      <c r="B170" s="5">
        <v>46043</v>
      </c>
      <c r="C170" s="7" t="s">
        <v>42</v>
      </c>
      <c r="D170" s="8" t="str">
        <f>IFERROR(VLOOKUP(C170,产品数据!$B:$D,2,FALSE),"")</f>
        <v>1.68L*6壶</v>
      </c>
      <c r="E170" s="8">
        <v>1</v>
      </c>
      <c r="F170" s="8" t="str">
        <f>IFERROR(VLOOKUP(C170,产品数据!$B:$D,3,FALSE),"")</f>
        <v>壶</v>
      </c>
      <c r="G170" s="6" t="s">
        <v>125</v>
      </c>
    </row>
    <row r="171" spans="1:7">
      <c r="A171" s="6">
        <f t="shared" si="2"/>
        <v>170</v>
      </c>
      <c r="B171" s="5">
        <v>46043</v>
      </c>
      <c r="C171" s="7" t="s">
        <v>54</v>
      </c>
      <c r="D171" s="8" t="str">
        <f>IFERROR(VLOOKUP(C171,产品数据!$B:$D,2,FALSE),"")</f>
        <v>1kg*6瓶/箱</v>
      </c>
      <c r="E171" s="8">
        <v>1</v>
      </c>
      <c r="F171" s="8" t="str">
        <f>IFERROR(VLOOKUP(C171,产品数据!$B:$D,3,FALSE),"")</f>
        <v>瓶</v>
      </c>
      <c r="G171" s="6" t="s">
        <v>125</v>
      </c>
    </row>
    <row r="172" spans="1:7">
      <c r="A172" s="6">
        <f t="shared" si="2"/>
        <v>171</v>
      </c>
      <c r="B172" s="5">
        <v>46043</v>
      </c>
      <c r="C172" s="7" t="s">
        <v>57</v>
      </c>
      <c r="D172" s="8" t="str">
        <f>IFERROR(VLOOKUP(C172,产品数据!$B:$D,2,FALSE),"")</f>
        <v>400g*25包/箱</v>
      </c>
      <c r="E172" s="8">
        <v>1</v>
      </c>
      <c r="F172" s="8" t="str">
        <f>IFERROR(VLOOKUP(C172,产品数据!$B:$D,3,FALSE),"")</f>
        <v>包</v>
      </c>
      <c r="G172" s="6" t="s">
        <v>125</v>
      </c>
    </row>
    <row r="173" spans="1:7">
      <c r="A173" s="6">
        <f t="shared" si="2"/>
        <v>172</v>
      </c>
      <c r="B173" s="5">
        <v>46043</v>
      </c>
      <c r="C173" s="7" t="s">
        <v>53</v>
      </c>
      <c r="D173" s="8" t="str">
        <f>IFERROR(VLOOKUP(C173,产品数据!$B:$D,2,FALSE),"")</f>
        <v>2.5L*6桶/箱</v>
      </c>
      <c r="E173" s="8">
        <v>1</v>
      </c>
      <c r="F173" s="8" t="str">
        <f>IFERROR(VLOOKUP(C173,产品数据!$B:$D,3,FALSE),"")</f>
        <v>桶</v>
      </c>
      <c r="G173" s="6" t="s">
        <v>125</v>
      </c>
    </row>
    <row r="174" spans="1:7">
      <c r="A174" s="6">
        <f t="shared" si="2"/>
        <v>173</v>
      </c>
      <c r="B174" s="5">
        <v>46043</v>
      </c>
      <c r="C174" s="7" t="s">
        <v>52</v>
      </c>
      <c r="D174" s="8" t="str">
        <f>IFERROR(VLOOKUP(C174,产品数据!$B:$D,2,FALSE),"")</f>
        <v>705ml/瓶</v>
      </c>
      <c r="E174" s="8">
        <v>1</v>
      </c>
      <c r="F174" s="8" t="str">
        <f>IFERROR(VLOOKUP(C174,产品数据!$B:$D,3,FALSE),"")</f>
        <v>瓶</v>
      </c>
      <c r="G174" s="6" t="s">
        <v>125</v>
      </c>
    </row>
    <row r="175" spans="1:7">
      <c r="A175" s="6">
        <f t="shared" si="2"/>
        <v>174</v>
      </c>
      <c r="B175" s="5">
        <v>46043</v>
      </c>
      <c r="C175" s="7" t="s">
        <v>54</v>
      </c>
      <c r="D175" s="8" t="str">
        <f>IFERROR(VLOOKUP(C175,产品数据!$B:$D,2,FALSE),"")</f>
        <v>1kg*6瓶/箱</v>
      </c>
      <c r="E175" s="8">
        <v>1</v>
      </c>
      <c r="F175" s="8" t="str">
        <f>IFERROR(VLOOKUP(C175,产品数据!$B:$D,3,FALSE),"")</f>
        <v>瓶</v>
      </c>
      <c r="G175" s="6" t="s">
        <v>128</v>
      </c>
    </row>
    <row r="176" spans="1:7">
      <c r="A176" s="6">
        <f t="shared" si="2"/>
        <v>175</v>
      </c>
      <c r="B176" s="5">
        <v>46043</v>
      </c>
      <c r="C176" s="7" t="s">
        <v>57</v>
      </c>
      <c r="D176" s="8" t="str">
        <f>IFERROR(VLOOKUP(C176,产品数据!$B:$D,2,FALSE),"")</f>
        <v>400g*25包/箱</v>
      </c>
      <c r="E176" s="8">
        <v>1</v>
      </c>
      <c r="F176" s="8" t="str">
        <f>IFERROR(VLOOKUP(C176,产品数据!$B:$D,3,FALSE),"")</f>
        <v>包</v>
      </c>
      <c r="G176" s="6" t="s">
        <v>128</v>
      </c>
    </row>
    <row r="177" spans="1:7">
      <c r="A177" s="6">
        <f t="shared" si="2"/>
        <v>176</v>
      </c>
      <c r="B177" s="5">
        <v>46043</v>
      </c>
      <c r="C177" s="7" t="s">
        <v>39</v>
      </c>
      <c r="D177" s="8" t="str">
        <f>IFERROR(VLOOKUP(C177,产品数据!$B:$D,2,FALSE),"")</f>
        <v>10千克/袋</v>
      </c>
      <c r="E177" s="8">
        <v>2</v>
      </c>
      <c r="F177" s="8" t="str">
        <f>IFERROR(VLOOKUP(C177,产品数据!$B:$D,3,FALSE),"")</f>
        <v>袋</v>
      </c>
      <c r="G177" s="6" t="s">
        <v>127</v>
      </c>
    </row>
    <row r="178" spans="1:7">
      <c r="A178" s="6">
        <f t="shared" si="2"/>
        <v>177</v>
      </c>
      <c r="B178" s="5">
        <v>46044</v>
      </c>
      <c r="C178" s="7" t="s">
        <v>41</v>
      </c>
      <c r="D178" s="8" t="str">
        <f>IFERROR(VLOOKUP(C178,产品数据!$B:$D,2,FALSE),"")</f>
        <v>5l/*4桶/箱</v>
      </c>
      <c r="E178" s="8">
        <v>3</v>
      </c>
      <c r="F178" s="8" t="str">
        <f>IFERROR(VLOOKUP(C178,产品数据!$B:$D,3,FALSE),"")</f>
        <v>桶</v>
      </c>
      <c r="G178" s="6" t="s">
        <v>125</v>
      </c>
    </row>
    <row r="179" spans="1:7">
      <c r="A179" s="6">
        <f t="shared" si="2"/>
        <v>178</v>
      </c>
      <c r="B179" s="5">
        <v>46044</v>
      </c>
      <c r="C179" s="7" t="s">
        <v>53</v>
      </c>
      <c r="D179" s="8" t="str">
        <f>IFERROR(VLOOKUP(C179,产品数据!$B:$D,2,FALSE),"")</f>
        <v>2.5L*6桶/箱</v>
      </c>
      <c r="E179" s="8">
        <v>1</v>
      </c>
      <c r="F179" s="8" t="str">
        <f>IFERROR(VLOOKUP(C179,产品数据!$B:$D,3,FALSE),"")</f>
        <v>桶</v>
      </c>
      <c r="G179" s="6" t="s">
        <v>125</v>
      </c>
    </row>
    <row r="180" spans="1:7">
      <c r="A180" s="6">
        <f t="shared" si="2"/>
        <v>179</v>
      </c>
      <c r="B180" s="5">
        <v>46044</v>
      </c>
      <c r="C180" s="7" t="s">
        <v>54</v>
      </c>
      <c r="D180" s="8" t="str">
        <f>IFERROR(VLOOKUP(C180,产品数据!$B:$D,2,FALSE),"")</f>
        <v>1kg*6瓶/箱</v>
      </c>
      <c r="E180" s="8">
        <v>1</v>
      </c>
      <c r="F180" s="8" t="str">
        <f>IFERROR(VLOOKUP(C180,产品数据!$B:$D,3,FALSE),"")</f>
        <v>瓶</v>
      </c>
      <c r="G180" s="6" t="s">
        <v>125</v>
      </c>
    </row>
    <row r="181" spans="1:7">
      <c r="A181" s="6">
        <f t="shared" si="2"/>
        <v>180</v>
      </c>
      <c r="B181" s="5">
        <v>46044</v>
      </c>
      <c r="C181" s="7" t="s">
        <v>52</v>
      </c>
      <c r="D181" s="8" t="str">
        <f>IFERROR(VLOOKUP(C181,产品数据!$B:$D,2,FALSE),"")</f>
        <v>705ml/瓶</v>
      </c>
      <c r="E181" s="8">
        <v>1</v>
      </c>
      <c r="F181" s="8" t="str">
        <f>IFERROR(VLOOKUP(C181,产品数据!$B:$D,3,FALSE),"")</f>
        <v>瓶</v>
      </c>
      <c r="G181" s="6" t="s">
        <v>125</v>
      </c>
    </row>
    <row r="182" spans="1:7">
      <c r="A182" s="6">
        <f t="shared" si="2"/>
        <v>181</v>
      </c>
      <c r="B182" s="5">
        <v>46044</v>
      </c>
      <c r="C182" s="7" t="s">
        <v>57</v>
      </c>
      <c r="D182" s="8" t="str">
        <f>IFERROR(VLOOKUP(C182,产品数据!$B:$D,2,FALSE),"")</f>
        <v>400g*25包/箱</v>
      </c>
      <c r="E182" s="8">
        <v>2</v>
      </c>
      <c r="F182" s="8" t="str">
        <f>IFERROR(VLOOKUP(C182,产品数据!$B:$D,3,FALSE),"")</f>
        <v>包</v>
      </c>
      <c r="G182" s="6" t="s">
        <v>125</v>
      </c>
    </row>
    <row r="183" spans="1:7">
      <c r="A183" s="6">
        <f t="shared" si="2"/>
        <v>182</v>
      </c>
      <c r="B183" s="5">
        <v>46044</v>
      </c>
      <c r="C183" s="7" t="s">
        <v>63</v>
      </c>
      <c r="D183" s="8" t="str">
        <f>IFERROR(VLOOKUP(C183,产品数据!$B:$D,2,FALSE),"")</f>
        <v>280g/包</v>
      </c>
      <c r="E183" s="8">
        <v>10</v>
      </c>
      <c r="F183" s="8" t="str">
        <f>IFERROR(VLOOKUP(C183,产品数据!$B:$D,3,FALSE),"")</f>
        <v>包</v>
      </c>
      <c r="G183" s="6" t="s">
        <v>125</v>
      </c>
    </row>
    <row r="184" spans="1:7">
      <c r="A184" s="6">
        <f t="shared" si="2"/>
        <v>183</v>
      </c>
      <c r="B184" s="5">
        <v>46044</v>
      </c>
      <c r="C184" s="7" t="s">
        <v>61</v>
      </c>
      <c r="D184" s="8" t="str">
        <f>IFERROR(VLOOKUP(C184,产品数据!$B:$D,2,FALSE),"")</f>
        <v>2.5kg/包</v>
      </c>
      <c r="E184" s="8">
        <v>1</v>
      </c>
      <c r="F184" s="8" t="str">
        <f>IFERROR(VLOOKUP(C184,产品数据!$B:$D,3,FALSE),"")</f>
        <v>包</v>
      </c>
      <c r="G184" s="6" t="s">
        <v>125</v>
      </c>
    </row>
    <row r="185" spans="1:7">
      <c r="A185" s="6">
        <f t="shared" si="2"/>
        <v>184</v>
      </c>
      <c r="B185" s="5">
        <v>46044</v>
      </c>
      <c r="C185" s="7" t="s">
        <v>39</v>
      </c>
      <c r="D185" s="8" t="str">
        <f>IFERROR(VLOOKUP(C185,产品数据!$B:$D,2,FALSE),"")</f>
        <v>10千克/袋</v>
      </c>
      <c r="E185" s="8">
        <v>3</v>
      </c>
      <c r="F185" s="8" t="str">
        <f>IFERROR(VLOOKUP(C185,产品数据!$B:$D,3,FALSE),"")</f>
        <v>袋</v>
      </c>
      <c r="G185" s="6" t="s">
        <v>127</v>
      </c>
    </row>
    <row r="186" spans="1:7">
      <c r="A186" s="6">
        <f t="shared" si="2"/>
        <v>185</v>
      </c>
      <c r="B186" s="5">
        <v>46044</v>
      </c>
      <c r="C186" s="7" t="s">
        <v>40</v>
      </c>
      <c r="D186" s="8" t="str">
        <f>IFERROR(VLOOKUP(C186,产品数据!$B:$D,2,FALSE),"")</f>
        <v>10kg/包</v>
      </c>
      <c r="E186" s="8">
        <v>4</v>
      </c>
      <c r="F186" s="8" t="str">
        <f>IFERROR(VLOOKUP(C186,产品数据!$B:$D,3,FALSE),"")</f>
        <v>包</v>
      </c>
      <c r="G186" s="6" t="s">
        <v>128</v>
      </c>
    </row>
    <row r="187" spans="1:7">
      <c r="A187" s="6">
        <f t="shared" si="2"/>
        <v>186</v>
      </c>
      <c r="B187" s="5">
        <v>46045</v>
      </c>
      <c r="C187" s="7" t="s">
        <v>41</v>
      </c>
      <c r="D187" s="8" t="str">
        <f>IFERROR(VLOOKUP(C187,产品数据!$B:$D,2,FALSE),"")</f>
        <v>5l/*4桶/箱</v>
      </c>
      <c r="E187" s="8">
        <v>4</v>
      </c>
      <c r="F187" s="8" t="str">
        <f>IFERROR(VLOOKUP(C187,产品数据!$B:$D,3,FALSE),"")</f>
        <v>桶</v>
      </c>
      <c r="G187" s="6" t="s">
        <v>125</v>
      </c>
    </row>
    <row r="188" spans="1:7">
      <c r="A188" s="6">
        <f t="shared" si="2"/>
        <v>187</v>
      </c>
      <c r="B188" s="5">
        <v>46045</v>
      </c>
      <c r="C188" s="7" t="s">
        <v>42</v>
      </c>
      <c r="D188" s="8" t="str">
        <f>IFERROR(VLOOKUP(C188,产品数据!$B:$D,2,FALSE),"")</f>
        <v>1.68L*6壶</v>
      </c>
      <c r="E188" s="8">
        <v>2</v>
      </c>
      <c r="F188" s="8" t="str">
        <f>IFERROR(VLOOKUP(C188,产品数据!$B:$D,3,FALSE),"")</f>
        <v>壶</v>
      </c>
      <c r="G188" s="6" t="s">
        <v>125</v>
      </c>
    </row>
    <row r="189" spans="1:7">
      <c r="A189" s="6">
        <f t="shared" si="2"/>
        <v>188</v>
      </c>
      <c r="B189" s="5">
        <v>46045</v>
      </c>
      <c r="C189" s="7" t="s">
        <v>53</v>
      </c>
      <c r="D189" s="8" t="str">
        <f>IFERROR(VLOOKUP(C189,产品数据!$B:$D,2,FALSE),"")</f>
        <v>2.5L*6桶/箱</v>
      </c>
      <c r="E189" s="8">
        <v>2</v>
      </c>
      <c r="F189" s="8" t="str">
        <f>IFERROR(VLOOKUP(C189,产品数据!$B:$D,3,FALSE),"")</f>
        <v>桶</v>
      </c>
      <c r="G189" s="6" t="s">
        <v>125</v>
      </c>
    </row>
    <row r="190" spans="1:7">
      <c r="A190" s="6">
        <f t="shared" si="2"/>
        <v>189</v>
      </c>
      <c r="B190" s="5">
        <v>46045</v>
      </c>
      <c r="C190" s="7" t="s">
        <v>57</v>
      </c>
      <c r="D190" s="8" t="str">
        <f>IFERROR(VLOOKUP(C190,产品数据!$B:$D,2,FALSE),"")</f>
        <v>400g*25包/箱</v>
      </c>
      <c r="E190" s="8">
        <v>2</v>
      </c>
      <c r="F190" s="8" t="str">
        <f>IFERROR(VLOOKUP(C190,产品数据!$B:$D,3,FALSE),"")</f>
        <v>包</v>
      </c>
      <c r="G190" s="6" t="s">
        <v>125</v>
      </c>
    </row>
    <row r="191" spans="1:7">
      <c r="A191" s="6">
        <f t="shared" si="2"/>
        <v>190</v>
      </c>
      <c r="B191" s="5">
        <v>46045</v>
      </c>
      <c r="C191" s="7" t="s">
        <v>54</v>
      </c>
      <c r="D191" s="8" t="str">
        <f>IFERROR(VLOOKUP(C191,产品数据!$B:$D,2,FALSE),"")</f>
        <v>1kg*6瓶/箱</v>
      </c>
      <c r="E191" s="8">
        <v>1</v>
      </c>
      <c r="F191" s="8" t="str">
        <f>IFERROR(VLOOKUP(C191,产品数据!$B:$D,3,FALSE),"")</f>
        <v>瓶</v>
      </c>
      <c r="G191" s="6" t="s">
        <v>125</v>
      </c>
    </row>
    <row r="192" spans="1:7">
      <c r="A192" s="6">
        <f t="shared" si="2"/>
        <v>191</v>
      </c>
      <c r="B192" s="5">
        <v>46045</v>
      </c>
      <c r="C192" s="7" t="s">
        <v>52</v>
      </c>
      <c r="D192" s="8" t="str">
        <f>IFERROR(VLOOKUP(C192,产品数据!$B:$D,2,FALSE),"")</f>
        <v>705ml/瓶</v>
      </c>
      <c r="E192" s="8">
        <v>1</v>
      </c>
      <c r="F192" s="8" t="str">
        <f>IFERROR(VLOOKUP(C192,产品数据!$B:$D,3,FALSE),"")</f>
        <v>瓶</v>
      </c>
      <c r="G192" s="6" t="s">
        <v>125</v>
      </c>
    </row>
    <row r="193" spans="1:7">
      <c r="A193" s="6">
        <f t="shared" si="2"/>
        <v>192</v>
      </c>
      <c r="B193" s="5">
        <v>46045</v>
      </c>
      <c r="C193" s="7" t="s">
        <v>63</v>
      </c>
      <c r="D193" s="8" t="str">
        <f>IFERROR(VLOOKUP(C193,产品数据!$B:$D,2,FALSE),"")</f>
        <v>280g/包</v>
      </c>
      <c r="E193" s="8">
        <v>5</v>
      </c>
      <c r="F193" s="8" t="str">
        <f>IFERROR(VLOOKUP(C193,产品数据!$B:$D,3,FALSE),"")</f>
        <v>包</v>
      </c>
      <c r="G193" s="6" t="s">
        <v>125</v>
      </c>
    </row>
    <row r="194" spans="1:7">
      <c r="A194" s="6">
        <f t="shared" ref="A194:A257" si="3">ROW()-1</f>
        <v>193</v>
      </c>
      <c r="B194" s="5">
        <v>46045</v>
      </c>
      <c r="C194" s="7" t="s">
        <v>56</v>
      </c>
      <c r="D194" s="8" t="str">
        <f>IFERROR(VLOOKUP(C194,产品数据!$B:$D,2,FALSE),"")</f>
        <v>178g*50包/箱</v>
      </c>
      <c r="E194" s="8">
        <v>5</v>
      </c>
      <c r="F194" s="8" t="str">
        <f>IFERROR(VLOOKUP(C194,产品数据!$B:$D,3,FALSE),"")</f>
        <v>包</v>
      </c>
      <c r="G194" s="6" t="s">
        <v>125</v>
      </c>
    </row>
    <row r="195" spans="1:7">
      <c r="A195" s="6">
        <f t="shared" si="3"/>
        <v>194</v>
      </c>
      <c r="B195" s="5">
        <v>46045</v>
      </c>
      <c r="C195" s="7" t="s">
        <v>60</v>
      </c>
      <c r="D195" s="8" t="str">
        <f>IFERROR(VLOOKUP(C195,产品数据!$B:$D,2,FALSE),"")</f>
        <v>150克/包</v>
      </c>
      <c r="E195" s="8">
        <v>2</v>
      </c>
      <c r="F195" s="8" t="str">
        <f>IFERROR(VLOOKUP(C195,产品数据!$B:$D,3,FALSE),"")</f>
        <v>包</v>
      </c>
      <c r="G195" s="6" t="s">
        <v>125</v>
      </c>
    </row>
    <row r="196" spans="1:7">
      <c r="A196" s="6">
        <f t="shared" si="3"/>
        <v>195</v>
      </c>
      <c r="B196" s="5">
        <v>46045</v>
      </c>
      <c r="C196" s="7" t="s">
        <v>58</v>
      </c>
      <c r="D196" s="8" t="str">
        <f>IFERROR(VLOOKUP(C196,产品数据!$B:$D,2,FALSE),"")</f>
        <v>200克/包</v>
      </c>
      <c r="E196" s="8">
        <v>2</v>
      </c>
      <c r="F196" s="8" t="str">
        <f>IFERROR(VLOOKUP(C196,产品数据!$B:$D,3,FALSE),"")</f>
        <v>包</v>
      </c>
      <c r="G196" s="6" t="s">
        <v>125</v>
      </c>
    </row>
    <row r="197" spans="1:7">
      <c r="A197" s="6">
        <f t="shared" si="3"/>
        <v>196</v>
      </c>
      <c r="B197" s="5">
        <v>46045</v>
      </c>
      <c r="C197" s="7" t="s">
        <v>44</v>
      </c>
      <c r="D197" s="8" t="str">
        <f>IFERROR(VLOOKUP(C197,产品数据!$B:$D,2,FALSE),"")</f>
        <v>1.9升/瓶*6瓶/箱</v>
      </c>
      <c r="E197" s="8">
        <v>1</v>
      </c>
      <c r="F197" s="8" t="str">
        <f>IFERROR(VLOOKUP(C197,产品数据!$B:$D,3,FALSE),"")</f>
        <v>瓶</v>
      </c>
      <c r="G197" s="6" t="s">
        <v>125</v>
      </c>
    </row>
    <row r="198" spans="1:7">
      <c r="A198" s="6">
        <f t="shared" si="3"/>
        <v>197</v>
      </c>
      <c r="B198" s="5">
        <v>46045</v>
      </c>
      <c r="C198" s="7" t="s">
        <v>43</v>
      </c>
      <c r="D198" s="8" t="str">
        <f>IFERROR(VLOOKUP(C198,产品数据!$B:$D,2,FALSE),"")</f>
        <v>1.9升/瓶*6瓶/箱</v>
      </c>
      <c r="E198" s="8">
        <v>1</v>
      </c>
      <c r="F198" s="8" t="str">
        <f>IFERROR(VLOOKUP(C198,产品数据!$B:$D,3,FALSE),"")</f>
        <v>瓶</v>
      </c>
      <c r="G198" s="6" t="s">
        <v>125</v>
      </c>
    </row>
    <row r="199" spans="1:7">
      <c r="A199" s="6">
        <f t="shared" si="3"/>
        <v>198</v>
      </c>
      <c r="B199" s="5">
        <v>46045</v>
      </c>
      <c r="C199" s="7" t="s">
        <v>56</v>
      </c>
      <c r="D199" s="8" t="str">
        <f>IFERROR(VLOOKUP(C199,产品数据!$B:$D,2,FALSE),"")</f>
        <v>178g*50包/箱</v>
      </c>
      <c r="E199" s="8">
        <v>5</v>
      </c>
      <c r="F199" s="8" t="str">
        <f>IFERROR(VLOOKUP(C199,产品数据!$B:$D,3,FALSE),"")</f>
        <v>包</v>
      </c>
      <c r="G199" s="6" t="s">
        <v>127</v>
      </c>
    </row>
    <row r="200" spans="1:7">
      <c r="A200" s="6">
        <f t="shared" si="3"/>
        <v>199</v>
      </c>
      <c r="B200" s="5">
        <v>46045</v>
      </c>
      <c r="C200" s="7" t="s">
        <v>49</v>
      </c>
      <c r="D200" s="8" t="str">
        <f>IFERROR(VLOOKUP(C200,产品数据!$B:$D,2,FALSE),"")</f>
        <v>180g/包</v>
      </c>
      <c r="E200" s="8">
        <v>1</v>
      </c>
      <c r="F200" s="8" t="str">
        <f>IFERROR(VLOOKUP(C200,产品数据!$B:$D,3,FALSE),"")</f>
        <v>包</v>
      </c>
      <c r="G200" s="6" t="s">
        <v>127</v>
      </c>
    </row>
    <row r="201" spans="1:7">
      <c r="A201" s="6">
        <f t="shared" si="3"/>
        <v>200</v>
      </c>
      <c r="B201" s="5">
        <v>46045</v>
      </c>
      <c r="C201" s="7" t="s">
        <v>39</v>
      </c>
      <c r="D201" s="8" t="str">
        <f>IFERROR(VLOOKUP(C201,产品数据!$B:$D,2,FALSE),"")</f>
        <v>10千克/袋</v>
      </c>
      <c r="E201" s="8">
        <v>3</v>
      </c>
      <c r="F201" s="8" t="str">
        <f>IFERROR(VLOOKUP(C201,产品数据!$B:$D,3,FALSE),"")</f>
        <v>袋</v>
      </c>
      <c r="G201" s="6" t="s">
        <v>127</v>
      </c>
    </row>
    <row r="202" spans="1:7">
      <c r="A202" s="6">
        <f t="shared" si="3"/>
        <v>201</v>
      </c>
      <c r="B202" s="5">
        <v>46048</v>
      </c>
      <c r="C202" s="7" t="s">
        <v>41</v>
      </c>
      <c r="D202" s="8" t="str">
        <f>IFERROR(VLOOKUP(C202,产品数据!$B:$D,2,FALSE),"")</f>
        <v>5l/*4桶/箱</v>
      </c>
      <c r="E202" s="8">
        <v>4</v>
      </c>
      <c r="F202" s="8" t="str">
        <f>IFERROR(VLOOKUP(C202,产品数据!$B:$D,3,FALSE),"")</f>
        <v>桶</v>
      </c>
      <c r="G202" s="6" t="s">
        <v>125</v>
      </c>
    </row>
    <row r="203" spans="1:7">
      <c r="A203" s="6">
        <f t="shared" si="3"/>
        <v>202</v>
      </c>
      <c r="B203" s="5">
        <v>46048</v>
      </c>
      <c r="C203" s="7" t="s">
        <v>44</v>
      </c>
      <c r="D203" s="8" t="str">
        <f>IFERROR(VLOOKUP(C203,产品数据!$B:$D,2,FALSE),"")</f>
        <v>1.9升/瓶*6瓶/箱</v>
      </c>
      <c r="E203" s="8">
        <v>1</v>
      </c>
      <c r="F203" s="8" t="str">
        <f>IFERROR(VLOOKUP(C203,产品数据!$B:$D,3,FALSE),"")</f>
        <v>瓶</v>
      </c>
      <c r="G203" s="6" t="s">
        <v>125</v>
      </c>
    </row>
    <row r="204" spans="1:7">
      <c r="A204" s="6">
        <f t="shared" si="3"/>
        <v>203</v>
      </c>
      <c r="B204" s="5">
        <v>46048</v>
      </c>
      <c r="C204" s="7" t="s">
        <v>42</v>
      </c>
      <c r="D204" s="8" t="str">
        <f>IFERROR(VLOOKUP(C204,产品数据!$B:$D,2,FALSE),"")</f>
        <v>1.68L*6壶</v>
      </c>
      <c r="E204" s="8">
        <v>1</v>
      </c>
      <c r="F204" s="8" t="str">
        <f>IFERROR(VLOOKUP(C204,产品数据!$B:$D,3,FALSE),"")</f>
        <v>壶</v>
      </c>
      <c r="G204" s="6" t="s">
        <v>125</v>
      </c>
    </row>
    <row r="205" spans="1:7">
      <c r="A205" s="6">
        <f t="shared" si="3"/>
        <v>204</v>
      </c>
      <c r="B205" s="5">
        <v>46048</v>
      </c>
      <c r="C205" s="7" t="s">
        <v>53</v>
      </c>
      <c r="D205" s="8" t="str">
        <f>IFERROR(VLOOKUP(C205,产品数据!$B:$D,2,FALSE),"")</f>
        <v>2.5L*6桶/箱</v>
      </c>
      <c r="E205" s="8">
        <v>1</v>
      </c>
      <c r="F205" s="8" t="str">
        <f>IFERROR(VLOOKUP(C205,产品数据!$B:$D,3,FALSE),"")</f>
        <v>桶</v>
      </c>
      <c r="G205" s="6" t="s">
        <v>125</v>
      </c>
    </row>
    <row r="206" spans="1:7">
      <c r="A206" s="6">
        <f t="shared" si="3"/>
        <v>205</v>
      </c>
      <c r="B206" s="5">
        <v>46048</v>
      </c>
      <c r="C206" s="7" t="s">
        <v>54</v>
      </c>
      <c r="D206" s="8" t="str">
        <f>IFERROR(VLOOKUP(C206,产品数据!$B:$D,2,FALSE),"")</f>
        <v>1kg*6瓶/箱</v>
      </c>
      <c r="E206" s="8">
        <v>1</v>
      </c>
      <c r="F206" s="8" t="str">
        <f>IFERROR(VLOOKUP(C206,产品数据!$B:$D,3,FALSE),"")</f>
        <v>瓶</v>
      </c>
      <c r="G206" s="6" t="s">
        <v>125</v>
      </c>
    </row>
    <row r="207" spans="1:7">
      <c r="A207" s="6">
        <f t="shared" si="3"/>
        <v>206</v>
      </c>
      <c r="B207" s="5">
        <v>46048</v>
      </c>
      <c r="C207" s="7" t="s">
        <v>52</v>
      </c>
      <c r="D207" s="8" t="str">
        <f>IFERROR(VLOOKUP(C207,产品数据!$B:$D,2,FALSE),"")</f>
        <v>705ml/瓶</v>
      </c>
      <c r="E207" s="8">
        <v>1</v>
      </c>
      <c r="F207" s="8" t="str">
        <f>IFERROR(VLOOKUP(C207,产品数据!$B:$D,3,FALSE),"")</f>
        <v>瓶</v>
      </c>
      <c r="G207" s="6" t="s">
        <v>125</v>
      </c>
    </row>
    <row r="208" spans="1:7">
      <c r="A208" s="6">
        <f t="shared" si="3"/>
        <v>207</v>
      </c>
      <c r="B208" s="5">
        <v>46048</v>
      </c>
      <c r="C208" s="7" t="s">
        <v>57</v>
      </c>
      <c r="D208" s="8" t="str">
        <f>IFERROR(VLOOKUP(C208,产品数据!$B:$D,2,FALSE),"")</f>
        <v>400g*25包/箱</v>
      </c>
      <c r="E208" s="8">
        <v>2</v>
      </c>
      <c r="F208" s="8" t="str">
        <f>IFERROR(VLOOKUP(C208,产品数据!$B:$D,3,FALSE),"")</f>
        <v>包</v>
      </c>
      <c r="G208" s="6" t="s">
        <v>125</v>
      </c>
    </row>
    <row r="209" spans="1:7">
      <c r="A209" s="6">
        <f t="shared" si="3"/>
        <v>208</v>
      </c>
      <c r="B209" s="5">
        <v>46048</v>
      </c>
      <c r="C209" s="7" t="s">
        <v>63</v>
      </c>
      <c r="D209" s="8" t="str">
        <f>IFERROR(VLOOKUP(C209,产品数据!$B:$D,2,FALSE),"")</f>
        <v>280g/包</v>
      </c>
      <c r="E209" s="8">
        <v>10</v>
      </c>
      <c r="F209" s="8" t="str">
        <f>IFERROR(VLOOKUP(C209,产品数据!$B:$D,3,FALSE),"")</f>
        <v>包</v>
      </c>
      <c r="G209" s="6" t="s">
        <v>125</v>
      </c>
    </row>
    <row r="210" spans="1:7">
      <c r="A210" s="6">
        <f t="shared" si="3"/>
        <v>209</v>
      </c>
      <c r="B210" s="5">
        <v>46048</v>
      </c>
      <c r="C210" s="7" t="s">
        <v>41</v>
      </c>
      <c r="D210" s="8" t="str">
        <f>IFERROR(VLOOKUP(C210,产品数据!$B:$D,2,FALSE),"")</f>
        <v>5l/*4桶/箱</v>
      </c>
      <c r="E210" s="8">
        <v>2</v>
      </c>
      <c r="F210" s="8" t="str">
        <f>IFERROR(VLOOKUP(C210,产品数据!$B:$D,3,FALSE),"")</f>
        <v>桶</v>
      </c>
      <c r="G210" s="6" t="s">
        <v>126</v>
      </c>
    </row>
    <row r="211" spans="1:7">
      <c r="A211" s="6">
        <f t="shared" si="3"/>
        <v>210</v>
      </c>
      <c r="B211" s="5">
        <v>46048</v>
      </c>
      <c r="C211" s="7" t="s">
        <v>63</v>
      </c>
      <c r="D211" s="8" t="str">
        <f>IFERROR(VLOOKUP(C211,产品数据!$B:$D,2,FALSE),"")</f>
        <v>280g/包</v>
      </c>
      <c r="E211" s="8">
        <v>5</v>
      </c>
      <c r="F211" s="8" t="str">
        <f>IFERROR(VLOOKUP(C211,产品数据!$B:$D,3,FALSE),"")</f>
        <v>包</v>
      </c>
      <c r="G211" s="6" t="s">
        <v>126</v>
      </c>
    </row>
    <row r="212" spans="1:7">
      <c r="A212" s="6">
        <f t="shared" si="3"/>
        <v>211</v>
      </c>
      <c r="B212" s="5">
        <v>46048</v>
      </c>
      <c r="C212" s="7" t="s">
        <v>57</v>
      </c>
      <c r="D212" s="8" t="str">
        <f>IFERROR(VLOOKUP(C212,产品数据!$B:$D,2,FALSE),"")</f>
        <v>400g*25包/箱</v>
      </c>
      <c r="E212" s="8">
        <v>2</v>
      </c>
      <c r="F212" s="8" t="str">
        <f>IFERROR(VLOOKUP(C212,产品数据!$B:$D,3,FALSE),"")</f>
        <v>包</v>
      </c>
      <c r="G212" s="6" t="s">
        <v>126</v>
      </c>
    </row>
    <row r="213" spans="1:7">
      <c r="A213" s="6">
        <f t="shared" si="3"/>
        <v>212</v>
      </c>
      <c r="B213" s="5">
        <v>46048</v>
      </c>
      <c r="C213" s="7" t="s">
        <v>53</v>
      </c>
      <c r="D213" s="8" t="str">
        <f>IFERROR(VLOOKUP(C213,产品数据!$B:$D,2,FALSE),"")</f>
        <v>2.5L*6桶/箱</v>
      </c>
      <c r="E213" s="8">
        <v>1</v>
      </c>
      <c r="F213" s="8" t="str">
        <f>IFERROR(VLOOKUP(C213,产品数据!$B:$D,3,FALSE),"")</f>
        <v>桶</v>
      </c>
      <c r="G213" s="6" t="s">
        <v>126</v>
      </c>
    </row>
    <row r="214" spans="1:7">
      <c r="A214" s="6">
        <f t="shared" si="3"/>
        <v>213</v>
      </c>
      <c r="B214" s="5">
        <v>46048</v>
      </c>
      <c r="C214" s="7" t="s">
        <v>40</v>
      </c>
      <c r="D214" s="8" t="str">
        <f>IFERROR(VLOOKUP(C214,产品数据!$B:$D,2,FALSE),"")</f>
        <v>10kg/包</v>
      </c>
      <c r="E214" s="8">
        <v>3</v>
      </c>
      <c r="F214" s="8" t="str">
        <f>IFERROR(VLOOKUP(C214,产品数据!$B:$D,3,FALSE),"")</f>
        <v>包</v>
      </c>
      <c r="G214" s="6" t="s">
        <v>128</v>
      </c>
    </row>
    <row r="215" spans="1:7">
      <c r="A215" s="6">
        <f t="shared" si="3"/>
        <v>214</v>
      </c>
      <c r="B215" s="5">
        <v>46048</v>
      </c>
      <c r="C215" s="7" t="s">
        <v>42</v>
      </c>
      <c r="D215" s="8" t="str">
        <f>IFERROR(VLOOKUP(C215,产品数据!$B:$D,2,FALSE),"")</f>
        <v>1.68L*6壶</v>
      </c>
      <c r="E215" s="8">
        <v>1</v>
      </c>
      <c r="F215" s="8" t="str">
        <f>IFERROR(VLOOKUP(C215,产品数据!$B:$D,3,FALSE),"")</f>
        <v>壶</v>
      </c>
      <c r="G215" s="6" t="s">
        <v>128</v>
      </c>
    </row>
    <row r="216" spans="1:7">
      <c r="A216" s="6">
        <f t="shared" si="3"/>
        <v>215</v>
      </c>
      <c r="B216" s="5">
        <v>46048</v>
      </c>
      <c r="C216" s="7" t="s">
        <v>54</v>
      </c>
      <c r="D216" s="8" t="str">
        <f>IFERROR(VLOOKUP(C216,产品数据!$B:$D,2,FALSE),"")</f>
        <v>1kg*6瓶/箱</v>
      </c>
      <c r="E216" s="8">
        <v>1</v>
      </c>
      <c r="F216" s="8" t="str">
        <f>IFERROR(VLOOKUP(C216,产品数据!$B:$D,3,FALSE),"")</f>
        <v>瓶</v>
      </c>
      <c r="G216" s="6" t="s">
        <v>128</v>
      </c>
    </row>
    <row r="217" spans="1:7">
      <c r="A217" s="6">
        <f t="shared" si="3"/>
        <v>216</v>
      </c>
      <c r="B217" s="5">
        <v>46048</v>
      </c>
      <c r="C217" s="7" t="s">
        <v>52</v>
      </c>
      <c r="D217" s="8" t="str">
        <f>IFERROR(VLOOKUP(C217,产品数据!$B:$D,2,FALSE),"")</f>
        <v>705ml/瓶</v>
      </c>
      <c r="E217" s="8">
        <v>1</v>
      </c>
      <c r="F217" s="8" t="str">
        <f>IFERROR(VLOOKUP(C217,产品数据!$B:$D,3,FALSE),"")</f>
        <v>瓶</v>
      </c>
      <c r="G217" s="6" t="s">
        <v>128</v>
      </c>
    </row>
    <row r="218" spans="1:7">
      <c r="A218" s="6">
        <f t="shared" si="3"/>
        <v>217</v>
      </c>
      <c r="B218" s="5">
        <v>46048</v>
      </c>
      <c r="C218" s="7" t="s">
        <v>55</v>
      </c>
      <c r="D218" s="8" t="str">
        <f>IFERROR(VLOOKUP(C218,产品数据!$B:$D,2,FALSE),"")</f>
        <v>1升*12瓶/箱</v>
      </c>
      <c r="E218" s="8">
        <v>1</v>
      </c>
      <c r="F218" s="8" t="str">
        <f>IFERROR(VLOOKUP(C218,产品数据!$B:$D,3,FALSE),"")</f>
        <v>瓶</v>
      </c>
      <c r="G218" s="6" t="s">
        <v>128</v>
      </c>
    </row>
    <row r="219" spans="1:7">
      <c r="A219" s="6">
        <f t="shared" si="3"/>
        <v>218</v>
      </c>
      <c r="B219" s="5">
        <v>46048</v>
      </c>
      <c r="C219" s="7" t="s">
        <v>57</v>
      </c>
      <c r="D219" s="8" t="str">
        <f>IFERROR(VLOOKUP(C219,产品数据!$B:$D,2,FALSE),"")</f>
        <v>400g*25包/箱</v>
      </c>
      <c r="E219" s="8">
        <v>2</v>
      </c>
      <c r="F219" s="8" t="str">
        <f>IFERROR(VLOOKUP(C219,产品数据!$B:$D,3,FALSE),"")</f>
        <v>包</v>
      </c>
      <c r="G219" s="6" t="s">
        <v>128</v>
      </c>
    </row>
    <row r="220" spans="1:7">
      <c r="A220" s="6">
        <f t="shared" si="3"/>
        <v>219</v>
      </c>
      <c r="B220" s="5">
        <v>46048</v>
      </c>
      <c r="C220" s="7" t="s">
        <v>63</v>
      </c>
      <c r="D220" s="8" t="str">
        <f>IFERROR(VLOOKUP(C220,产品数据!$B:$D,2,FALSE),"")</f>
        <v>280g/包</v>
      </c>
      <c r="E220" s="8">
        <v>2</v>
      </c>
      <c r="F220" s="8" t="str">
        <f>IFERROR(VLOOKUP(C220,产品数据!$B:$D,3,FALSE),"")</f>
        <v>包</v>
      </c>
      <c r="G220" s="6" t="s">
        <v>128</v>
      </c>
    </row>
    <row r="221" spans="1:7">
      <c r="A221" s="6">
        <f t="shared" si="3"/>
        <v>220</v>
      </c>
      <c r="B221" s="5">
        <v>46048</v>
      </c>
      <c r="C221" s="7" t="s">
        <v>39</v>
      </c>
      <c r="D221" s="8" t="str">
        <f>IFERROR(VLOOKUP(C221,产品数据!$B:$D,2,FALSE),"")</f>
        <v>10千克/袋</v>
      </c>
      <c r="E221" s="8">
        <v>3</v>
      </c>
      <c r="F221" s="8" t="str">
        <f>IFERROR(VLOOKUP(C221,产品数据!$B:$D,3,FALSE),"")</f>
        <v>袋</v>
      </c>
      <c r="G221" s="6" t="s">
        <v>127</v>
      </c>
    </row>
    <row r="222" spans="1:7">
      <c r="A222" s="6">
        <f t="shared" si="3"/>
        <v>221</v>
      </c>
      <c r="B222" s="5">
        <v>46049</v>
      </c>
      <c r="C222" s="7" t="s">
        <v>41</v>
      </c>
      <c r="D222" s="8" t="str">
        <f>IFERROR(VLOOKUP(C222,产品数据!$B:$D,2,FALSE),"")</f>
        <v>5l/*4桶/箱</v>
      </c>
      <c r="E222" s="8">
        <v>3</v>
      </c>
      <c r="F222" s="8" t="str">
        <f>IFERROR(VLOOKUP(C222,产品数据!$B:$D,3,FALSE),"")</f>
        <v>桶</v>
      </c>
      <c r="G222" s="6" t="s">
        <v>125</v>
      </c>
    </row>
    <row r="223" spans="1:7">
      <c r="A223" s="6">
        <f t="shared" si="3"/>
        <v>222</v>
      </c>
      <c r="B223" s="5">
        <v>46049</v>
      </c>
      <c r="C223" s="7" t="s">
        <v>53</v>
      </c>
      <c r="D223" s="8" t="str">
        <f>IFERROR(VLOOKUP(C223,产品数据!$B:$D,2,FALSE),"")</f>
        <v>2.5L*6桶/箱</v>
      </c>
      <c r="E223" s="8">
        <v>1</v>
      </c>
      <c r="F223" s="8" t="str">
        <f>IFERROR(VLOOKUP(C223,产品数据!$B:$D,3,FALSE),"")</f>
        <v>桶</v>
      </c>
      <c r="G223" s="6" t="s">
        <v>125</v>
      </c>
    </row>
    <row r="224" spans="1:7">
      <c r="A224" s="6">
        <f t="shared" si="3"/>
        <v>223</v>
      </c>
      <c r="B224" s="5">
        <v>46049</v>
      </c>
      <c r="C224" s="7" t="s">
        <v>52</v>
      </c>
      <c r="D224" s="8" t="str">
        <f>IFERROR(VLOOKUP(C224,产品数据!$B:$D,2,FALSE),"")</f>
        <v>705ml/瓶</v>
      </c>
      <c r="E224" s="8">
        <v>1</v>
      </c>
      <c r="F224" s="8" t="str">
        <f>IFERROR(VLOOKUP(C224,产品数据!$B:$D,3,FALSE),"")</f>
        <v>瓶</v>
      </c>
      <c r="G224" s="6" t="s">
        <v>125</v>
      </c>
    </row>
    <row r="225" spans="1:7">
      <c r="A225" s="6">
        <f t="shared" si="3"/>
        <v>224</v>
      </c>
      <c r="B225" s="5">
        <v>46049</v>
      </c>
      <c r="C225" s="7" t="s">
        <v>54</v>
      </c>
      <c r="D225" s="8" t="str">
        <f>IFERROR(VLOOKUP(C225,产品数据!$B:$D,2,FALSE),"")</f>
        <v>1kg*6瓶/箱</v>
      </c>
      <c r="E225" s="8">
        <v>1</v>
      </c>
      <c r="F225" s="8" t="str">
        <f>IFERROR(VLOOKUP(C225,产品数据!$B:$D,3,FALSE),"")</f>
        <v>瓶</v>
      </c>
      <c r="G225" s="6" t="s">
        <v>125</v>
      </c>
    </row>
    <row r="226" spans="1:7">
      <c r="A226" s="6">
        <f t="shared" si="3"/>
        <v>225</v>
      </c>
      <c r="B226" s="5">
        <v>46049</v>
      </c>
      <c r="C226" s="7" t="s">
        <v>57</v>
      </c>
      <c r="D226" s="8" t="str">
        <f>IFERROR(VLOOKUP(C226,产品数据!$B:$D,2,FALSE),"")</f>
        <v>400g*25包/箱</v>
      </c>
      <c r="E226" s="8">
        <v>2</v>
      </c>
      <c r="F226" s="8" t="str">
        <f>IFERROR(VLOOKUP(C226,产品数据!$B:$D,3,FALSE),"")</f>
        <v>包</v>
      </c>
      <c r="G226" s="6" t="s">
        <v>125</v>
      </c>
    </row>
    <row r="227" spans="1:7">
      <c r="A227" s="6">
        <f t="shared" si="3"/>
        <v>226</v>
      </c>
      <c r="B227" s="5">
        <v>46049</v>
      </c>
      <c r="C227" s="7" t="s">
        <v>50</v>
      </c>
      <c r="D227" s="8" t="str">
        <f>IFERROR(VLOOKUP(C227,产品数据!$B:$D,2,FALSE),"")</f>
        <v>2kg/包*6包/箱</v>
      </c>
      <c r="E227" s="8">
        <v>1</v>
      </c>
      <c r="F227" s="8" t="str">
        <f>IFERROR(VLOOKUP(C227,产品数据!$B:$D,3,FALSE),"")</f>
        <v>包</v>
      </c>
      <c r="G227" s="6" t="s">
        <v>125</v>
      </c>
    </row>
    <row r="228" spans="1:7">
      <c r="A228" s="6">
        <f t="shared" si="3"/>
        <v>227</v>
      </c>
      <c r="B228" s="5">
        <v>46049</v>
      </c>
      <c r="C228" s="7" t="s">
        <v>42</v>
      </c>
      <c r="D228" s="8" t="str">
        <f>IFERROR(VLOOKUP(C228,产品数据!$B:$D,2,FALSE),"")</f>
        <v>1.68L*6壶</v>
      </c>
      <c r="E228" s="8">
        <v>2</v>
      </c>
      <c r="F228" s="8" t="str">
        <f>IFERROR(VLOOKUP(C228,产品数据!$B:$D,3,FALSE),"")</f>
        <v>壶</v>
      </c>
      <c r="G228" s="6" t="s">
        <v>125</v>
      </c>
    </row>
    <row r="229" spans="1:7">
      <c r="A229" s="6">
        <f t="shared" si="3"/>
        <v>228</v>
      </c>
      <c r="B229" s="5">
        <v>46049</v>
      </c>
      <c r="C229" s="7" t="s">
        <v>56</v>
      </c>
      <c r="D229" s="8" t="str">
        <f>IFERROR(VLOOKUP(C229,产品数据!$B:$D,2,FALSE),"")</f>
        <v>178g*50包/箱</v>
      </c>
      <c r="E229" s="8">
        <v>4</v>
      </c>
      <c r="F229" s="8" t="str">
        <f>IFERROR(VLOOKUP(C229,产品数据!$B:$D,3,FALSE),"")</f>
        <v>包</v>
      </c>
      <c r="G229" s="6" t="s">
        <v>129</v>
      </c>
    </row>
    <row r="230" spans="1:7">
      <c r="A230" s="6">
        <f t="shared" si="3"/>
        <v>229</v>
      </c>
      <c r="B230" s="5">
        <v>46049</v>
      </c>
      <c r="C230" s="7" t="s">
        <v>39</v>
      </c>
      <c r="D230" s="8" t="str">
        <f>IFERROR(VLOOKUP(C230,产品数据!$B:$D,2,FALSE),"")</f>
        <v>10千克/袋</v>
      </c>
      <c r="E230" s="8">
        <v>2</v>
      </c>
      <c r="F230" s="8" t="str">
        <f>IFERROR(VLOOKUP(C230,产品数据!$B:$D,3,FALSE),"")</f>
        <v>袋</v>
      </c>
      <c r="G230" s="6" t="s">
        <v>127</v>
      </c>
    </row>
    <row r="231" spans="1:7">
      <c r="A231" s="6">
        <f t="shared" si="3"/>
        <v>230</v>
      </c>
      <c r="B231" s="5">
        <v>46049</v>
      </c>
      <c r="C231" s="7" t="s">
        <v>40</v>
      </c>
      <c r="D231" s="8" t="str">
        <f>IFERROR(VLOOKUP(C231,产品数据!$B:$D,2,FALSE),"")</f>
        <v>10kg/包</v>
      </c>
      <c r="E231" s="8">
        <v>3</v>
      </c>
      <c r="F231" s="8" t="str">
        <f>IFERROR(VLOOKUP(C231,产品数据!$B:$D,3,FALSE),"")</f>
        <v>包</v>
      </c>
      <c r="G231" s="6" t="s">
        <v>128</v>
      </c>
    </row>
    <row r="232" spans="1:7">
      <c r="A232" s="6">
        <f t="shared" si="3"/>
        <v>231</v>
      </c>
      <c r="B232" s="5">
        <v>46050</v>
      </c>
      <c r="C232" s="7" t="s">
        <v>41</v>
      </c>
      <c r="D232" s="8" t="str">
        <f>IFERROR(VLOOKUP(C232,产品数据!$B:$D,2,FALSE),"")</f>
        <v>5l/*4桶/箱</v>
      </c>
      <c r="E232" s="8">
        <v>3</v>
      </c>
      <c r="F232" s="8" t="str">
        <f>IFERROR(VLOOKUP(C232,产品数据!$B:$D,3,FALSE),"")</f>
        <v>桶</v>
      </c>
      <c r="G232" s="6" t="s">
        <v>125</v>
      </c>
    </row>
    <row r="233" spans="1:7">
      <c r="A233" s="6">
        <f t="shared" si="3"/>
        <v>232</v>
      </c>
      <c r="B233" s="5">
        <v>46050</v>
      </c>
      <c r="C233" s="7" t="s">
        <v>44</v>
      </c>
      <c r="D233" s="8" t="str">
        <f>IFERROR(VLOOKUP(C233,产品数据!$B:$D,2,FALSE),"")</f>
        <v>1.9升/瓶*6瓶/箱</v>
      </c>
      <c r="E233" s="8">
        <v>1</v>
      </c>
      <c r="F233" s="8" t="str">
        <f>IFERROR(VLOOKUP(C233,产品数据!$B:$D,3,FALSE),"")</f>
        <v>瓶</v>
      </c>
      <c r="G233" s="6" t="s">
        <v>125</v>
      </c>
    </row>
    <row r="234" spans="1:7">
      <c r="A234" s="6">
        <f t="shared" si="3"/>
        <v>233</v>
      </c>
      <c r="B234" s="5">
        <v>46050</v>
      </c>
      <c r="C234" s="7" t="s">
        <v>43</v>
      </c>
      <c r="D234" s="8" t="str">
        <f>IFERROR(VLOOKUP(C234,产品数据!$B:$D,2,FALSE),"")</f>
        <v>1.9升/瓶*6瓶/箱</v>
      </c>
      <c r="E234" s="8">
        <v>1</v>
      </c>
      <c r="F234" s="8" t="str">
        <f>IFERROR(VLOOKUP(C234,产品数据!$B:$D,3,FALSE),"")</f>
        <v>瓶</v>
      </c>
      <c r="G234" s="6" t="s">
        <v>125</v>
      </c>
    </row>
    <row r="235" spans="1:7">
      <c r="A235" s="6">
        <f t="shared" si="3"/>
        <v>234</v>
      </c>
      <c r="B235" s="5">
        <v>46050</v>
      </c>
      <c r="C235" s="7" t="s">
        <v>42</v>
      </c>
      <c r="D235" s="8" t="str">
        <f>IFERROR(VLOOKUP(C235,产品数据!$B:$D,2,FALSE),"")</f>
        <v>1.68L*6壶</v>
      </c>
      <c r="E235" s="8">
        <v>1</v>
      </c>
      <c r="F235" s="8" t="str">
        <f>IFERROR(VLOOKUP(C235,产品数据!$B:$D,3,FALSE),"")</f>
        <v>壶</v>
      </c>
      <c r="G235" s="6" t="s">
        <v>125</v>
      </c>
    </row>
    <row r="236" spans="1:7">
      <c r="A236" s="6">
        <f t="shared" si="3"/>
        <v>235</v>
      </c>
      <c r="B236" s="5">
        <v>46050</v>
      </c>
      <c r="C236" s="7" t="s">
        <v>53</v>
      </c>
      <c r="D236" s="8" t="str">
        <f>IFERROR(VLOOKUP(C236,产品数据!$B:$D,2,FALSE),"")</f>
        <v>2.5L*6桶/箱</v>
      </c>
      <c r="E236" s="8">
        <v>1</v>
      </c>
      <c r="F236" s="8" t="str">
        <f>IFERROR(VLOOKUP(C236,产品数据!$B:$D,3,FALSE),"")</f>
        <v>桶</v>
      </c>
      <c r="G236" s="6" t="s">
        <v>125</v>
      </c>
    </row>
    <row r="237" spans="1:7">
      <c r="A237" s="6">
        <f t="shared" si="3"/>
        <v>236</v>
      </c>
      <c r="B237" s="5">
        <v>46050</v>
      </c>
      <c r="C237" s="7" t="s">
        <v>52</v>
      </c>
      <c r="D237" s="8" t="str">
        <f>IFERROR(VLOOKUP(C237,产品数据!$B:$D,2,FALSE),"")</f>
        <v>705ml/瓶</v>
      </c>
      <c r="E237" s="8">
        <v>1</v>
      </c>
      <c r="F237" s="8" t="str">
        <f>IFERROR(VLOOKUP(C237,产品数据!$B:$D,3,FALSE),"")</f>
        <v>瓶</v>
      </c>
      <c r="G237" s="6" t="s">
        <v>125</v>
      </c>
    </row>
    <row r="238" spans="1:7">
      <c r="A238" s="6">
        <f t="shared" si="3"/>
        <v>237</v>
      </c>
      <c r="B238" s="5">
        <v>46050</v>
      </c>
      <c r="C238" s="7" t="s">
        <v>54</v>
      </c>
      <c r="D238" s="8" t="str">
        <f>IFERROR(VLOOKUP(C238,产品数据!$B:$D,2,FALSE),"")</f>
        <v>1kg*6瓶/箱</v>
      </c>
      <c r="E238" s="8">
        <v>1</v>
      </c>
      <c r="F238" s="8" t="str">
        <f>IFERROR(VLOOKUP(C238,产品数据!$B:$D,3,FALSE),"")</f>
        <v>瓶</v>
      </c>
      <c r="G238" s="6" t="s">
        <v>125</v>
      </c>
    </row>
    <row r="239" spans="1:7">
      <c r="A239" s="6">
        <f t="shared" si="3"/>
        <v>238</v>
      </c>
      <c r="B239" s="5">
        <v>46050</v>
      </c>
      <c r="C239" s="7" t="s">
        <v>57</v>
      </c>
      <c r="D239" s="8" t="str">
        <f>IFERROR(VLOOKUP(C239,产品数据!$B:$D,2,FALSE),"")</f>
        <v>400g*25包/箱</v>
      </c>
      <c r="E239" s="8">
        <v>1</v>
      </c>
      <c r="F239" s="8" t="str">
        <f>IFERROR(VLOOKUP(C239,产品数据!$B:$D,3,FALSE),"")</f>
        <v>包</v>
      </c>
      <c r="G239" s="6" t="s">
        <v>125</v>
      </c>
    </row>
    <row r="240" spans="1:7">
      <c r="A240" s="6">
        <f t="shared" si="3"/>
        <v>239</v>
      </c>
      <c r="B240" s="5">
        <v>46050</v>
      </c>
      <c r="C240" s="7" t="s">
        <v>61</v>
      </c>
      <c r="D240" s="8" t="str">
        <f>IFERROR(VLOOKUP(C240,产品数据!$B:$D,2,FALSE),"")</f>
        <v>2.5kg/包</v>
      </c>
      <c r="E240" s="8">
        <v>1</v>
      </c>
      <c r="F240" s="8" t="str">
        <f>IFERROR(VLOOKUP(C240,产品数据!$B:$D,3,FALSE),"")</f>
        <v>包</v>
      </c>
      <c r="G240" s="6" t="s">
        <v>125</v>
      </c>
    </row>
    <row r="241" spans="1:7">
      <c r="A241" s="6">
        <f t="shared" si="3"/>
        <v>240</v>
      </c>
      <c r="B241" s="5">
        <v>46050</v>
      </c>
      <c r="C241" s="7" t="s">
        <v>63</v>
      </c>
      <c r="D241" s="8" t="str">
        <f>IFERROR(VLOOKUP(C241,产品数据!$B:$D,2,FALSE),"")</f>
        <v>280g/包</v>
      </c>
      <c r="E241" s="8">
        <v>6</v>
      </c>
      <c r="F241" s="8" t="str">
        <f>IFERROR(VLOOKUP(C241,产品数据!$B:$D,3,FALSE),"")</f>
        <v>包</v>
      </c>
      <c r="G241" s="6" t="s">
        <v>125</v>
      </c>
    </row>
    <row r="242" spans="1:7">
      <c r="A242" s="6">
        <f t="shared" si="3"/>
        <v>241</v>
      </c>
      <c r="B242" s="5">
        <v>46050</v>
      </c>
      <c r="C242" s="7" t="s">
        <v>39</v>
      </c>
      <c r="D242" s="8" t="str">
        <f>IFERROR(VLOOKUP(C242,产品数据!$B:$D,2,FALSE),"")</f>
        <v>10千克/袋</v>
      </c>
      <c r="E242" s="8">
        <v>2</v>
      </c>
      <c r="F242" s="8" t="str">
        <f>IFERROR(VLOOKUP(C242,产品数据!$B:$D,3,FALSE),"")</f>
        <v>袋</v>
      </c>
      <c r="G242" s="6" t="s">
        <v>127</v>
      </c>
    </row>
    <row r="243" spans="1:7">
      <c r="A243" s="6">
        <f t="shared" si="3"/>
        <v>242</v>
      </c>
      <c r="B243" s="5">
        <v>46050</v>
      </c>
      <c r="C243" s="7" t="s">
        <v>40</v>
      </c>
      <c r="D243" s="8" t="str">
        <f>IFERROR(VLOOKUP(C243,产品数据!$B:$D,2,FALSE),"")</f>
        <v>10kg/包</v>
      </c>
      <c r="E243" s="8">
        <v>1</v>
      </c>
      <c r="F243" s="8" t="str">
        <f>IFERROR(VLOOKUP(C243,产品数据!$B:$D,3,FALSE),"")</f>
        <v>包</v>
      </c>
      <c r="G243" s="6" t="s">
        <v>128</v>
      </c>
    </row>
    <row r="244" spans="1:7">
      <c r="A244" s="6">
        <f t="shared" si="3"/>
        <v>243</v>
      </c>
      <c r="B244" s="5">
        <v>46051</v>
      </c>
      <c r="C244" s="7" t="s">
        <v>41</v>
      </c>
      <c r="D244" s="8" t="str">
        <f>IFERROR(VLOOKUP(C244,产品数据!$B:$D,2,FALSE),"")</f>
        <v>5l/*4桶/箱</v>
      </c>
      <c r="E244" s="8">
        <v>4</v>
      </c>
      <c r="F244" s="8" t="str">
        <f>IFERROR(VLOOKUP(C244,产品数据!$B:$D,3,FALSE),"")</f>
        <v>桶</v>
      </c>
      <c r="G244" s="6" t="s">
        <v>125</v>
      </c>
    </row>
    <row r="245" spans="1:7">
      <c r="A245" s="6">
        <f t="shared" si="3"/>
        <v>244</v>
      </c>
      <c r="B245" s="5">
        <v>46051</v>
      </c>
      <c r="C245" s="7" t="s">
        <v>42</v>
      </c>
      <c r="D245" s="8" t="str">
        <f>IFERROR(VLOOKUP(C245,产品数据!$B:$D,2,FALSE),"")</f>
        <v>1.68L*6壶</v>
      </c>
      <c r="E245" s="8">
        <v>1</v>
      </c>
      <c r="F245" s="8" t="str">
        <f>IFERROR(VLOOKUP(C245,产品数据!$B:$D,3,FALSE),"")</f>
        <v>壶</v>
      </c>
      <c r="G245" s="6" t="s">
        <v>125</v>
      </c>
    </row>
    <row r="246" spans="1:7">
      <c r="A246" s="6">
        <f t="shared" si="3"/>
        <v>245</v>
      </c>
      <c r="B246" s="5">
        <v>46051</v>
      </c>
      <c r="C246" s="7" t="s">
        <v>43</v>
      </c>
      <c r="D246" s="8" t="str">
        <f>IFERROR(VLOOKUP(C246,产品数据!$B:$D,2,FALSE),"")</f>
        <v>1.9升/瓶*6瓶/箱</v>
      </c>
      <c r="E246" s="8">
        <v>1</v>
      </c>
      <c r="F246" s="8" t="str">
        <f>IFERROR(VLOOKUP(C246,产品数据!$B:$D,3,FALSE),"")</f>
        <v>瓶</v>
      </c>
      <c r="G246" s="6" t="s">
        <v>125</v>
      </c>
    </row>
    <row r="247" spans="1:7">
      <c r="A247" s="6">
        <f t="shared" si="3"/>
        <v>246</v>
      </c>
      <c r="B247" s="5">
        <v>46051</v>
      </c>
      <c r="C247" s="7" t="s">
        <v>44</v>
      </c>
      <c r="D247" s="8" t="str">
        <f>IFERROR(VLOOKUP(C247,产品数据!$B:$D,2,FALSE),"")</f>
        <v>1.9升/瓶*6瓶/箱</v>
      </c>
      <c r="E247" s="8">
        <v>1</v>
      </c>
      <c r="F247" s="8" t="str">
        <f>IFERROR(VLOOKUP(C247,产品数据!$B:$D,3,FALSE),"")</f>
        <v>瓶</v>
      </c>
      <c r="G247" s="6" t="s">
        <v>125</v>
      </c>
    </row>
    <row r="248" spans="1:7">
      <c r="A248" s="6">
        <f t="shared" si="3"/>
        <v>247</v>
      </c>
      <c r="B248" s="5">
        <v>46051</v>
      </c>
      <c r="C248" s="7" t="s">
        <v>54</v>
      </c>
      <c r="D248" s="8" t="str">
        <f>IFERROR(VLOOKUP(C248,产品数据!$B:$D,2,FALSE),"")</f>
        <v>1kg*6瓶/箱</v>
      </c>
      <c r="E248" s="8">
        <v>1</v>
      </c>
      <c r="F248" s="8" t="str">
        <f>IFERROR(VLOOKUP(C248,产品数据!$B:$D,3,FALSE),"")</f>
        <v>瓶</v>
      </c>
      <c r="G248" s="6" t="s">
        <v>125</v>
      </c>
    </row>
    <row r="249" spans="1:7">
      <c r="A249" s="6">
        <f t="shared" si="3"/>
        <v>248</v>
      </c>
      <c r="B249" s="5">
        <v>46051</v>
      </c>
      <c r="C249" s="7" t="s">
        <v>52</v>
      </c>
      <c r="D249" s="8" t="str">
        <f>IFERROR(VLOOKUP(C249,产品数据!$B:$D,2,FALSE),"")</f>
        <v>705ml/瓶</v>
      </c>
      <c r="E249" s="8">
        <v>1</v>
      </c>
      <c r="F249" s="8" t="str">
        <f>IFERROR(VLOOKUP(C249,产品数据!$B:$D,3,FALSE),"")</f>
        <v>瓶</v>
      </c>
      <c r="G249" s="6" t="s">
        <v>125</v>
      </c>
    </row>
    <row r="250" spans="1:7">
      <c r="A250" s="6">
        <f t="shared" si="3"/>
        <v>249</v>
      </c>
      <c r="B250" s="5">
        <v>46051</v>
      </c>
      <c r="C250" s="7" t="s">
        <v>57</v>
      </c>
      <c r="D250" s="8" t="str">
        <f>IFERROR(VLOOKUP(C250,产品数据!$B:$D,2,FALSE),"")</f>
        <v>400g*25包/箱</v>
      </c>
      <c r="E250" s="8">
        <v>2</v>
      </c>
      <c r="F250" s="8" t="str">
        <f>IFERROR(VLOOKUP(C250,产品数据!$B:$D,3,FALSE),"")</f>
        <v>包</v>
      </c>
      <c r="G250" s="6" t="s">
        <v>125</v>
      </c>
    </row>
    <row r="251" spans="1:7">
      <c r="A251" s="6">
        <f t="shared" si="3"/>
        <v>250</v>
      </c>
      <c r="B251" s="5">
        <v>46051</v>
      </c>
      <c r="C251" s="7" t="s">
        <v>53</v>
      </c>
      <c r="D251" s="8" t="str">
        <f>IFERROR(VLOOKUP(C251,产品数据!$B:$D,2,FALSE),"")</f>
        <v>2.5L*6桶/箱</v>
      </c>
      <c r="E251" s="8">
        <v>1</v>
      </c>
      <c r="F251" s="8" t="str">
        <f>IFERROR(VLOOKUP(C251,产品数据!$B:$D,3,FALSE),"")</f>
        <v>桶</v>
      </c>
      <c r="G251" s="6" t="s">
        <v>125</v>
      </c>
    </row>
    <row r="252" spans="1:7">
      <c r="A252" s="6">
        <f t="shared" si="3"/>
        <v>251</v>
      </c>
      <c r="B252" s="5">
        <v>46051</v>
      </c>
      <c r="C252" s="7" t="s">
        <v>56</v>
      </c>
      <c r="D252" s="8" t="str">
        <f>IFERROR(VLOOKUP(C252,产品数据!$B:$D,2,FALSE),"")</f>
        <v>178g*50包/箱</v>
      </c>
      <c r="E252" s="8">
        <v>5</v>
      </c>
      <c r="F252" s="8" t="str">
        <f>IFERROR(VLOOKUP(C252,产品数据!$B:$D,3,FALSE),"")</f>
        <v>包</v>
      </c>
      <c r="G252" s="6" t="s">
        <v>125</v>
      </c>
    </row>
    <row r="253" spans="1:7">
      <c r="A253" s="6">
        <f t="shared" si="3"/>
        <v>252</v>
      </c>
      <c r="B253" s="5">
        <v>46051</v>
      </c>
      <c r="C253" s="7" t="s">
        <v>39</v>
      </c>
      <c r="D253" s="8" t="str">
        <f>IFERROR(VLOOKUP(C253,产品数据!$B:$D,2,FALSE),"")</f>
        <v>10千克/袋</v>
      </c>
      <c r="E253" s="8">
        <v>2</v>
      </c>
      <c r="F253" s="8" t="str">
        <f>IFERROR(VLOOKUP(C253,产品数据!$B:$D,3,FALSE),"")</f>
        <v>袋</v>
      </c>
      <c r="G253" s="6" t="s">
        <v>127</v>
      </c>
    </row>
    <row r="254" spans="1:7">
      <c r="A254" s="6">
        <f t="shared" si="3"/>
        <v>253</v>
      </c>
      <c r="B254" s="5">
        <v>46051</v>
      </c>
      <c r="C254" s="7" t="s">
        <v>40</v>
      </c>
      <c r="D254" s="8" t="str">
        <f>IFERROR(VLOOKUP(C254,产品数据!$B:$D,2,FALSE),"")</f>
        <v>10kg/包</v>
      </c>
      <c r="E254" s="8">
        <v>1</v>
      </c>
      <c r="F254" s="8" t="str">
        <f>IFERROR(VLOOKUP(C254,产品数据!$B:$D,3,FALSE),"")</f>
        <v>包</v>
      </c>
      <c r="G254" s="6" t="s">
        <v>128</v>
      </c>
    </row>
    <row r="255" spans="1:7">
      <c r="A255" s="6">
        <f t="shared" si="3"/>
        <v>254</v>
      </c>
      <c r="B255" s="5">
        <v>46052</v>
      </c>
      <c r="C255" s="7" t="s">
        <v>41</v>
      </c>
      <c r="D255" s="8" t="str">
        <f>IFERROR(VLOOKUP(C255,产品数据!$B:$D,2,FALSE),"")</f>
        <v>5l/*4桶/箱</v>
      </c>
      <c r="E255" s="8">
        <v>5</v>
      </c>
      <c r="F255" s="8" t="str">
        <f>IFERROR(VLOOKUP(C255,产品数据!$B:$D,3,FALSE),"")</f>
        <v>桶</v>
      </c>
      <c r="G255" s="6" t="s">
        <v>125</v>
      </c>
    </row>
    <row r="256" spans="1:7">
      <c r="A256" s="6">
        <f t="shared" si="3"/>
        <v>255</v>
      </c>
      <c r="B256" s="5">
        <v>46052</v>
      </c>
      <c r="C256" s="7" t="s">
        <v>42</v>
      </c>
      <c r="D256" s="8" t="str">
        <f>IFERROR(VLOOKUP(C256,产品数据!$B:$D,2,FALSE),"")</f>
        <v>1.68L*6壶</v>
      </c>
      <c r="E256" s="8">
        <v>2</v>
      </c>
      <c r="F256" s="8" t="str">
        <f>IFERROR(VLOOKUP(C256,产品数据!$B:$D,3,FALSE),"")</f>
        <v>壶</v>
      </c>
      <c r="G256" s="6" t="s">
        <v>125</v>
      </c>
    </row>
    <row r="257" spans="1:7">
      <c r="A257" s="6">
        <f t="shared" si="3"/>
        <v>256</v>
      </c>
      <c r="B257" s="5">
        <v>46052</v>
      </c>
      <c r="C257" s="7" t="s">
        <v>43</v>
      </c>
      <c r="D257" s="8" t="str">
        <f>IFERROR(VLOOKUP(C257,产品数据!$B:$D,2,FALSE),"")</f>
        <v>1.9升/瓶*6瓶/箱</v>
      </c>
      <c r="E257" s="8">
        <v>1</v>
      </c>
      <c r="F257" s="8" t="str">
        <f>IFERROR(VLOOKUP(C257,产品数据!$B:$D,3,FALSE),"")</f>
        <v>瓶</v>
      </c>
      <c r="G257" s="6" t="s">
        <v>125</v>
      </c>
    </row>
    <row r="258" spans="1:7">
      <c r="A258" s="6">
        <f t="shared" ref="A258:A321" si="4">ROW()-1</f>
        <v>257</v>
      </c>
      <c r="B258" s="5">
        <v>46052</v>
      </c>
      <c r="C258" s="7" t="s">
        <v>53</v>
      </c>
      <c r="D258" s="8" t="str">
        <f>IFERROR(VLOOKUP(C258,产品数据!$B:$D,2,FALSE),"")</f>
        <v>2.5L*6桶/箱</v>
      </c>
      <c r="E258" s="8">
        <v>2</v>
      </c>
      <c r="F258" s="8" t="str">
        <f>IFERROR(VLOOKUP(C258,产品数据!$B:$D,3,FALSE),"")</f>
        <v>桶</v>
      </c>
      <c r="G258" s="6" t="s">
        <v>125</v>
      </c>
    </row>
    <row r="259" spans="1:7">
      <c r="A259" s="6">
        <f t="shared" si="4"/>
        <v>258</v>
      </c>
      <c r="B259" s="5">
        <v>46052</v>
      </c>
      <c r="C259" s="7" t="s">
        <v>45</v>
      </c>
      <c r="D259" s="8" t="str">
        <f>IFERROR(VLOOKUP(C259,产品数据!$B:$D,2,FALSE),"")</f>
        <v>1.9kg/瓶</v>
      </c>
      <c r="E259" s="8">
        <v>1</v>
      </c>
      <c r="F259" s="8" t="str">
        <f>IFERROR(VLOOKUP(C259,产品数据!$B:$D,3,FALSE),"")</f>
        <v>瓶</v>
      </c>
      <c r="G259" s="6" t="s">
        <v>125</v>
      </c>
    </row>
    <row r="260" spans="1:7">
      <c r="A260" s="6">
        <f t="shared" si="4"/>
        <v>259</v>
      </c>
      <c r="B260" s="5">
        <v>46052</v>
      </c>
      <c r="C260" s="7" t="s">
        <v>54</v>
      </c>
      <c r="D260" s="8" t="str">
        <f>IFERROR(VLOOKUP(C260,产品数据!$B:$D,2,FALSE),"")</f>
        <v>1kg*6瓶/箱</v>
      </c>
      <c r="E260" s="8">
        <v>2</v>
      </c>
      <c r="F260" s="8" t="str">
        <f>IFERROR(VLOOKUP(C260,产品数据!$B:$D,3,FALSE),"")</f>
        <v>瓶</v>
      </c>
      <c r="G260" s="6" t="s">
        <v>125</v>
      </c>
    </row>
    <row r="261" spans="1:7">
      <c r="A261" s="6">
        <f t="shared" si="4"/>
        <v>260</v>
      </c>
      <c r="B261" s="5">
        <v>46052</v>
      </c>
      <c r="C261" s="7" t="s">
        <v>57</v>
      </c>
      <c r="D261" s="8" t="str">
        <f>IFERROR(VLOOKUP(C261,产品数据!$B:$D,2,FALSE),"")</f>
        <v>400g*25包/箱</v>
      </c>
      <c r="E261" s="8">
        <v>2</v>
      </c>
      <c r="F261" s="8" t="str">
        <f>IFERROR(VLOOKUP(C261,产品数据!$B:$D,3,FALSE),"")</f>
        <v>包</v>
      </c>
      <c r="G261" s="6" t="s">
        <v>125</v>
      </c>
    </row>
    <row r="262" spans="1:7">
      <c r="A262" s="6">
        <f t="shared" si="4"/>
        <v>261</v>
      </c>
      <c r="B262" s="5">
        <v>46052</v>
      </c>
      <c r="C262" s="7" t="s">
        <v>63</v>
      </c>
      <c r="D262" s="8" t="str">
        <f>IFERROR(VLOOKUP(C262,产品数据!$B:$D,2,FALSE),"")</f>
        <v>280g/包</v>
      </c>
      <c r="E262" s="8">
        <v>10</v>
      </c>
      <c r="F262" s="8" t="str">
        <f>IFERROR(VLOOKUP(C262,产品数据!$B:$D,3,FALSE),"")</f>
        <v>包</v>
      </c>
      <c r="G262" s="6" t="s">
        <v>125</v>
      </c>
    </row>
    <row r="263" spans="1:7">
      <c r="A263" s="6">
        <f t="shared" si="4"/>
        <v>262</v>
      </c>
      <c r="B263" s="5">
        <v>46052</v>
      </c>
      <c r="C263" s="7" t="s">
        <v>59</v>
      </c>
      <c r="D263" s="8" t="str">
        <f>IFERROR(VLOOKUP(C263,产品数据!$B:$D,2,FALSE),"")</f>
        <v>102克/包</v>
      </c>
      <c r="E263" s="8">
        <v>2</v>
      </c>
      <c r="F263" s="8" t="str">
        <f>IFERROR(VLOOKUP(C263,产品数据!$B:$D,3,FALSE),"")</f>
        <v>包</v>
      </c>
      <c r="G263" s="6" t="s">
        <v>125</v>
      </c>
    </row>
    <row r="264" spans="1:7">
      <c r="A264" s="6">
        <f t="shared" si="4"/>
        <v>263</v>
      </c>
      <c r="B264" s="5">
        <v>46052</v>
      </c>
      <c r="C264" s="7" t="s">
        <v>58</v>
      </c>
      <c r="D264" s="8" t="str">
        <f>IFERROR(VLOOKUP(C264,产品数据!$B:$D,2,FALSE),"")</f>
        <v>200克/包</v>
      </c>
      <c r="E264" s="8">
        <v>2</v>
      </c>
      <c r="F264" s="8" t="str">
        <f>IFERROR(VLOOKUP(C264,产品数据!$B:$D,3,FALSE),"")</f>
        <v>包</v>
      </c>
      <c r="G264" s="6" t="s">
        <v>125</v>
      </c>
    </row>
    <row r="265" spans="1:7">
      <c r="A265" s="6">
        <f t="shared" si="4"/>
        <v>264</v>
      </c>
      <c r="B265" s="5">
        <v>46052</v>
      </c>
      <c r="C265" s="7" t="s">
        <v>60</v>
      </c>
      <c r="D265" s="8" t="str">
        <f>IFERROR(VLOOKUP(C265,产品数据!$B:$D,2,FALSE),"")</f>
        <v>150克/包</v>
      </c>
      <c r="E265" s="8">
        <v>2</v>
      </c>
      <c r="F265" s="8" t="str">
        <f>IFERROR(VLOOKUP(C265,产品数据!$B:$D,3,FALSE),"")</f>
        <v>包</v>
      </c>
      <c r="G265" s="6" t="s">
        <v>125</v>
      </c>
    </row>
    <row r="266" spans="1:7">
      <c r="A266" s="6">
        <f t="shared" si="4"/>
        <v>265</v>
      </c>
      <c r="B266" s="5">
        <v>46052</v>
      </c>
      <c r="C266" s="7" t="s">
        <v>61</v>
      </c>
      <c r="D266" s="8" t="str">
        <f>IFERROR(VLOOKUP(C266,产品数据!$B:$D,2,FALSE),"")</f>
        <v>2.5kg/包</v>
      </c>
      <c r="E266" s="8">
        <v>1</v>
      </c>
      <c r="F266" s="8" t="str">
        <f>IFERROR(VLOOKUP(C266,产品数据!$B:$D,3,FALSE),"")</f>
        <v>包</v>
      </c>
      <c r="G266" s="6" t="s">
        <v>125</v>
      </c>
    </row>
    <row r="267" spans="1:7">
      <c r="A267" s="6">
        <f t="shared" si="4"/>
        <v>266</v>
      </c>
      <c r="B267" s="5">
        <v>46052</v>
      </c>
      <c r="C267" s="7" t="s">
        <v>52</v>
      </c>
      <c r="D267" s="8" t="str">
        <f>IFERROR(VLOOKUP(C267,产品数据!$B:$D,2,FALSE),"")</f>
        <v>705ml/瓶</v>
      </c>
      <c r="E267" s="8">
        <v>1</v>
      </c>
      <c r="F267" s="8" t="str">
        <f>IFERROR(VLOOKUP(C267,产品数据!$B:$D,3,FALSE),"")</f>
        <v>瓶</v>
      </c>
      <c r="G267" s="6" t="s">
        <v>125</v>
      </c>
    </row>
    <row r="268" spans="1:7">
      <c r="A268" s="6">
        <f t="shared" si="4"/>
        <v>267</v>
      </c>
      <c r="B268" s="5">
        <v>46052</v>
      </c>
      <c r="C268" s="7" t="s">
        <v>41</v>
      </c>
      <c r="D268" s="8" t="str">
        <f>IFERROR(VLOOKUP(C268,产品数据!$B:$D,2,FALSE),"")</f>
        <v>5l/*4桶/箱</v>
      </c>
      <c r="E268" s="8">
        <v>2</v>
      </c>
      <c r="F268" s="8" t="str">
        <f>IFERROR(VLOOKUP(C268,产品数据!$B:$D,3,FALSE),"")</f>
        <v>桶</v>
      </c>
      <c r="G268" s="6" t="s">
        <v>126</v>
      </c>
    </row>
    <row r="269" spans="1:7">
      <c r="A269" s="6">
        <f t="shared" si="4"/>
        <v>268</v>
      </c>
      <c r="B269" s="5">
        <v>46052</v>
      </c>
      <c r="C269" s="7" t="s">
        <v>57</v>
      </c>
      <c r="D269" s="8" t="str">
        <f>IFERROR(VLOOKUP(C269,产品数据!$B:$D,2,FALSE),"")</f>
        <v>400g*25包/箱</v>
      </c>
      <c r="E269" s="8">
        <v>2</v>
      </c>
      <c r="F269" s="8" t="str">
        <f>IFERROR(VLOOKUP(C269,产品数据!$B:$D,3,FALSE),"")</f>
        <v>包</v>
      </c>
      <c r="G269" s="6" t="s">
        <v>126</v>
      </c>
    </row>
    <row r="270" spans="1:7">
      <c r="A270" s="6">
        <f t="shared" si="4"/>
        <v>269</v>
      </c>
      <c r="B270" s="5">
        <v>46052</v>
      </c>
      <c r="C270" s="7" t="s">
        <v>39</v>
      </c>
      <c r="D270" s="8" t="str">
        <f>IFERROR(VLOOKUP(C270,产品数据!$B:$D,2,FALSE),"")</f>
        <v>10千克/袋</v>
      </c>
      <c r="E270" s="8">
        <v>4</v>
      </c>
      <c r="F270" s="8" t="str">
        <f>IFERROR(VLOOKUP(C270,产品数据!$B:$D,3,FALSE),"")</f>
        <v>袋</v>
      </c>
      <c r="G270" s="6" t="s">
        <v>127</v>
      </c>
    </row>
    <row r="271" spans="1:7">
      <c r="A271" s="6">
        <f t="shared" si="4"/>
        <v>270</v>
      </c>
      <c r="B271" s="5">
        <v>46055</v>
      </c>
      <c r="C271" s="7" t="s">
        <v>41</v>
      </c>
      <c r="D271" s="8" t="str">
        <f>IFERROR(VLOOKUP(C271,产品数据!$B:$D,2,FALSE),"")</f>
        <v>5l/*4桶/箱</v>
      </c>
      <c r="E271" s="8">
        <v>4</v>
      </c>
      <c r="F271" s="8" t="str">
        <f>IFERROR(VLOOKUP(C271,产品数据!$B:$D,3,FALSE),"")</f>
        <v>桶</v>
      </c>
      <c r="G271" s="6" t="s">
        <v>125</v>
      </c>
    </row>
    <row r="272" spans="1:7">
      <c r="A272" s="6">
        <f t="shared" si="4"/>
        <v>271</v>
      </c>
      <c r="B272" s="5">
        <v>46055</v>
      </c>
      <c r="C272" s="7" t="s">
        <v>44</v>
      </c>
      <c r="D272" s="8" t="str">
        <f>IFERROR(VLOOKUP(C272,产品数据!$B:$D,2,FALSE),"")</f>
        <v>1.9升/瓶*6瓶/箱</v>
      </c>
      <c r="E272" s="8">
        <v>1</v>
      </c>
      <c r="F272" s="8" t="str">
        <f>IFERROR(VLOOKUP(C272,产品数据!$B:$D,3,FALSE),"")</f>
        <v>瓶</v>
      </c>
      <c r="G272" s="6" t="s">
        <v>125</v>
      </c>
    </row>
    <row r="273" spans="1:7">
      <c r="A273" s="6">
        <f t="shared" si="4"/>
        <v>272</v>
      </c>
      <c r="B273" s="5">
        <v>46055</v>
      </c>
      <c r="C273" s="7" t="s">
        <v>53</v>
      </c>
      <c r="D273" s="8" t="str">
        <f>IFERROR(VLOOKUP(C273,产品数据!$B:$D,2,FALSE),"")</f>
        <v>2.5L*6桶/箱</v>
      </c>
      <c r="E273" s="8">
        <v>2</v>
      </c>
      <c r="F273" s="8" t="str">
        <f>IFERROR(VLOOKUP(C273,产品数据!$B:$D,3,FALSE),"")</f>
        <v>桶</v>
      </c>
      <c r="G273" s="6" t="s">
        <v>125</v>
      </c>
    </row>
    <row r="274" spans="1:7">
      <c r="A274" s="6">
        <f t="shared" si="4"/>
        <v>273</v>
      </c>
      <c r="B274" s="5">
        <v>46055</v>
      </c>
      <c r="C274" s="7" t="s">
        <v>42</v>
      </c>
      <c r="D274" s="8" t="str">
        <f>IFERROR(VLOOKUP(C274,产品数据!$B:$D,2,FALSE),"")</f>
        <v>1.68L*6壶</v>
      </c>
      <c r="E274" s="8">
        <v>2</v>
      </c>
      <c r="F274" s="8" t="str">
        <f>IFERROR(VLOOKUP(C274,产品数据!$B:$D,3,FALSE),"")</f>
        <v>壶</v>
      </c>
      <c r="G274" s="6" t="s">
        <v>125</v>
      </c>
    </row>
    <row r="275" spans="1:7">
      <c r="A275" s="6">
        <f t="shared" si="4"/>
        <v>274</v>
      </c>
      <c r="B275" s="5">
        <v>46055</v>
      </c>
      <c r="C275" s="7" t="s">
        <v>54</v>
      </c>
      <c r="D275" s="8" t="str">
        <f>IFERROR(VLOOKUP(C275,产品数据!$B:$D,2,FALSE),"")</f>
        <v>1kg*6瓶/箱</v>
      </c>
      <c r="E275" s="8">
        <v>1</v>
      </c>
      <c r="F275" s="8" t="str">
        <f>IFERROR(VLOOKUP(C275,产品数据!$B:$D,3,FALSE),"")</f>
        <v>瓶</v>
      </c>
      <c r="G275" s="6" t="s">
        <v>125</v>
      </c>
    </row>
    <row r="276" spans="1:7">
      <c r="A276" s="6">
        <f t="shared" si="4"/>
        <v>275</v>
      </c>
      <c r="B276" s="5">
        <v>46055</v>
      </c>
      <c r="C276" s="7" t="s">
        <v>57</v>
      </c>
      <c r="D276" s="8" t="str">
        <f>IFERROR(VLOOKUP(C276,产品数据!$B:$D,2,FALSE),"")</f>
        <v>400g*25包/箱</v>
      </c>
      <c r="E276" s="8">
        <v>2</v>
      </c>
      <c r="F276" s="8" t="str">
        <f>IFERROR(VLOOKUP(C276,产品数据!$B:$D,3,FALSE),"")</f>
        <v>包</v>
      </c>
      <c r="G276" s="6" t="s">
        <v>125</v>
      </c>
    </row>
    <row r="277" spans="1:7">
      <c r="A277" s="6">
        <f t="shared" si="4"/>
        <v>276</v>
      </c>
      <c r="B277" s="5">
        <v>46055</v>
      </c>
      <c r="C277" s="7" t="s">
        <v>52</v>
      </c>
      <c r="D277" s="8" t="str">
        <f>IFERROR(VLOOKUP(C277,产品数据!$B:$D,2,FALSE),"")</f>
        <v>705ml/瓶</v>
      </c>
      <c r="E277" s="8">
        <v>1</v>
      </c>
      <c r="F277" s="8" t="str">
        <f>IFERROR(VLOOKUP(C277,产品数据!$B:$D,3,FALSE),"")</f>
        <v>瓶</v>
      </c>
      <c r="G277" s="6" t="s">
        <v>125</v>
      </c>
    </row>
    <row r="278" spans="1:7">
      <c r="A278" s="6">
        <f t="shared" si="4"/>
        <v>277</v>
      </c>
      <c r="B278" s="5">
        <v>46055</v>
      </c>
      <c r="C278" s="7" t="s">
        <v>56</v>
      </c>
      <c r="D278" s="8" t="str">
        <f>IFERROR(VLOOKUP(C278,产品数据!$B:$D,2,FALSE),"")</f>
        <v>178g*50包/箱</v>
      </c>
      <c r="E278" s="8">
        <v>5</v>
      </c>
      <c r="F278" s="8" t="str">
        <f>IFERROR(VLOOKUP(C278,产品数据!$B:$D,3,FALSE),"")</f>
        <v>包</v>
      </c>
      <c r="G278" s="6" t="s">
        <v>125</v>
      </c>
    </row>
    <row r="279" spans="1:7">
      <c r="A279" s="6">
        <f t="shared" si="4"/>
        <v>278</v>
      </c>
      <c r="B279" s="5">
        <v>46055</v>
      </c>
      <c r="C279" s="7" t="s">
        <v>63</v>
      </c>
      <c r="D279" s="8" t="str">
        <f>IFERROR(VLOOKUP(C279,产品数据!$B:$D,2,FALSE),"")</f>
        <v>280g/包</v>
      </c>
      <c r="E279" s="8">
        <v>10</v>
      </c>
      <c r="F279" s="8" t="str">
        <f>IFERROR(VLOOKUP(C279,产品数据!$B:$D,3,FALSE),"")</f>
        <v>包</v>
      </c>
      <c r="G279" s="6" t="s">
        <v>125</v>
      </c>
    </row>
    <row r="280" spans="1:7">
      <c r="A280" s="6">
        <f t="shared" si="4"/>
        <v>279</v>
      </c>
      <c r="B280" s="5">
        <v>46055</v>
      </c>
      <c r="C280" s="7" t="s">
        <v>41</v>
      </c>
      <c r="D280" s="8" t="str">
        <f>IFERROR(VLOOKUP(C280,产品数据!$B:$D,2,FALSE),"")</f>
        <v>5l/*4桶/箱</v>
      </c>
      <c r="E280" s="8">
        <v>1</v>
      </c>
      <c r="F280" s="8" t="str">
        <f>IFERROR(VLOOKUP(C280,产品数据!$B:$D,3,FALSE),"")</f>
        <v>桶</v>
      </c>
      <c r="G280" s="6" t="s">
        <v>129</v>
      </c>
    </row>
    <row r="281" spans="1:7">
      <c r="A281" s="6">
        <f t="shared" si="4"/>
        <v>280</v>
      </c>
      <c r="B281" s="5">
        <v>46055</v>
      </c>
      <c r="C281" s="7" t="s">
        <v>56</v>
      </c>
      <c r="D281" s="8" t="str">
        <f>IFERROR(VLOOKUP(C281,产品数据!$B:$D,2,FALSE),"")</f>
        <v>178g*50包/箱</v>
      </c>
      <c r="E281" s="8">
        <v>4</v>
      </c>
      <c r="F281" s="8" t="str">
        <f>IFERROR(VLOOKUP(C281,产品数据!$B:$D,3,FALSE),"")</f>
        <v>包</v>
      </c>
      <c r="G281" s="6" t="s">
        <v>129</v>
      </c>
    </row>
    <row r="282" spans="1:7">
      <c r="A282" s="6">
        <f t="shared" si="4"/>
        <v>281</v>
      </c>
      <c r="B282" s="5">
        <v>46055</v>
      </c>
      <c r="C282" s="7" t="s">
        <v>40</v>
      </c>
      <c r="D282" s="8" t="str">
        <f>IFERROR(VLOOKUP(C282,产品数据!$B:$D,2,FALSE),"")</f>
        <v>10kg/包</v>
      </c>
      <c r="E282" s="8">
        <v>3</v>
      </c>
      <c r="F282" s="8" t="str">
        <f>IFERROR(VLOOKUP(C282,产品数据!$B:$D,3,FALSE),"")</f>
        <v>包</v>
      </c>
      <c r="G282" s="6" t="s">
        <v>128</v>
      </c>
    </row>
    <row r="283" spans="1:7">
      <c r="A283" s="6">
        <f t="shared" si="4"/>
        <v>282</v>
      </c>
      <c r="B283" s="5">
        <v>46055</v>
      </c>
      <c r="C283" s="7" t="s">
        <v>42</v>
      </c>
      <c r="D283" s="8" t="str">
        <f>IFERROR(VLOOKUP(C283,产品数据!$B:$D,2,FALSE),"")</f>
        <v>1.68L*6壶</v>
      </c>
      <c r="E283" s="8">
        <v>1</v>
      </c>
      <c r="F283" s="8" t="str">
        <f>IFERROR(VLOOKUP(C283,产品数据!$B:$D,3,FALSE),"")</f>
        <v>壶</v>
      </c>
      <c r="G283" s="6" t="s">
        <v>128</v>
      </c>
    </row>
    <row r="284" spans="1:7">
      <c r="A284" s="6">
        <f t="shared" si="4"/>
        <v>283</v>
      </c>
      <c r="B284" s="5">
        <v>46055</v>
      </c>
      <c r="C284" s="7" t="s">
        <v>54</v>
      </c>
      <c r="D284" s="8" t="str">
        <f>IFERROR(VLOOKUP(C284,产品数据!$B:$D,2,FALSE),"")</f>
        <v>1kg*6瓶/箱</v>
      </c>
      <c r="E284" s="8">
        <v>1</v>
      </c>
      <c r="F284" s="8" t="str">
        <f>IFERROR(VLOOKUP(C284,产品数据!$B:$D,3,FALSE),"")</f>
        <v>瓶</v>
      </c>
      <c r="G284" s="6" t="s">
        <v>128</v>
      </c>
    </row>
    <row r="285" spans="1:7">
      <c r="A285" s="6">
        <f t="shared" si="4"/>
        <v>284</v>
      </c>
      <c r="B285" s="5">
        <v>46055</v>
      </c>
      <c r="C285" s="7" t="s">
        <v>63</v>
      </c>
      <c r="D285" s="8" t="str">
        <f>IFERROR(VLOOKUP(C285,产品数据!$B:$D,2,FALSE),"")</f>
        <v>280g/包</v>
      </c>
      <c r="E285" s="8">
        <v>2</v>
      </c>
      <c r="F285" s="8" t="str">
        <f>IFERROR(VLOOKUP(C285,产品数据!$B:$D,3,FALSE),"")</f>
        <v>包</v>
      </c>
      <c r="G285" s="6" t="s">
        <v>128</v>
      </c>
    </row>
    <row r="286" spans="1:7">
      <c r="A286" s="6">
        <f t="shared" si="4"/>
        <v>285</v>
      </c>
      <c r="B286" s="5">
        <v>46055</v>
      </c>
      <c r="C286" s="7" t="s">
        <v>44</v>
      </c>
      <c r="D286" s="8" t="str">
        <f>IFERROR(VLOOKUP(C286,产品数据!$B:$D,2,FALSE),"")</f>
        <v>1.9升/瓶*6瓶/箱</v>
      </c>
      <c r="E286" s="8">
        <v>1</v>
      </c>
      <c r="F286" s="8" t="str">
        <f>IFERROR(VLOOKUP(C286,产品数据!$B:$D,3,FALSE),"")</f>
        <v>瓶</v>
      </c>
      <c r="G286" s="6" t="s">
        <v>128</v>
      </c>
    </row>
    <row r="287" spans="1:7">
      <c r="A287" s="6">
        <f t="shared" si="4"/>
        <v>286</v>
      </c>
      <c r="B287" s="5">
        <v>46055</v>
      </c>
      <c r="C287" s="7" t="s">
        <v>59</v>
      </c>
      <c r="D287" s="8" t="str">
        <f>IFERROR(VLOOKUP(C287,产品数据!$B:$D,2,FALSE),"")</f>
        <v>102克/包</v>
      </c>
      <c r="E287" s="8">
        <v>1</v>
      </c>
      <c r="F287" s="8" t="str">
        <f>IFERROR(VLOOKUP(C287,产品数据!$B:$D,3,FALSE),"")</f>
        <v>包</v>
      </c>
      <c r="G287" s="6" t="s">
        <v>128</v>
      </c>
    </row>
    <row r="288" spans="1:7">
      <c r="A288" s="6">
        <f t="shared" si="4"/>
        <v>287</v>
      </c>
      <c r="B288" s="5">
        <v>46055</v>
      </c>
      <c r="C288" s="7" t="s">
        <v>39</v>
      </c>
      <c r="D288" s="8" t="str">
        <f>IFERROR(VLOOKUP(C288,产品数据!$B:$D,2,FALSE),"")</f>
        <v>10千克/袋</v>
      </c>
      <c r="E288" s="8">
        <v>3</v>
      </c>
      <c r="F288" s="8" t="str">
        <f>IFERROR(VLOOKUP(C288,产品数据!$B:$D,3,FALSE),"")</f>
        <v>袋</v>
      </c>
      <c r="G288" s="6" t="s">
        <v>127</v>
      </c>
    </row>
    <row r="289" spans="1:7">
      <c r="A289" s="6">
        <f t="shared" si="4"/>
        <v>288</v>
      </c>
      <c r="B289" s="5">
        <v>46056</v>
      </c>
      <c r="C289" s="7" t="s">
        <v>41</v>
      </c>
      <c r="D289" s="8" t="str">
        <f>IFERROR(VLOOKUP(C289,产品数据!$B:$D,2,FALSE),"")</f>
        <v>5l/*4桶/箱</v>
      </c>
      <c r="E289" s="8">
        <v>4</v>
      </c>
      <c r="F289" s="8" t="str">
        <f>IFERROR(VLOOKUP(C289,产品数据!$B:$D,3,FALSE),"")</f>
        <v>桶</v>
      </c>
      <c r="G289" s="6" t="s">
        <v>125</v>
      </c>
    </row>
    <row r="290" spans="1:7">
      <c r="A290" s="6">
        <f t="shared" si="4"/>
        <v>289</v>
      </c>
      <c r="B290" s="5">
        <v>46056</v>
      </c>
      <c r="C290" s="7" t="s">
        <v>44</v>
      </c>
      <c r="D290" s="8" t="str">
        <f>IFERROR(VLOOKUP(C290,产品数据!$B:$D,2,FALSE),"")</f>
        <v>1.9升/瓶*6瓶/箱</v>
      </c>
      <c r="E290" s="8">
        <v>1</v>
      </c>
      <c r="F290" s="8" t="str">
        <f>IFERROR(VLOOKUP(C290,产品数据!$B:$D,3,FALSE),"")</f>
        <v>瓶</v>
      </c>
      <c r="G290" s="6" t="s">
        <v>125</v>
      </c>
    </row>
    <row r="291" spans="1:7">
      <c r="A291" s="6">
        <f t="shared" si="4"/>
        <v>290</v>
      </c>
      <c r="B291" s="5">
        <v>46056</v>
      </c>
      <c r="C291" s="7" t="s">
        <v>43</v>
      </c>
      <c r="D291" s="8" t="str">
        <f>IFERROR(VLOOKUP(C291,产品数据!$B:$D,2,FALSE),"")</f>
        <v>1.9升/瓶*6瓶/箱</v>
      </c>
      <c r="E291" s="8">
        <v>1</v>
      </c>
      <c r="F291" s="8" t="str">
        <f>IFERROR(VLOOKUP(C291,产品数据!$B:$D,3,FALSE),"")</f>
        <v>瓶</v>
      </c>
      <c r="G291" s="6" t="s">
        <v>125</v>
      </c>
    </row>
    <row r="292" spans="1:7">
      <c r="A292" s="6">
        <f t="shared" si="4"/>
        <v>291</v>
      </c>
      <c r="B292" s="5">
        <v>46056</v>
      </c>
      <c r="C292" s="7" t="s">
        <v>52</v>
      </c>
      <c r="D292" s="8" t="str">
        <f>IFERROR(VLOOKUP(C292,产品数据!$B:$D,2,FALSE),"")</f>
        <v>705ml/瓶</v>
      </c>
      <c r="E292" s="8">
        <v>2</v>
      </c>
      <c r="F292" s="8" t="str">
        <f>IFERROR(VLOOKUP(C292,产品数据!$B:$D,3,FALSE),"")</f>
        <v>瓶</v>
      </c>
      <c r="G292" s="6" t="s">
        <v>125</v>
      </c>
    </row>
    <row r="293" spans="1:7">
      <c r="A293" s="6">
        <f t="shared" si="4"/>
        <v>292</v>
      </c>
      <c r="B293" s="5">
        <v>46056</v>
      </c>
      <c r="C293" s="7" t="s">
        <v>54</v>
      </c>
      <c r="D293" s="8" t="str">
        <f>IFERROR(VLOOKUP(C293,产品数据!$B:$D,2,FALSE),"")</f>
        <v>1kg*6瓶/箱</v>
      </c>
      <c r="E293" s="8">
        <v>2</v>
      </c>
      <c r="F293" s="8" t="str">
        <f>IFERROR(VLOOKUP(C293,产品数据!$B:$D,3,FALSE),"")</f>
        <v>瓶</v>
      </c>
      <c r="G293" s="6" t="s">
        <v>125</v>
      </c>
    </row>
    <row r="294" spans="1:7">
      <c r="A294" s="6">
        <f t="shared" si="4"/>
        <v>293</v>
      </c>
      <c r="B294" s="5">
        <v>46056</v>
      </c>
      <c r="C294" s="7" t="s">
        <v>57</v>
      </c>
      <c r="D294" s="8" t="str">
        <f>IFERROR(VLOOKUP(C294,产品数据!$B:$D,2,FALSE),"")</f>
        <v>400g*25包/箱</v>
      </c>
      <c r="E294" s="8">
        <v>2</v>
      </c>
      <c r="F294" s="8" t="str">
        <f>IFERROR(VLOOKUP(C294,产品数据!$B:$D,3,FALSE),"")</f>
        <v>包</v>
      </c>
      <c r="G294" s="6" t="s">
        <v>125</v>
      </c>
    </row>
    <row r="295" spans="1:7">
      <c r="A295" s="6">
        <f t="shared" si="4"/>
        <v>294</v>
      </c>
      <c r="B295" s="5">
        <v>46056</v>
      </c>
      <c r="C295" s="7" t="s">
        <v>53</v>
      </c>
      <c r="D295" s="8" t="str">
        <f>IFERROR(VLOOKUP(C295,产品数据!$B:$D,2,FALSE),"")</f>
        <v>2.5L*6桶/箱</v>
      </c>
      <c r="E295" s="8">
        <v>1</v>
      </c>
      <c r="F295" s="8" t="str">
        <f>IFERROR(VLOOKUP(C295,产品数据!$B:$D,3,FALSE),"")</f>
        <v>桶</v>
      </c>
      <c r="G295" s="6" t="s">
        <v>125</v>
      </c>
    </row>
    <row r="296" spans="1:7">
      <c r="A296" s="6">
        <f t="shared" si="4"/>
        <v>295</v>
      </c>
      <c r="B296" s="5">
        <v>46056</v>
      </c>
      <c r="C296" s="7" t="s">
        <v>42</v>
      </c>
      <c r="D296" s="8" t="str">
        <f>IFERROR(VLOOKUP(C296,产品数据!$B:$D,2,FALSE),"")</f>
        <v>1.68L*6壶</v>
      </c>
      <c r="E296" s="8">
        <v>1</v>
      </c>
      <c r="F296" s="8" t="str">
        <f>IFERROR(VLOOKUP(C296,产品数据!$B:$D,3,FALSE),"")</f>
        <v>壶</v>
      </c>
      <c r="G296" s="6" t="s">
        <v>125</v>
      </c>
    </row>
    <row r="297" spans="1:7">
      <c r="A297" s="6">
        <f t="shared" si="4"/>
        <v>296</v>
      </c>
      <c r="B297" s="5">
        <v>46056</v>
      </c>
      <c r="C297" s="7" t="s">
        <v>39</v>
      </c>
      <c r="D297" s="8" t="str">
        <f>IFERROR(VLOOKUP(C297,产品数据!$B:$D,2,FALSE),"")</f>
        <v>10千克/袋</v>
      </c>
      <c r="E297" s="8">
        <v>2</v>
      </c>
      <c r="F297" s="8" t="str">
        <f>IFERROR(VLOOKUP(C297,产品数据!$B:$D,3,FALSE),"")</f>
        <v>袋</v>
      </c>
      <c r="G297" s="6" t="s">
        <v>127</v>
      </c>
    </row>
    <row r="298" spans="1:7">
      <c r="A298" s="6">
        <f t="shared" si="4"/>
        <v>297</v>
      </c>
      <c r="B298" s="5">
        <v>46056</v>
      </c>
      <c r="C298" s="7" t="s">
        <v>40</v>
      </c>
      <c r="D298" s="8" t="str">
        <f>IFERROR(VLOOKUP(C298,产品数据!$B:$D,2,FALSE),"")</f>
        <v>10kg/包</v>
      </c>
      <c r="E298" s="8">
        <v>2</v>
      </c>
      <c r="F298" s="8" t="str">
        <f>IFERROR(VLOOKUP(C298,产品数据!$B:$D,3,FALSE),"")</f>
        <v>包</v>
      </c>
      <c r="G298" s="6" t="s">
        <v>128</v>
      </c>
    </row>
    <row r="299" spans="1:7">
      <c r="A299" s="6">
        <f t="shared" si="4"/>
        <v>298</v>
      </c>
      <c r="B299" s="5">
        <v>46057</v>
      </c>
      <c r="C299" s="7" t="s">
        <v>41</v>
      </c>
      <c r="D299" s="8" t="str">
        <f>IFERROR(VLOOKUP(C299,产品数据!$B:$D,2,FALSE),"")</f>
        <v>5l/*4桶/箱</v>
      </c>
      <c r="E299" s="8">
        <v>3</v>
      </c>
      <c r="F299" s="8" t="str">
        <f>IFERROR(VLOOKUP(C299,产品数据!$B:$D,3,FALSE),"")</f>
        <v>桶</v>
      </c>
      <c r="G299" s="6" t="s">
        <v>125</v>
      </c>
    </row>
    <row r="300" spans="1:7">
      <c r="A300" s="6">
        <f t="shared" si="4"/>
        <v>299</v>
      </c>
      <c r="B300" s="5">
        <v>46057</v>
      </c>
      <c r="C300" s="7" t="s">
        <v>53</v>
      </c>
      <c r="D300" s="8" t="str">
        <f>IFERROR(VLOOKUP(C300,产品数据!$B:$D,2,FALSE),"")</f>
        <v>2.5L*6桶/箱</v>
      </c>
      <c r="E300" s="8">
        <v>1</v>
      </c>
      <c r="F300" s="8" t="str">
        <f>IFERROR(VLOOKUP(C300,产品数据!$B:$D,3,FALSE),"")</f>
        <v>桶</v>
      </c>
      <c r="G300" s="6" t="s">
        <v>125</v>
      </c>
    </row>
    <row r="301" spans="1:7">
      <c r="A301" s="6">
        <f t="shared" si="4"/>
        <v>300</v>
      </c>
      <c r="B301" s="5">
        <v>46057</v>
      </c>
      <c r="C301" s="7" t="s">
        <v>54</v>
      </c>
      <c r="D301" s="8" t="str">
        <f>IFERROR(VLOOKUP(C301,产品数据!$B:$D,2,FALSE),"")</f>
        <v>1kg*6瓶/箱</v>
      </c>
      <c r="E301" s="8">
        <v>1</v>
      </c>
      <c r="F301" s="8" t="str">
        <f>IFERROR(VLOOKUP(C301,产品数据!$B:$D,3,FALSE),"")</f>
        <v>瓶</v>
      </c>
      <c r="G301" s="6" t="s">
        <v>125</v>
      </c>
    </row>
    <row r="302" spans="1:7">
      <c r="A302" s="6">
        <f t="shared" si="4"/>
        <v>301</v>
      </c>
      <c r="B302" s="5">
        <v>46057</v>
      </c>
      <c r="C302" s="7" t="s">
        <v>52</v>
      </c>
      <c r="D302" s="8" t="str">
        <f>IFERROR(VLOOKUP(C302,产品数据!$B:$D,2,FALSE),"")</f>
        <v>705ml/瓶</v>
      </c>
      <c r="E302" s="8">
        <v>1</v>
      </c>
      <c r="F302" s="8" t="str">
        <f>IFERROR(VLOOKUP(C302,产品数据!$B:$D,3,FALSE),"")</f>
        <v>瓶</v>
      </c>
      <c r="G302" s="6" t="s">
        <v>125</v>
      </c>
    </row>
    <row r="303" spans="1:7">
      <c r="A303" s="6">
        <f t="shared" si="4"/>
        <v>302</v>
      </c>
      <c r="B303" s="5">
        <v>46057</v>
      </c>
      <c r="C303" s="7" t="s">
        <v>57</v>
      </c>
      <c r="D303" s="8" t="str">
        <f>IFERROR(VLOOKUP(C303,产品数据!$B:$D,2,FALSE),"")</f>
        <v>400g*25包/箱</v>
      </c>
      <c r="E303" s="8">
        <v>2</v>
      </c>
      <c r="F303" s="8" t="str">
        <f>IFERROR(VLOOKUP(C303,产品数据!$B:$D,3,FALSE),"")</f>
        <v>包</v>
      </c>
      <c r="G303" s="6" t="s">
        <v>125</v>
      </c>
    </row>
    <row r="304" spans="1:7">
      <c r="A304" s="6">
        <f t="shared" si="4"/>
        <v>303</v>
      </c>
      <c r="B304" s="5">
        <v>46057</v>
      </c>
      <c r="C304" s="7" t="s">
        <v>63</v>
      </c>
      <c r="D304" s="8" t="str">
        <f>IFERROR(VLOOKUP(C304,产品数据!$B:$D,2,FALSE),"")</f>
        <v>280g/包</v>
      </c>
      <c r="E304" s="8">
        <v>10</v>
      </c>
      <c r="F304" s="8" t="str">
        <f>IFERROR(VLOOKUP(C304,产品数据!$B:$D,3,FALSE),"")</f>
        <v>包</v>
      </c>
      <c r="G304" s="6" t="s">
        <v>125</v>
      </c>
    </row>
    <row r="305" spans="1:7">
      <c r="A305" s="6">
        <f t="shared" si="4"/>
        <v>304</v>
      </c>
      <c r="B305" s="5">
        <v>46057</v>
      </c>
      <c r="C305" s="7" t="s">
        <v>61</v>
      </c>
      <c r="D305" s="8" t="str">
        <f>IFERROR(VLOOKUP(C305,产品数据!$B:$D,2,FALSE),"")</f>
        <v>2.5kg/包</v>
      </c>
      <c r="E305" s="8">
        <v>1</v>
      </c>
      <c r="F305" s="8" t="str">
        <f>IFERROR(VLOOKUP(C305,产品数据!$B:$D,3,FALSE),"")</f>
        <v>包</v>
      </c>
      <c r="G305" s="6" t="s">
        <v>125</v>
      </c>
    </row>
    <row r="306" spans="1:7">
      <c r="A306" s="6">
        <f t="shared" si="4"/>
        <v>305</v>
      </c>
      <c r="B306" s="5">
        <v>46057</v>
      </c>
      <c r="C306" s="7" t="s">
        <v>59</v>
      </c>
      <c r="D306" s="8" t="str">
        <f>IFERROR(VLOOKUP(C306,产品数据!$B:$D,2,FALSE),"")</f>
        <v>102克/包</v>
      </c>
      <c r="E306" s="8">
        <v>2</v>
      </c>
      <c r="F306" s="8" t="str">
        <f>IFERROR(VLOOKUP(C306,产品数据!$B:$D,3,FALSE),"")</f>
        <v>包</v>
      </c>
      <c r="G306" s="6" t="s">
        <v>125</v>
      </c>
    </row>
    <row r="307" spans="1:7">
      <c r="A307" s="6">
        <f t="shared" si="4"/>
        <v>306</v>
      </c>
      <c r="B307" s="5">
        <v>46057</v>
      </c>
      <c r="C307" s="7" t="s">
        <v>39</v>
      </c>
      <c r="D307" s="8" t="str">
        <f>IFERROR(VLOOKUP(C307,产品数据!$B:$D,2,FALSE),"")</f>
        <v>10千克/袋</v>
      </c>
      <c r="E307" s="8">
        <v>3</v>
      </c>
      <c r="F307" s="8" t="str">
        <f>IFERROR(VLOOKUP(C307,产品数据!$B:$D,3,FALSE),"")</f>
        <v>袋</v>
      </c>
      <c r="G307" s="6" t="s">
        <v>127</v>
      </c>
    </row>
    <row r="308" spans="1:7">
      <c r="A308" s="6">
        <f t="shared" si="4"/>
        <v>307</v>
      </c>
      <c r="B308" s="5">
        <v>46057</v>
      </c>
      <c r="C308" s="7" t="s">
        <v>40</v>
      </c>
      <c r="D308" s="8" t="str">
        <f>IFERROR(VLOOKUP(C308,产品数据!$B:$D,2,FALSE),"")</f>
        <v>10kg/包</v>
      </c>
      <c r="E308" s="8">
        <v>2</v>
      </c>
      <c r="F308" s="8" t="str">
        <f>IFERROR(VLOOKUP(C308,产品数据!$B:$D,3,FALSE),"")</f>
        <v>包</v>
      </c>
      <c r="G308" s="6" t="s">
        <v>128</v>
      </c>
    </row>
    <row r="309" spans="1:7">
      <c r="A309" s="6">
        <f t="shared" si="4"/>
        <v>308</v>
      </c>
      <c r="B309" s="5">
        <v>46058</v>
      </c>
      <c r="C309" s="7" t="s">
        <v>41</v>
      </c>
      <c r="D309" s="8" t="str">
        <f>IFERROR(VLOOKUP(C309,产品数据!$B:$D,2,FALSE),"")</f>
        <v>5l/*4桶/箱</v>
      </c>
      <c r="E309" s="8">
        <v>3</v>
      </c>
      <c r="F309" s="8" t="str">
        <f>IFERROR(VLOOKUP(C309,产品数据!$B:$D,3,FALSE),"")</f>
        <v>桶</v>
      </c>
      <c r="G309" s="6" t="s">
        <v>125</v>
      </c>
    </row>
    <row r="310" spans="1:7">
      <c r="A310" s="6">
        <f t="shared" si="4"/>
        <v>309</v>
      </c>
      <c r="B310" s="5">
        <v>46058</v>
      </c>
      <c r="C310" s="7" t="s">
        <v>42</v>
      </c>
      <c r="D310" s="8" t="str">
        <f>IFERROR(VLOOKUP(C310,产品数据!$B:$D,2,FALSE),"")</f>
        <v>1.68L*6壶</v>
      </c>
      <c r="E310" s="8">
        <v>1</v>
      </c>
      <c r="F310" s="8" t="str">
        <f>IFERROR(VLOOKUP(C310,产品数据!$B:$D,3,FALSE),"")</f>
        <v>壶</v>
      </c>
      <c r="G310" s="6" t="s">
        <v>125</v>
      </c>
    </row>
    <row r="311" spans="1:7">
      <c r="A311" s="6">
        <f t="shared" si="4"/>
        <v>310</v>
      </c>
      <c r="B311" s="5">
        <v>46058</v>
      </c>
      <c r="C311" s="7" t="s">
        <v>53</v>
      </c>
      <c r="D311" s="8" t="str">
        <f>IFERROR(VLOOKUP(C311,产品数据!$B:$D,2,FALSE),"")</f>
        <v>2.5L*6桶/箱</v>
      </c>
      <c r="E311" s="8">
        <v>1</v>
      </c>
      <c r="F311" s="8" t="str">
        <f>IFERROR(VLOOKUP(C311,产品数据!$B:$D,3,FALSE),"")</f>
        <v>桶</v>
      </c>
      <c r="G311" s="6" t="s">
        <v>125</v>
      </c>
    </row>
    <row r="312" spans="1:7">
      <c r="A312" s="6">
        <f t="shared" si="4"/>
        <v>311</v>
      </c>
      <c r="B312" s="5">
        <v>46058</v>
      </c>
      <c r="C312" s="7" t="s">
        <v>52</v>
      </c>
      <c r="D312" s="8" t="str">
        <f>IFERROR(VLOOKUP(C312,产品数据!$B:$D,2,FALSE),"")</f>
        <v>705ml/瓶</v>
      </c>
      <c r="E312" s="8">
        <v>1</v>
      </c>
      <c r="F312" s="8" t="str">
        <f>IFERROR(VLOOKUP(C312,产品数据!$B:$D,3,FALSE),"")</f>
        <v>瓶</v>
      </c>
      <c r="G312" s="6" t="s">
        <v>125</v>
      </c>
    </row>
    <row r="313" spans="1:7">
      <c r="A313" s="6">
        <f t="shared" si="4"/>
        <v>312</v>
      </c>
      <c r="B313" s="5">
        <v>46058</v>
      </c>
      <c r="C313" s="7" t="s">
        <v>54</v>
      </c>
      <c r="D313" s="8" t="str">
        <f>IFERROR(VLOOKUP(C313,产品数据!$B:$D,2,FALSE),"")</f>
        <v>1kg*6瓶/箱</v>
      </c>
      <c r="E313" s="8">
        <v>1</v>
      </c>
      <c r="F313" s="8" t="str">
        <f>IFERROR(VLOOKUP(C313,产品数据!$B:$D,3,FALSE),"")</f>
        <v>瓶</v>
      </c>
      <c r="G313" s="6" t="s">
        <v>125</v>
      </c>
    </row>
    <row r="314" spans="1:7">
      <c r="A314" s="6">
        <f t="shared" si="4"/>
        <v>313</v>
      </c>
      <c r="B314" s="5">
        <v>46058</v>
      </c>
      <c r="C314" s="7" t="s">
        <v>57</v>
      </c>
      <c r="D314" s="8" t="str">
        <f>IFERROR(VLOOKUP(C314,产品数据!$B:$D,2,FALSE),"")</f>
        <v>400g*25包/箱</v>
      </c>
      <c r="E314" s="8">
        <v>1</v>
      </c>
      <c r="F314" s="8" t="str">
        <f>IFERROR(VLOOKUP(C314,产品数据!$B:$D,3,FALSE),"")</f>
        <v>包</v>
      </c>
      <c r="G314" s="6" t="s">
        <v>125</v>
      </c>
    </row>
    <row r="315" spans="1:7">
      <c r="A315" s="6">
        <f t="shared" si="4"/>
        <v>314</v>
      </c>
      <c r="B315" s="5">
        <v>46058</v>
      </c>
      <c r="C315" s="7" t="s">
        <v>56</v>
      </c>
      <c r="D315" s="8" t="str">
        <f>IFERROR(VLOOKUP(C315,产品数据!$B:$D,2,FALSE),"")</f>
        <v>178g*50包/箱</v>
      </c>
      <c r="E315" s="8">
        <v>5</v>
      </c>
      <c r="F315" s="8" t="str">
        <f>IFERROR(VLOOKUP(C315,产品数据!$B:$D,3,FALSE),"")</f>
        <v>包</v>
      </c>
      <c r="G315" s="6" t="s">
        <v>128</v>
      </c>
    </row>
    <row r="316" spans="1:7">
      <c r="A316" s="6">
        <f t="shared" si="4"/>
        <v>315</v>
      </c>
      <c r="B316" s="5">
        <v>46058</v>
      </c>
      <c r="C316" s="7" t="s">
        <v>39</v>
      </c>
      <c r="D316" s="8" t="str">
        <f>IFERROR(VLOOKUP(C316,产品数据!$B:$D,2,FALSE),"")</f>
        <v>10千克/袋</v>
      </c>
      <c r="E316" s="8">
        <v>3</v>
      </c>
      <c r="F316" s="8" t="str">
        <f>IFERROR(VLOOKUP(C316,产品数据!$B:$D,3,FALSE),"")</f>
        <v>袋</v>
      </c>
      <c r="G316" s="6" t="s">
        <v>127</v>
      </c>
    </row>
    <row r="317" spans="1:7">
      <c r="A317" s="6">
        <f t="shared" si="4"/>
        <v>316</v>
      </c>
      <c r="B317" s="5">
        <v>46059</v>
      </c>
      <c r="C317" s="7" t="s">
        <v>41</v>
      </c>
      <c r="D317" s="8" t="str">
        <f>IFERROR(VLOOKUP(C317,产品数据!$B:$D,2,FALSE),"")</f>
        <v>5l/*4桶/箱</v>
      </c>
      <c r="E317" s="8">
        <v>3</v>
      </c>
      <c r="F317" s="8" t="str">
        <f>IFERROR(VLOOKUP(C317,产品数据!$B:$D,3,FALSE),"")</f>
        <v>桶</v>
      </c>
      <c r="G317" s="6" t="s">
        <v>125</v>
      </c>
    </row>
    <row r="318" spans="1:7">
      <c r="A318" s="6">
        <f t="shared" si="4"/>
        <v>317</v>
      </c>
      <c r="B318" s="5">
        <v>46059</v>
      </c>
      <c r="C318" s="7" t="s">
        <v>43</v>
      </c>
      <c r="D318" s="8" t="str">
        <f>IFERROR(VLOOKUP(C318,产品数据!$B:$D,2,FALSE),"")</f>
        <v>1.9升/瓶*6瓶/箱</v>
      </c>
      <c r="E318" s="8">
        <v>1</v>
      </c>
      <c r="F318" s="8" t="str">
        <f>IFERROR(VLOOKUP(C318,产品数据!$B:$D,3,FALSE),"")</f>
        <v>瓶</v>
      </c>
      <c r="G318" s="6" t="s">
        <v>125</v>
      </c>
    </row>
    <row r="319" spans="1:7">
      <c r="A319" s="6">
        <f t="shared" si="4"/>
        <v>318</v>
      </c>
      <c r="B319" s="5">
        <v>46059</v>
      </c>
      <c r="C319" s="7" t="s">
        <v>42</v>
      </c>
      <c r="D319" s="8" t="str">
        <f>IFERROR(VLOOKUP(C319,产品数据!$B:$D,2,FALSE),"")</f>
        <v>1.68L*6壶</v>
      </c>
      <c r="E319" s="8">
        <v>1</v>
      </c>
      <c r="F319" s="8" t="str">
        <f>IFERROR(VLOOKUP(C319,产品数据!$B:$D,3,FALSE),"")</f>
        <v>壶</v>
      </c>
      <c r="G319" s="6" t="s">
        <v>125</v>
      </c>
    </row>
    <row r="320" spans="1:7">
      <c r="A320" s="6">
        <f t="shared" si="4"/>
        <v>319</v>
      </c>
      <c r="B320" s="5">
        <v>46059</v>
      </c>
      <c r="C320" s="7" t="s">
        <v>57</v>
      </c>
      <c r="D320" s="8" t="str">
        <f>IFERROR(VLOOKUP(C320,产品数据!$B:$D,2,FALSE),"")</f>
        <v>400g*25包/箱</v>
      </c>
      <c r="E320" s="8">
        <v>2</v>
      </c>
      <c r="F320" s="8" t="str">
        <f>IFERROR(VLOOKUP(C320,产品数据!$B:$D,3,FALSE),"")</f>
        <v>包</v>
      </c>
      <c r="G320" s="6" t="s">
        <v>125</v>
      </c>
    </row>
    <row r="321" spans="1:7">
      <c r="A321" s="6">
        <f t="shared" si="4"/>
        <v>320</v>
      </c>
      <c r="B321" s="5">
        <v>46059</v>
      </c>
      <c r="C321" s="7" t="s">
        <v>54</v>
      </c>
      <c r="D321" s="8" t="str">
        <f>IFERROR(VLOOKUP(C321,产品数据!$B:$D,2,FALSE),"")</f>
        <v>1kg*6瓶/箱</v>
      </c>
      <c r="E321" s="8">
        <v>2</v>
      </c>
      <c r="F321" s="8" t="str">
        <f>IFERROR(VLOOKUP(C321,产品数据!$B:$D,3,FALSE),"")</f>
        <v>瓶</v>
      </c>
      <c r="G321" s="6" t="s">
        <v>125</v>
      </c>
    </row>
    <row r="322" spans="1:7">
      <c r="A322" s="6">
        <f t="shared" ref="A322:A385" si="5">ROW()-1</f>
        <v>321</v>
      </c>
      <c r="B322" s="5">
        <v>46059</v>
      </c>
      <c r="C322" s="7" t="s">
        <v>53</v>
      </c>
      <c r="D322" s="8" t="str">
        <f>IFERROR(VLOOKUP(C322,产品数据!$B:$D,2,FALSE),"")</f>
        <v>2.5L*6桶/箱</v>
      </c>
      <c r="E322" s="8">
        <v>1</v>
      </c>
      <c r="F322" s="8" t="str">
        <f>IFERROR(VLOOKUP(C322,产品数据!$B:$D,3,FALSE),"")</f>
        <v>桶</v>
      </c>
      <c r="G322" s="6" t="s">
        <v>125</v>
      </c>
    </row>
    <row r="323" spans="1:7">
      <c r="A323" s="6">
        <f t="shared" si="5"/>
        <v>322</v>
      </c>
      <c r="B323" s="5">
        <v>46059</v>
      </c>
      <c r="C323" s="7" t="s">
        <v>63</v>
      </c>
      <c r="D323" s="8" t="str">
        <f>IFERROR(VLOOKUP(C323,产品数据!$B:$D,2,FALSE),"")</f>
        <v>280g/包</v>
      </c>
      <c r="E323" s="8">
        <v>10</v>
      </c>
      <c r="F323" s="8" t="str">
        <f>IFERROR(VLOOKUP(C323,产品数据!$B:$D,3,FALSE),"")</f>
        <v>包</v>
      </c>
      <c r="G323" s="6" t="s">
        <v>125</v>
      </c>
    </row>
    <row r="324" spans="1:7">
      <c r="A324" s="6">
        <f t="shared" si="5"/>
        <v>323</v>
      </c>
      <c r="B324" s="5">
        <v>46059</v>
      </c>
      <c r="C324" s="7" t="s">
        <v>61</v>
      </c>
      <c r="D324" s="8" t="str">
        <f>IFERROR(VLOOKUP(C324,产品数据!$B:$D,2,FALSE),"")</f>
        <v>2.5kg/包</v>
      </c>
      <c r="E324" s="8">
        <v>1</v>
      </c>
      <c r="F324" s="8" t="str">
        <f>IFERROR(VLOOKUP(C324,产品数据!$B:$D,3,FALSE),"")</f>
        <v>包</v>
      </c>
      <c r="G324" s="6" t="s">
        <v>125</v>
      </c>
    </row>
    <row r="325" spans="1:7">
      <c r="A325" s="6">
        <f t="shared" si="5"/>
        <v>324</v>
      </c>
      <c r="B325" s="5">
        <v>46059</v>
      </c>
      <c r="C325" s="7" t="s">
        <v>39</v>
      </c>
      <c r="D325" s="8" t="str">
        <f>IFERROR(VLOOKUP(C325,产品数据!$B:$D,2,FALSE),"")</f>
        <v>10千克/袋</v>
      </c>
      <c r="E325" s="8">
        <v>3</v>
      </c>
      <c r="F325" s="8" t="str">
        <f>IFERROR(VLOOKUP(C325,产品数据!$B:$D,3,FALSE),"")</f>
        <v>袋</v>
      </c>
      <c r="G325" s="6" t="s">
        <v>127</v>
      </c>
    </row>
    <row r="326" spans="1:7">
      <c r="A326" s="6">
        <f t="shared" si="5"/>
        <v>325</v>
      </c>
      <c r="B326" s="5">
        <v>46059</v>
      </c>
      <c r="C326" s="7" t="s">
        <v>56</v>
      </c>
      <c r="D326" s="8" t="str">
        <f>IFERROR(VLOOKUP(C326,产品数据!$B:$D,2,FALSE),"")</f>
        <v>178g*50包/箱</v>
      </c>
      <c r="E326" s="8">
        <v>5</v>
      </c>
      <c r="F326" s="8" t="str">
        <f>IFERROR(VLOOKUP(C326,产品数据!$B:$D,3,FALSE),"")</f>
        <v>包</v>
      </c>
      <c r="G326" s="6" t="s">
        <v>127</v>
      </c>
    </row>
    <row r="327" spans="1:7">
      <c r="A327" s="6">
        <f t="shared" si="5"/>
        <v>326</v>
      </c>
      <c r="B327" s="5">
        <v>46062</v>
      </c>
      <c r="C327" s="7" t="s">
        <v>41</v>
      </c>
      <c r="D327" s="8" t="str">
        <f>IFERROR(VLOOKUP(C327,产品数据!$B:$D,2,FALSE),"")</f>
        <v>5l/*4桶/箱</v>
      </c>
      <c r="E327" s="8">
        <v>6</v>
      </c>
      <c r="F327" s="8" t="str">
        <f>IFERROR(VLOOKUP(C327,产品数据!$B:$D,3,FALSE),"")</f>
        <v>桶</v>
      </c>
      <c r="G327" s="6" t="s">
        <v>125</v>
      </c>
    </row>
    <row r="328" spans="1:7">
      <c r="A328" s="6">
        <f t="shared" si="5"/>
        <v>327</v>
      </c>
      <c r="B328" s="5">
        <v>46062</v>
      </c>
      <c r="C328" s="7" t="s">
        <v>53</v>
      </c>
      <c r="D328" s="8" t="str">
        <f>IFERROR(VLOOKUP(C328,产品数据!$B:$D,2,FALSE),"")</f>
        <v>2.5L*6桶/箱</v>
      </c>
      <c r="E328" s="8">
        <v>1</v>
      </c>
      <c r="F328" s="8" t="str">
        <f>IFERROR(VLOOKUP(C328,产品数据!$B:$D,3,FALSE),"")</f>
        <v>桶</v>
      </c>
      <c r="G328" s="6" t="s">
        <v>125</v>
      </c>
    </row>
    <row r="329" spans="1:7">
      <c r="A329" s="6">
        <f t="shared" si="5"/>
        <v>328</v>
      </c>
      <c r="B329" s="5">
        <v>46062</v>
      </c>
      <c r="C329" s="7" t="s">
        <v>45</v>
      </c>
      <c r="D329" s="8" t="str">
        <f>IFERROR(VLOOKUP(C329,产品数据!$B:$D,2,FALSE),"")</f>
        <v>1.9kg/瓶</v>
      </c>
      <c r="E329" s="8">
        <v>1</v>
      </c>
      <c r="F329" s="8" t="str">
        <f>IFERROR(VLOOKUP(C329,产品数据!$B:$D,3,FALSE),"")</f>
        <v>瓶</v>
      </c>
      <c r="G329" s="6" t="s">
        <v>125</v>
      </c>
    </row>
    <row r="330" spans="1:7">
      <c r="A330" s="6">
        <f t="shared" si="5"/>
        <v>329</v>
      </c>
      <c r="B330" s="5">
        <v>46062</v>
      </c>
      <c r="C330" s="7" t="s">
        <v>54</v>
      </c>
      <c r="D330" s="8" t="str">
        <f>IFERROR(VLOOKUP(C330,产品数据!$B:$D,2,FALSE),"")</f>
        <v>1kg*6瓶/箱</v>
      </c>
      <c r="E330" s="8">
        <v>2</v>
      </c>
      <c r="F330" s="8" t="str">
        <f>IFERROR(VLOOKUP(C330,产品数据!$B:$D,3,FALSE),"")</f>
        <v>瓶</v>
      </c>
      <c r="G330" s="6" t="s">
        <v>125</v>
      </c>
    </row>
    <row r="331" spans="1:7">
      <c r="A331" s="6">
        <f t="shared" si="5"/>
        <v>330</v>
      </c>
      <c r="B331" s="5">
        <v>46062</v>
      </c>
      <c r="C331" s="7" t="s">
        <v>52</v>
      </c>
      <c r="D331" s="8" t="str">
        <f>IFERROR(VLOOKUP(C331,产品数据!$B:$D,2,FALSE),"")</f>
        <v>705ml/瓶</v>
      </c>
      <c r="E331" s="8">
        <v>3</v>
      </c>
      <c r="F331" s="8" t="str">
        <f>IFERROR(VLOOKUP(C331,产品数据!$B:$D,3,FALSE),"")</f>
        <v>瓶</v>
      </c>
      <c r="G331" s="6" t="s">
        <v>125</v>
      </c>
    </row>
    <row r="332" spans="1:7">
      <c r="A332" s="6">
        <f t="shared" si="5"/>
        <v>331</v>
      </c>
      <c r="B332" s="5">
        <v>46062</v>
      </c>
      <c r="C332" s="7" t="s">
        <v>57</v>
      </c>
      <c r="D332" s="8" t="str">
        <f>IFERROR(VLOOKUP(C332,产品数据!$B:$D,2,FALSE),"")</f>
        <v>400g*25包/箱</v>
      </c>
      <c r="E332" s="8">
        <v>2</v>
      </c>
      <c r="F332" s="8" t="str">
        <f>IFERROR(VLOOKUP(C332,产品数据!$B:$D,3,FALSE),"")</f>
        <v>包</v>
      </c>
      <c r="G332" s="6" t="s">
        <v>125</v>
      </c>
    </row>
    <row r="333" spans="1:7">
      <c r="A333" s="6">
        <f t="shared" si="5"/>
        <v>332</v>
      </c>
      <c r="B333" s="5">
        <v>46062</v>
      </c>
      <c r="C333" s="7" t="s">
        <v>48</v>
      </c>
      <c r="D333" s="8" t="str">
        <f>IFERROR(VLOOKUP(C333,产品数据!$B:$D,2,FALSE),"")</f>
        <v>500克/瓶*24瓶/箱</v>
      </c>
      <c r="E333" s="8">
        <v>6</v>
      </c>
      <c r="F333" s="8" t="str">
        <f>IFERROR(VLOOKUP(C333,产品数据!$B:$D,3,FALSE),"")</f>
        <v>瓶</v>
      </c>
      <c r="G333" s="6" t="s">
        <v>125</v>
      </c>
    </row>
    <row r="334" spans="1:7">
      <c r="A334" s="6">
        <f t="shared" si="5"/>
        <v>333</v>
      </c>
      <c r="B334" s="5">
        <v>46062</v>
      </c>
      <c r="C334" s="7" t="s">
        <v>50</v>
      </c>
      <c r="D334" s="8" t="str">
        <f>IFERROR(VLOOKUP(C334,产品数据!$B:$D,2,FALSE),"")</f>
        <v>2kg/包*6包/箱</v>
      </c>
      <c r="E334" s="8">
        <v>3</v>
      </c>
      <c r="F334" s="8" t="str">
        <f>IFERROR(VLOOKUP(C334,产品数据!$B:$D,3,FALSE),"")</f>
        <v>包</v>
      </c>
      <c r="G334" s="6" t="s">
        <v>125</v>
      </c>
    </row>
    <row r="335" spans="1:7">
      <c r="A335" s="6">
        <f t="shared" si="5"/>
        <v>334</v>
      </c>
      <c r="B335" s="5">
        <v>46062</v>
      </c>
      <c r="C335" s="7" t="s">
        <v>41</v>
      </c>
      <c r="D335" s="8" t="str">
        <f>IFERROR(VLOOKUP(C335,产品数据!$B:$D,2,FALSE),"")</f>
        <v>5l/*4桶/箱</v>
      </c>
      <c r="E335" s="8">
        <v>1</v>
      </c>
      <c r="F335" s="8" t="str">
        <f>IFERROR(VLOOKUP(C335,产品数据!$B:$D,3,FALSE),"")</f>
        <v>桶</v>
      </c>
      <c r="G335" s="6" t="s">
        <v>126</v>
      </c>
    </row>
    <row r="336" spans="1:7">
      <c r="A336" s="6">
        <f t="shared" si="5"/>
        <v>335</v>
      </c>
      <c r="B336" s="5">
        <v>46062</v>
      </c>
      <c r="C336" s="7" t="s">
        <v>57</v>
      </c>
      <c r="D336" s="8" t="str">
        <f>IFERROR(VLOOKUP(C336,产品数据!$B:$D,2,FALSE),"")</f>
        <v>400g*25包/箱</v>
      </c>
      <c r="E336" s="8">
        <v>1</v>
      </c>
      <c r="F336" s="8" t="str">
        <f>IFERROR(VLOOKUP(C336,产品数据!$B:$D,3,FALSE),"")</f>
        <v>包</v>
      </c>
      <c r="G336" s="6" t="s">
        <v>126</v>
      </c>
    </row>
    <row r="337" spans="1:7">
      <c r="A337" s="6">
        <f t="shared" si="5"/>
        <v>336</v>
      </c>
      <c r="B337" s="5">
        <v>46062</v>
      </c>
      <c r="C337" s="7" t="s">
        <v>48</v>
      </c>
      <c r="D337" s="8" t="str">
        <f>IFERROR(VLOOKUP(C337,产品数据!$B:$D,2,FALSE),"")</f>
        <v>500克/瓶*24瓶/箱</v>
      </c>
      <c r="E337" s="8">
        <v>1</v>
      </c>
      <c r="F337" s="8" t="str">
        <f>IFERROR(VLOOKUP(C337,产品数据!$B:$D,3,FALSE),"")</f>
        <v>瓶</v>
      </c>
      <c r="G337" s="6" t="s">
        <v>126</v>
      </c>
    </row>
    <row r="338" spans="1:7">
      <c r="A338" s="6">
        <f t="shared" si="5"/>
        <v>337</v>
      </c>
      <c r="B338" s="5">
        <v>46062</v>
      </c>
      <c r="C338" s="7" t="s">
        <v>55</v>
      </c>
      <c r="D338" s="8" t="str">
        <f>IFERROR(VLOOKUP(C338,产品数据!$B:$D,2,FALSE),"")</f>
        <v>1升*12瓶/箱</v>
      </c>
      <c r="E338" s="8">
        <v>1</v>
      </c>
      <c r="F338" s="8" t="str">
        <f>IFERROR(VLOOKUP(C338,产品数据!$B:$D,3,FALSE),"")</f>
        <v>瓶</v>
      </c>
      <c r="G338" s="6" t="s">
        <v>128</v>
      </c>
    </row>
    <row r="339" spans="1:7">
      <c r="A339" s="6">
        <f t="shared" si="5"/>
        <v>338</v>
      </c>
      <c r="B339" s="5">
        <v>46062</v>
      </c>
      <c r="C339" s="7" t="s">
        <v>54</v>
      </c>
      <c r="D339" s="8" t="str">
        <f>IFERROR(VLOOKUP(C339,产品数据!$B:$D,2,FALSE),"")</f>
        <v>1kg*6瓶/箱</v>
      </c>
      <c r="E339" s="8">
        <v>1</v>
      </c>
      <c r="F339" s="8" t="str">
        <f>IFERROR(VLOOKUP(C339,产品数据!$B:$D,3,FALSE),"")</f>
        <v>瓶</v>
      </c>
      <c r="G339" s="6" t="s">
        <v>128</v>
      </c>
    </row>
    <row r="340" spans="1:7">
      <c r="A340" s="6">
        <f t="shared" si="5"/>
        <v>339</v>
      </c>
      <c r="B340" s="5">
        <v>46062</v>
      </c>
      <c r="C340" s="7" t="s">
        <v>40</v>
      </c>
      <c r="D340" s="8" t="str">
        <f>IFERROR(VLOOKUP(C340,产品数据!$B:$D,2,FALSE),"")</f>
        <v>10kg/包</v>
      </c>
      <c r="E340" s="8">
        <v>6</v>
      </c>
      <c r="F340" s="8" t="str">
        <f>IFERROR(VLOOKUP(C340,产品数据!$B:$D,3,FALSE),"")</f>
        <v>包</v>
      </c>
      <c r="G340" s="6" t="s">
        <v>128</v>
      </c>
    </row>
    <row r="341" spans="1:7">
      <c r="A341" s="6">
        <f t="shared" si="5"/>
        <v>340</v>
      </c>
      <c r="B341" s="5">
        <v>46062</v>
      </c>
      <c r="C341" s="7" t="s">
        <v>39</v>
      </c>
      <c r="D341" s="8" t="str">
        <f>IFERROR(VLOOKUP(C341,产品数据!$B:$D,2,FALSE),"")</f>
        <v>10千克/袋</v>
      </c>
      <c r="E341" s="8">
        <v>3</v>
      </c>
      <c r="F341" s="8" t="str">
        <f>IFERROR(VLOOKUP(C341,产品数据!$B:$D,3,FALSE),"")</f>
        <v>袋</v>
      </c>
      <c r="G341" s="6" t="s">
        <v>127</v>
      </c>
    </row>
    <row r="342" spans="1:7">
      <c r="A342" s="6">
        <f t="shared" si="5"/>
        <v>341</v>
      </c>
      <c r="B342" s="5">
        <v>46063</v>
      </c>
      <c r="C342" s="7" t="s">
        <v>41</v>
      </c>
      <c r="D342" s="8" t="str">
        <f>IFERROR(VLOOKUP(C342,产品数据!$B:$D,2,FALSE),"")</f>
        <v>5l/*4桶/箱</v>
      </c>
      <c r="E342" s="8">
        <v>4</v>
      </c>
      <c r="F342" s="8" t="str">
        <f>IFERROR(VLOOKUP(C342,产品数据!$B:$D,3,FALSE),"")</f>
        <v>桶</v>
      </c>
      <c r="G342" s="6" t="s">
        <v>125</v>
      </c>
    </row>
    <row r="343" spans="1:7">
      <c r="A343" s="6">
        <f t="shared" si="5"/>
        <v>342</v>
      </c>
      <c r="B343" s="5">
        <v>46063</v>
      </c>
      <c r="C343" s="7" t="s">
        <v>44</v>
      </c>
      <c r="D343" s="8" t="str">
        <f>IFERROR(VLOOKUP(C343,产品数据!$B:$D,2,FALSE),"")</f>
        <v>1.9升/瓶*6瓶/箱</v>
      </c>
      <c r="E343" s="8">
        <v>1</v>
      </c>
      <c r="F343" s="8" t="str">
        <f>IFERROR(VLOOKUP(C343,产品数据!$B:$D,3,FALSE),"")</f>
        <v>瓶</v>
      </c>
      <c r="G343" s="6" t="s">
        <v>125</v>
      </c>
    </row>
    <row r="344" spans="1:7">
      <c r="A344" s="6">
        <f t="shared" si="5"/>
        <v>343</v>
      </c>
      <c r="B344" s="5">
        <v>46063</v>
      </c>
      <c r="C344" s="7" t="s">
        <v>43</v>
      </c>
      <c r="D344" s="8" t="str">
        <f>IFERROR(VLOOKUP(C344,产品数据!$B:$D,2,FALSE),"")</f>
        <v>1.9升/瓶*6瓶/箱</v>
      </c>
      <c r="E344" s="8">
        <v>1</v>
      </c>
      <c r="F344" s="8" t="str">
        <f>IFERROR(VLOOKUP(C344,产品数据!$B:$D,3,FALSE),"")</f>
        <v>瓶</v>
      </c>
      <c r="G344" s="6" t="s">
        <v>125</v>
      </c>
    </row>
    <row r="345" spans="1:7">
      <c r="A345" s="6">
        <f t="shared" si="5"/>
        <v>344</v>
      </c>
      <c r="B345" s="5">
        <v>46063</v>
      </c>
      <c r="C345" s="7" t="s">
        <v>61</v>
      </c>
      <c r="D345" s="8" t="str">
        <f>IFERROR(VLOOKUP(C345,产品数据!$B:$D,2,FALSE),"")</f>
        <v>2.5kg/包</v>
      </c>
      <c r="E345" s="8">
        <v>1</v>
      </c>
      <c r="F345" s="8" t="str">
        <f>IFERROR(VLOOKUP(C345,产品数据!$B:$D,3,FALSE),"")</f>
        <v>包</v>
      </c>
      <c r="G345" s="6" t="s">
        <v>125</v>
      </c>
    </row>
    <row r="346" spans="1:7">
      <c r="A346" s="6">
        <f t="shared" si="5"/>
        <v>345</v>
      </c>
      <c r="B346" s="5">
        <v>46063</v>
      </c>
      <c r="C346" s="7" t="s">
        <v>57</v>
      </c>
      <c r="D346" s="8" t="str">
        <f>IFERROR(VLOOKUP(C346,产品数据!$B:$D,2,FALSE),"")</f>
        <v>400g*25包/箱</v>
      </c>
      <c r="E346" s="8">
        <v>2</v>
      </c>
      <c r="F346" s="8" t="str">
        <f>IFERROR(VLOOKUP(C346,产品数据!$B:$D,3,FALSE),"")</f>
        <v>包</v>
      </c>
      <c r="G346" s="6" t="s">
        <v>125</v>
      </c>
    </row>
    <row r="347" spans="1:7">
      <c r="A347" s="6">
        <f t="shared" si="5"/>
        <v>346</v>
      </c>
      <c r="B347" s="5">
        <v>46063</v>
      </c>
      <c r="C347" s="7" t="s">
        <v>63</v>
      </c>
      <c r="D347" s="8" t="str">
        <f>IFERROR(VLOOKUP(C347,产品数据!$B:$D,2,FALSE),"")</f>
        <v>280g/包</v>
      </c>
      <c r="E347" s="8">
        <v>10</v>
      </c>
      <c r="F347" s="8" t="str">
        <f>IFERROR(VLOOKUP(C347,产品数据!$B:$D,3,FALSE),"")</f>
        <v>包</v>
      </c>
      <c r="G347" s="6" t="s">
        <v>125</v>
      </c>
    </row>
    <row r="348" spans="1:7">
      <c r="A348" s="6">
        <f t="shared" si="5"/>
        <v>347</v>
      </c>
      <c r="B348" s="5">
        <v>46063</v>
      </c>
      <c r="C348" s="7" t="s">
        <v>53</v>
      </c>
      <c r="D348" s="8" t="str">
        <f>IFERROR(VLOOKUP(C348,产品数据!$B:$D,2,FALSE),"")</f>
        <v>2.5L*6桶/箱</v>
      </c>
      <c r="E348" s="8">
        <v>1</v>
      </c>
      <c r="F348" s="8" t="str">
        <f>IFERROR(VLOOKUP(C348,产品数据!$B:$D,3,FALSE),"")</f>
        <v>桶</v>
      </c>
      <c r="G348" s="6" t="s">
        <v>125</v>
      </c>
    </row>
    <row r="349" spans="1:7">
      <c r="A349" s="6">
        <f t="shared" si="5"/>
        <v>348</v>
      </c>
      <c r="B349" s="5">
        <v>46063</v>
      </c>
      <c r="C349" s="7" t="s">
        <v>54</v>
      </c>
      <c r="D349" s="8" t="str">
        <f>IFERROR(VLOOKUP(C349,产品数据!$B:$D,2,FALSE),"")</f>
        <v>1kg*6瓶/箱</v>
      </c>
      <c r="E349" s="8">
        <v>1</v>
      </c>
      <c r="F349" s="8" t="str">
        <f>IFERROR(VLOOKUP(C349,产品数据!$B:$D,3,FALSE),"")</f>
        <v>瓶</v>
      </c>
      <c r="G349" s="6" t="s">
        <v>125</v>
      </c>
    </row>
    <row r="350" spans="1:7">
      <c r="A350" s="6">
        <f t="shared" si="5"/>
        <v>349</v>
      </c>
      <c r="B350" s="5">
        <v>46063</v>
      </c>
      <c r="C350" s="7" t="s">
        <v>42</v>
      </c>
      <c r="D350" s="8" t="str">
        <f>IFERROR(VLOOKUP(C350,产品数据!$B:$D,2,FALSE),"")</f>
        <v>1.68L*6壶</v>
      </c>
      <c r="E350" s="8">
        <v>1</v>
      </c>
      <c r="F350" s="8" t="str">
        <f>IFERROR(VLOOKUP(C350,产品数据!$B:$D,3,FALSE),"")</f>
        <v>壶</v>
      </c>
      <c r="G350" s="6" t="s">
        <v>125</v>
      </c>
    </row>
    <row r="351" spans="1:7">
      <c r="A351" s="6">
        <f t="shared" si="5"/>
        <v>350</v>
      </c>
      <c r="B351" s="5">
        <v>46063</v>
      </c>
      <c r="C351" s="7" t="s">
        <v>56</v>
      </c>
      <c r="D351" s="8" t="str">
        <f>IFERROR(VLOOKUP(C351,产品数据!$B:$D,2,FALSE),"")</f>
        <v>178g*50包/箱</v>
      </c>
      <c r="E351" s="8">
        <v>3</v>
      </c>
      <c r="F351" s="8" t="str">
        <f>IFERROR(VLOOKUP(C351,产品数据!$B:$D,3,FALSE),"")</f>
        <v>包</v>
      </c>
      <c r="G351" s="6" t="s">
        <v>125</v>
      </c>
    </row>
    <row r="352" spans="1:7">
      <c r="A352" s="6">
        <f t="shared" si="5"/>
        <v>351</v>
      </c>
      <c r="B352" s="5">
        <v>46063</v>
      </c>
      <c r="C352" s="7" t="s">
        <v>39</v>
      </c>
      <c r="D352" s="8" t="str">
        <f>IFERROR(VLOOKUP(C352,产品数据!$B:$D,2,FALSE),"")</f>
        <v>10千克/袋</v>
      </c>
      <c r="E352" s="8">
        <v>2</v>
      </c>
      <c r="F352" s="8" t="str">
        <f>IFERROR(VLOOKUP(C352,产品数据!$B:$D,3,FALSE),"")</f>
        <v>袋</v>
      </c>
      <c r="G352" s="6" t="s">
        <v>127</v>
      </c>
    </row>
    <row r="353" spans="1:7">
      <c r="A353" s="6">
        <f t="shared" si="5"/>
        <v>352</v>
      </c>
      <c r="B353" s="5">
        <v>46063</v>
      </c>
      <c r="C353" s="7" t="s">
        <v>56</v>
      </c>
      <c r="D353" s="8" t="str">
        <f>IFERROR(VLOOKUP(C353,产品数据!$B:$D,2,FALSE),"")</f>
        <v>178g*50包/箱</v>
      </c>
      <c r="E353" s="8">
        <v>5</v>
      </c>
      <c r="F353" s="8" t="str">
        <f>IFERROR(VLOOKUP(C353,产品数据!$B:$D,3,FALSE),"")</f>
        <v>包</v>
      </c>
      <c r="G353" s="6" t="s">
        <v>127</v>
      </c>
    </row>
    <row r="354" spans="1:7">
      <c r="A354" s="6">
        <f t="shared" si="5"/>
        <v>353</v>
      </c>
      <c r="B354" s="5">
        <v>46063</v>
      </c>
      <c r="C354" s="7" t="s">
        <v>40</v>
      </c>
      <c r="D354" s="8" t="str">
        <f>IFERROR(VLOOKUP(C354,产品数据!$B:$D,2,FALSE),"")</f>
        <v>10kg/包</v>
      </c>
      <c r="E354" s="8">
        <v>6</v>
      </c>
      <c r="F354" s="8" t="str">
        <f>IFERROR(VLOOKUP(C354,产品数据!$B:$D,3,FALSE),"")</f>
        <v>包</v>
      </c>
      <c r="G354" s="6" t="s">
        <v>128</v>
      </c>
    </row>
    <row r="355" spans="1:7">
      <c r="A355" s="6">
        <f t="shared" si="5"/>
        <v>354</v>
      </c>
      <c r="B355" s="5">
        <v>46064</v>
      </c>
      <c r="C355" s="7" t="s">
        <v>41</v>
      </c>
      <c r="D355" s="8" t="str">
        <f>IFERROR(VLOOKUP(C355,产品数据!$B:$D,2,FALSE),"")</f>
        <v>5l/*4桶/箱</v>
      </c>
      <c r="E355" s="8">
        <v>6</v>
      </c>
      <c r="F355" s="8" t="str">
        <f>IFERROR(VLOOKUP(C355,产品数据!$B:$D,3,FALSE),"")</f>
        <v>桶</v>
      </c>
      <c r="G355" s="6" t="s">
        <v>125</v>
      </c>
    </row>
    <row r="356" spans="1:7">
      <c r="A356" s="6">
        <f t="shared" si="5"/>
        <v>355</v>
      </c>
      <c r="B356" s="5">
        <v>46064</v>
      </c>
      <c r="C356" s="7" t="s">
        <v>44</v>
      </c>
      <c r="D356" s="8" t="str">
        <f>IFERROR(VLOOKUP(C356,产品数据!$B:$D,2,FALSE),"")</f>
        <v>1.9升/瓶*6瓶/箱</v>
      </c>
      <c r="E356" s="8">
        <v>1</v>
      </c>
      <c r="F356" s="8" t="str">
        <f>IFERROR(VLOOKUP(C356,产品数据!$B:$D,3,FALSE),"")</f>
        <v>瓶</v>
      </c>
      <c r="G356" s="6" t="s">
        <v>125</v>
      </c>
    </row>
    <row r="357" spans="1:7">
      <c r="A357" s="6">
        <f t="shared" si="5"/>
        <v>356</v>
      </c>
      <c r="B357" s="5">
        <v>46064</v>
      </c>
      <c r="C357" s="7" t="s">
        <v>42</v>
      </c>
      <c r="D357" s="8" t="str">
        <f>IFERROR(VLOOKUP(C357,产品数据!$B:$D,2,FALSE),"")</f>
        <v>1.68L*6壶</v>
      </c>
      <c r="E357" s="8">
        <v>1</v>
      </c>
      <c r="F357" s="8" t="str">
        <f>IFERROR(VLOOKUP(C357,产品数据!$B:$D,3,FALSE),"")</f>
        <v>壶</v>
      </c>
      <c r="G357" s="6" t="s">
        <v>125</v>
      </c>
    </row>
    <row r="358" spans="1:7">
      <c r="A358" s="6">
        <f t="shared" si="5"/>
        <v>357</v>
      </c>
      <c r="B358" s="5">
        <v>46064</v>
      </c>
      <c r="C358" s="7" t="s">
        <v>54</v>
      </c>
      <c r="D358" s="8" t="str">
        <f>IFERROR(VLOOKUP(C358,产品数据!$B:$D,2,FALSE),"")</f>
        <v>1kg*6瓶/箱</v>
      </c>
      <c r="E358" s="8">
        <v>3</v>
      </c>
      <c r="F358" s="8" t="str">
        <f>IFERROR(VLOOKUP(C358,产品数据!$B:$D,3,FALSE),"")</f>
        <v>瓶</v>
      </c>
      <c r="G358" s="6" t="s">
        <v>125</v>
      </c>
    </row>
    <row r="359" spans="1:7">
      <c r="A359" s="6">
        <f t="shared" si="5"/>
        <v>358</v>
      </c>
      <c r="B359" s="5">
        <v>46064</v>
      </c>
      <c r="C359" s="7" t="s">
        <v>52</v>
      </c>
      <c r="D359" s="8" t="str">
        <f>IFERROR(VLOOKUP(C359,产品数据!$B:$D,2,FALSE),"")</f>
        <v>705ml/瓶</v>
      </c>
      <c r="E359" s="8">
        <v>4</v>
      </c>
      <c r="F359" s="8" t="str">
        <f>IFERROR(VLOOKUP(C359,产品数据!$B:$D,3,FALSE),"")</f>
        <v>瓶</v>
      </c>
      <c r="G359" s="6" t="s">
        <v>125</v>
      </c>
    </row>
    <row r="360" spans="1:7">
      <c r="A360" s="6">
        <f t="shared" si="5"/>
        <v>359</v>
      </c>
      <c r="B360" s="5">
        <v>46064</v>
      </c>
      <c r="C360" s="7" t="s">
        <v>58</v>
      </c>
      <c r="D360" s="8" t="str">
        <f>IFERROR(VLOOKUP(C360,产品数据!$B:$D,2,FALSE),"")</f>
        <v>200克/包</v>
      </c>
      <c r="E360" s="8">
        <v>3</v>
      </c>
      <c r="F360" s="8" t="str">
        <f>IFERROR(VLOOKUP(C360,产品数据!$B:$D,3,FALSE),"")</f>
        <v>包</v>
      </c>
      <c r="G360" s="6" t="s">
        <v>125</v>
      </c>
    </row>
    <row r="361" spans="1:7">
      <c r="A361" s="6">
        <f t="shared" si="5"/>
        <v>360</v>
      </c>
      <c r="B361" s="5">
        <v>46064</v>
      </c>
      <c r="C361" s="7" t="s">
        <v>53</v>
      </c>
      <c r="D361" s="8" t="str">
        <f>IFERROR(VLOOKUP(C361,产品数据!$B:$D,2,FALSE),"")</f>
        <v>2.5L*6桶/箱</v>
      </c>
      <c r="E361" s="8">
        <v>2</v>
      </c>
      <c r="F361" s="8" t="str">
        <f>IFERROR(VLOOKUP(C361,产品数据!$B:$D,3,FALSE),"")</f>
        <v>桶</v>
      </c>
      <c r="G361" s="6" t="s">
        <v>125</v>
      </c>
    </row>
    <row r="362" spans="1:7">
      <c r="A362" s="6">
        <f t="shared" si="5"/>
        <v>361</v>
      </c>
      <c r="B362" s="5">
        <v>46064</v>
      </c>
      <c r="C362" s="7" t="s">
        <v>57</v>
      </c>
      <c r="D362" s="8" t="str">
        <f>IFERROR(VLOOKUP(C362,产品数据!$B:$D,2,FALSE),"")</f>
        <v>400g*25包/箱</v>
      </c>
      <c r="E362" s="8">
        <v>2</v>
      </c>
      <c r="F362" s="8" t="str">
        <f>IFERROR(VLOOKUP(C362,产品数据!$B:$D,3,FALSE),"")</f>
        <v>包</v>
      </c>
      <c r="G362" s="6" t="s">
        <v>125</v>
      </c>
    </row>
    <row r="363" spans="1:7">
      <c r="A363" s="6">
        <f t="shared" si="5"/>
        <v>362</v>
      </c>
      <c r="B363" s="5">
        <v>46064</v>
      </c>
      <c r="C363" s="7" t="s">
        <v>61</v>
      </c>
      <c r="D363" s="8" t="str">
        <f>IFERROR(VLOOKUP(C363,产品数据!$B:$D,2,FALSE),"")</f>
        <v>2.5kg/包</v>
      </c>
      <c r="E363" s="8">
        <v>1</v>
      </c>
      <c r="F363" s="8" t="str">
        <f>IFERROR(VLOOKUP(C363,产品数据!$B:$D,3,FALSE),"")</f>
        <v>包</v>
      </c>
      <c r="G363" s="6" t="s">
        <v>125</v>
      </c>
    </row>
    <row r="364" spans="1:7">
      <c r="A364" s="6">
        <f t="shared" si="5"/>
        <v>363</v>
      </c>
      <c r="B364" s="5">
        <v>46064</v>
      </c>
      <c r="C364" s="7" t="s">
        <v>63</v>
      </c>
      <c r="D364" s="8" t="str">
        <f>IFERROR(VLOOKUP(C364,产品数据!$B:$D,2,FALSE),"")</f>
        <v>280g/包</v>
      </c>
      <c r="E364" s="8">
        <v>6</v>
      </c>
      <c r="F364" s="8" t="str">
        <f>IFERROR(VLOOKUP(C364,产品数据!$B:$D,3,FALSE),"")</f>
        <v>包</v>
      </c>
      <c r="G364" s="6" t="s">
        <v>125</v>
      </c>
    </row>
    <row r="365" spans="1:7">
      <c r="A365" s="6">
        <f t="shared" si="5"/>
        <v>364</v>
      </c>
      <c r="B365" s="5">
        <v>46064</v>
      </c>
      <c r="C365" s="7" t="s">
        <v>39</v>
      </c>
      <c r="D365" s="8" t="str">
        <f>IFERROR(VLOOKUP(C365,产品数据!$B:$D,2,FALSE),"")</f>
        <v>10千克/袋</v>
      </c>
      <c r="E365" s="8">
        <v>2</v>
      </c>
      <c r="F365" s="8" t="str">
        <f>IFERROR(VLOOKUP(C365,产品数据!$B:$D,3,FALSE),"")</f>
        <v>袋</v>
      </c>
      <c r="G365" s="6" t="s">
        <v>127</v>
      </c>
    </row>
    <row r="366" spans="1:7">
      <c r="A366" s="6">
        <f t="shared" si="5"/>
        <v>365</v>
      </c>
      <c r="B366" s="5">
        <v>46065</v>
      </c>
      <c r="C366" s="7" t="s">
        <v>41</v>
      </c>
      <c r="D366" s="8" t="str">
        <f>IFERROR(VLOOKUP(C366,产品数据!$B:$D,2,FALSE),"")</f>
        <v>5l/*4桶/箱</v>
      </c>
      <c r="E366" s="8">
        <v>1</v>
      </c>
      <c r="F366" s="8" t="str">
        <f>IFERROR(VLOOKUP(C366,产品数据!$B:$D,3,FALSE),"")</f>
        <v>桶</v>
      </c>
      <c r="G366" s="6" t="s">
        <v>125</v>
      </c>
    </row>
    <row r="367" spans="1:7">
      <c r="A367" s="6">
        <f t="shared" si="5"/>
        <v>366</v>
      </c>
      <c r="B367" s="5">
        <v>46065</v>
      </c>
      <c r="C367" s="7" t="s">
        <v>57</v>
      </c>
      <c r="D367" s="8" t="str">
        <f>IFERROR(VLOOKUP(C367,产品数据!$B:$D,2,FALSE),"")</f>
        <v>400g*25包/箱</v>
      </c>
      <c r="E367" s="8">
        <v>2</v>
      </c>
      <c r="F367" s="8" t="str">
        <f>IFERROR(VLOOKUP(C367,产品数据!$B:$D,3,FALSE),"")</f>
        <v>包</v>
      </c>
      <c r="G367" s="6" t="s">
        <v>125</v>
      </c>
    </row>
    <row r="368" spans="1:7">
      <c r="A368" s="6">
        <f t="shared" si="5"/>
        <v>367</v>
      </c>
      <c r="B368" s="5">
        <v>46065</v>
      </c>
      <c r="C368" s="7" t="s">
        <v>63</v>
      </c>
      <c r="D368" s="8" t="str">
        <f>IFERROR(VLOOKUP(C368,产品数据!$B:$D,2,FALSE),"")</f>
        <v>280g/包</v>
      </c>
      <c r="E368" s="8">
        <v>5</v>
      </c>
      <c r="F368" s="8" t="str">
        <f>IFERROR(VLOOKUP(C368,产品数据!$B:$D,3,FALSE),"")</f>
        <v>包</v>
      </c>
      <c r="G368" s="6" t="s">
        <v>125</v>
      </c>
    </row>
    <row r="369" spans="1:7">
      <c r="A369" s="6">
        <f t="shared" si="5"/>
        <v>368</v>
      </c>
      <c r="B369" s="5">
        <v>46065</v>
      </c>
      <c r="C369" s="7" t="s">
        <v>56</v>
      </c>
      <c r="D369" s="8" t="str">
        <f>IFERROR(VLOOKUP(C369,产品数据!$B:$D,2,FALSE),"")</f>
        <v>178g*50包/箱</v>
      </c>
      <c r="E369" s="8">
        <v>2</v>
      </c>
      <c r="F369" s="8" t="str">
        <f>IFERROR(VLOOKUP(C369,产品数据!$B:$D,3,FALSE),"")</f>
        <v>包</v>
      </c>
      <c r="G369" s="6" t="s">
        <v>129</v>
      </c>
    </row>
    <row r="370" spans="1:7">
      <c r="A370" s="6">
        <f t="shared" si="5"/>
        <v>369</v>
      </c>
      <c r="B370" s="5">
        <v>46065</v>
      </c>
      <c r="C370" s="7" t="s">
        <v>39</v>
      </c>
      <c r="D370" s="8" t="str">
        <f>IFERROR(VLOOKUP(C370,产品数据!$B:$D,2,FALSE),"")</f>
        <v>10千克/袋</v>
      </c>
      <c r="E370" s="8">
        <v>2</v>
      </c>
      <c r="F370" s="8" t="str">
        <f>IFERROR(VLOOKUP(C370,产品数据!$B:$D,3,FALSE),"")</f>
        <v>袋</v>
      </c>
      <c r="G370" s="6" t="s">
        <v>127</v>
      </c>
    </row>
    <row r="371" spans="1:7">
      <c r="A371" s="6">
        <f t="shared" si="5"/>
        <v>370</v>
      </c>
      <c r="B371" s="5">
        <v>46066</v>
      </c>
      <c r="C371" s="7" t="s">
        <v>56</v>
      </c>
      <c r="D371" s="8" t="str">
        <f>IFERROR(VLOOKUP(C371,产品数据!$B:$D,2,FALSE),"")</f>
        <v>178g*50包/箱</v>
      </c>
      <c r="E371" s="8">
        <v>5</v>
      </c>
      <c r="F371" s="8" t="str">
        <f>IFERROR(VLOOKUP(C371,产品数据!$B:$D,3,FALSE),"")</f>
        <v>包</v>
      </c>
      <c r="G371" s="6" t="s">
        <v>128</v>
      </c>
    </row>
    <row r="372" spans="1:7">
      <c r="A372" s="6">
        <f t="shared" si="5"/>
        <v>371</v>
      </c>
      <c r="B372" s="5">
        <v>46066</v>
      </c>
      <c r="C372" s="7" t="s">
        <v>41</v>
      </c>
      <c r="D372" s="8" t="str">
        <f>IFERROR(VLOOKUP(C372,产品数据!$B:$D,2,FALSE),"")</f>
        <v>5l/*4桶/箱</v>
      </c>
      <c r="E372" s="8">
        <v>2</v>
      </c>
      <c r="F372" s="8" t="str">
        <f>IFERROR(VLOOKUP(C372,产品数据!$B:$D,3,FALSE),"")</f>
        <v>桶</v>
      </c>
      <c r="G372" s="6" t="s">
        <v>125</v>
      </c>
    </row>
    <row r="373" spans="1:7">
      <c r="A373" s="6">
        <f t="shared" si="5"/>
        <v>372</v>
      </c>
      <c r="B373" s="5">
        <v>46066</v>
      </c>
      <c r="C373" s="7" t="s">
        <v>57</v>
      </c>
      <c r="D373" s="8" t="str">
        <f>IFERROR(VLOOKUP(C373,产品数据!$B:$D,2,FALSE),"")</f>
        <v>400g*25包/箱</v>
      </c>
      <c r="E373" s="8">
        <v>1</v>
      </c>
      <c r="F373" s="8" t="str">
        <f>IFERROR(VLOOKUP(C373,产品数据!$B:$D,3,FALSE),"")</f>
        <v>包</v>
      </c>
      <c r="G373" s="6" t="s">
        <v>125</v>
      </c>
    </row>
    <row r="374" spans="1:7">
      <c r="A374" s="6">
        <f t="shared" si="5"/>
        <v>373</v>
      </c>
      <c r="B374" s="5">
        <v>46066</v>
      </c>
      <c r="C374" s="7" t="s">
        <v>54</v>
      </c>
      <c r="D374" s="8" t="str">
        <f>IFERROR(VLOOKUP(C374,产品数据!$B:$D,2,FALSE),"")</f>
        <v>1kg*6瓶/箱</v>
      </c>
      <c r="E374" s="8">
        <v>1</v>
      </c>
      <c r="F374" s="8" t="str">
        <f>IFERROR(VLOOKUP(C374,产品数据!$B:$D,3,FALSE),"")</f>
        <v>瓶</v>
      </c>
      <c r="G374" s="6" t="s">
        <v>125</v>
      </c>
    </row>
    <row r="375" spans="1:7">
      <c r="A375" s="6">
        <f t="shared" si="5"/>
        <v>374</v>
      </c>
      <c r="B375" s="5">
        <v>46066</v>
      </c>
      <c r="C375" s="7" t="s">
        <v>39</v>
      </c>
      <c r="D375" s="8" t="str">
        <f>IFERROR(VLOOKUP(C375,产品数据!$B:$D,2,FALSE),"")</f>
        <v>10千克/袋</v>
      </c>
      <c r="E375" s="8">
        <v>2</v>
      </c>
      <c r="F375" s="8" t="str">
        <f>IFERROR(VLOOKUP(C375,产品数据!$B:$D,3,FALSE),"")</f>
        <v>袋</v>
      </c>
      <c r="G375" s="6" t="s">
        <v>127</v>
      </c>
    </row>
    <row r="376" spans="1:7">
      <c r="A376" s="6">
        <f t="shared" si="5"/>
        <v>375</v>
      </c>
      <c r="B376" s="5">
        <v>46066</v>
      </c>
      <c r="C376" s="7" t="s">
        <v>56</v>
      </c>
      <c r="D376" s="8" t="str">
        <f>IFERROR(VLOOKUP(C376,产品数据!$B:$D,2,FALSE),"")</f>
        <v>178g*50包/箱</v>
      </c>
      <c r="E376" s="8">
        <v>5</v>
      </c>
      <c r="F376" s="8" t="str">
        <f>IFERROR(VLOOKUP(C376,产品数据!$B:$D,3,FALSE),"")</f>
        <v>包</v>
      </c>
      <c r="G376" s="6" t="s">
        <v>127</v>
      </c>
    </row>
    <row r="377" spans="1:7">
      <c r="A377" s="6">
        <f t="shared" si="5"/>
        <v>376</v>
      </c>
      <c r="B377" s="5">
        <v>46077</v>
      </c>
      <c r="C377" s="7" t="s">
        <v>41</v>
      </c>
      <c r="D377" s="8" t="str">
        <f>IFERROR(VLOOKUP(C377,产品数据!$B:$D,2,FALSE),"")</f>
        <v>5l/*4桶/箱</v>
      </c>
      <c r="E377" s="8">
        <v>4</v>
      </c>
      <c r="F377" s="8" t="str">
        <f>IFERROR(VLOOKUP(C377,产品数据!$B:$D,3,FALSE),"")</f>
        <v>桶</v>
      </c>
      <c r="G377" s="6" t="s">
        <v>125</v>
      </c>
    </row>
    <row r="378" spans="1:7">
      <c r="A378" s="6">
        <f t="shared" si="5"/>
        <v>377</v>
      </c>
      <c r="B378" s="5">
        <v>46077</v>
      </c>
      <c r="C378" s="7" t="s">
        <v>54</v>
      </c>
      <c r="D378" s="8" t="str">
        <f>IFERROR(VLOOKUP(C378,产品数据!$B:$D,2,FALSE),"")</f>
        <v>1kg*6瓶/箱</v>
      </c>
      <c r="E378" s="8">
        <v>2</v>
      </c>
      <c r="F378" s="8" t="str">
        <f>IFERROR(VLOOKUP(C378,产品数据!$B:$D,3,FALSE),"")</f>
        <v>瓶</v>
      </c>
      <c r="G378" s="6" t="s">
        <v>125</v>
      </c>
    </row>
    <row r="379" spans="1:7">
      <c r="A379" s="6">
        <f t="shared" si="5"/>
        <v>378</v>
      </c>
      <c r="B379" s="5">
        <v>46077</v>
      </c>
      <c r="C379" s="7" t="s">
        <v>52</v>
      </c>
      <c r="D379" s="8" t="str">
        <f>IFERROR(VLOOKUP(C379,产品数据!$B:$D,2,FALSE),"")</f>
        <v>705ml/瓶</v>
      </c>
      <c r="E379" s="8">
        <v>2</v>
      </c>
      <c r="F379" s="8" t="str">
        <f>IFERROR(VLOOKUP(C379,产品数据!$B:$D,3,FALSE),"")</f>
        <v>瓶</v>
      </c>
      <c r="G379" s="6" t="s">
        <v>125</v>
      </c>
    </row>
    <row r="380" spans="1:7">
      <c r="A380" s="6">
        <f t="shared" si="5"/>
        <v>379</v>
      </c>
      <c r="B380" s="5">
        <v>46077</v>
      </c>
      <c r="C380" s="7" t="s">
        <v>57</v>
      </c>
      <c r="D380" s="8" t="str">
        <f>IFERROR(VLOOKUP(C380,产品数据!$B:$D,2,FALSE),"")</f>
        <v>400g*25包/箱</v>
      </c>
      <c r="E380" s="8">
        <v>2</v>
      </c>
      <c r="F380" s="8" t="str">
        <f>IFERROR(VLOOKUP(C380,产品数据!$B:$D,3,FALSE),"")</f>
        <v>包</v>
      </c>
      <c r="G380" s="6" t="s">
        <v>125</v>
      </c>
    </row>
    <row r="381" spans="1:7">
      <c r="A381" s="6">
        <f t="shared" si="5"/>
        <v>380</v>
      </c>
      <c r="B381" s="5">
        <v>46077</v>
      </c>
      <c r="C381" s="7" t="s">
        <v>63</v>
      </c>
      <c r="D381" s="8" t="str">
        <f>IFERROR(VLOOKUP(C381,产品数据!$B:$D,2,FALSE),"")</f>
        <v>280g/包</v>
      </c>
      <c r="E381" s="8">
        <v>10</v>
      </c>
      <c r="F381" s="8" t="str">
        <f>IFERROR(VLOOKUP(C381,产品数据!$B:$D,3,FALSE),"")</f>
        <v>包</v>
      </c>
      <c r="G381" s="6" t="s">
        <v>125</v>
      </c>
    </row>
    <row r="382" spans="1:7">
      <c r="A382" s="6">
        <f t="shared" si="5"/>
        <v>381</v>
      </c>
      <c r="B382" s="5">
        <v>46077</v>
      </c>
      <c r="C382" s="7" t="s">
        <v>56</v>
      </c>
      <c r="D382" s="8" t="str">
        <f>IFERROR(VLOOKUP(C382,产品数据!$B:$D,2,FALSE),"")</f>
        <v>178g*50包/箱</v>
      </c>
      <c r="E382" s="8">
        <v>5</v>
      </c>
      <c r="F382" s="8" t="str">
        <f>IFERROR(VLOOKUP(C382,产品数据!$B:$D,3,FALSE),"")</f>
        <v>包</v>
      </c>
      <c r="G382" s="6" t="s">
        <v>125</v>
      </c>
    </row>
    <row r="383" spans="1:7">
      <c r="A383" s="6">
        <f t="shared" si="5"/>
        <v>382</v>
      </c>
      <c r="B383" s="5">
        <v>46077</v>
      </c>
      <c r="C383" s="7" t="s">
        <v>48</v>
      </c>
      <c r="D383" s="8" t="str">
        <f>IFERROR(VLOOKUP(C383,产品数据!$B:$D,2,FALSE),"")</f>
        <v>500克/瓶*24瓶/箱</v>
      </c>
      <c r="E383" s="8">
        <v>2</v>
      </c>
      <c r="F383" s="8" t="str">
        <f>IFERROR(VLOOKUP(C383,产品数据!$B:$D,3,FALSE),"")</f>
        <v>瓶</v>
      </c>
      <c r="G383" s="6" t="s">
        <v>125</v>
      </c>
    </row>
    <row r="384" spans="1:7">
      <c r="A384" s="6">
        <f t="shared" si="5"/>
        <v>383</v>
      </c>
      <c r="B384" s="5">
        <v>46077</v>
      </c>
      <c r="C384" s="7" t="s">
        <v>61</v>
      </c>
      <c r="D384" s="8" t="str">
        <f>IFERROR(VLOOKUP(C384,产品数据!$B:$D,2,FALSE),"")</f>
        <v>2.5kg/包</v>
      </c>
      <c r="E384" s="8">
        <v>1</v>
      </c>
      <c r="F384" s="8" t="str">
        <f>IFERROR(VLOOKUP(C384,产品数据!$B:$D,3,FALSE),"")</f>
        <v>包</v>
      </c>
      <c r="G384" s="6" t="s">
        <v>125</v>
      </c>
    </row>
    <row r="385" spans="1:7">
      <c r="A385" s="6">
        <f t="shared" si="5"/>
        <v>384</v>
      </c>
      <c r="B385" s="5">
        <v>46077</v>
      </c>
      <c r="C385" s="7" t="s">
        <v>42</v>
      </c>
      <c r="D385" s="8" t="str">
        <f>IFERROR(VLOOKUP(C385,产品数据!$B:$D,2,FALSE),"")</f>
        <v>1.68L*6壶</v>
      </c>
      <c r="E385" s="8">
        <v>2</v>
      </c>
      <c r="F385" s="8" t="str">
        <f>IFERROR(VLOOKUP(C385,产品数据!$B:$D,3,FALSE),"")</f>
        <v>壶</v>
      </c>
      <c r="G385" s="6" t="s">
        <v>125</v>
      </c>
    </row>
    <row r="386" spans="1:7">
      <c r="A386" s="6">
        <f t="shared" ref="A386:A449" si="6">ROW()-1</f>
        <v>385</v>
      </c>
      <c r="B386" s="5">
        <v>46077</v>
      </c>
      <c r="C386" s="7" t="s">
        <v>40</v>
      </c>
      <c r="D386" s="8" t="str">
        <f>IFERROR(VLOOKUP(C386,产品数据!$B:$D,2,FALSE),"")</f>
        <v>10kg/包</v>
      </c>
      <c r="E386" s="8">
        <v>5</v>
      </c>
      <c r="F386" s="8" t="str">
        <f>IFERROR(VLOOKUP(C386,产品数据!$B:$D,3,FALSE),"")</f>
        <v>包</v>
      </c>
      <c r="G386" s="9" t="s">
        <v>128</v>
      </c>
    </row>
    <row r="387" spans="1:7">
      <c r="A387" s="6">
        <f t="shared" si="6"/>
        <v>386</v>
      </c>
      <c r="B387" s="5">
        <v>46077</v>
      </c>
      <c r="C387" s="7" t="s">
        <v>54</v>
      </c>
      <c r="D387" s="8" t="str">
        <f>IFERROR(VLOOKUP(C387,产品数据!$B:$D,2,FALSE),"")</f>
        <v>1kg*6瓶/箱</v>
      </c>
      <c r="E387" s="8">
        <v>1</v>
      </c>
      <c r="F387" s="8" t="str">
        <f>IFERROR(VLOOKUP(C387,产品数据!$B:$D,3,FALSE),"")</f>
        <v>瓶</v>
      </c>
      <c r="G387" s="9" t="s">
        <v>128</v>
      </c>
    </row>
    <row r="388" spans="1:7">
      <c r="A388" s="6">
        <f t="shared" si="6"/>
        <v>387</v>
      </c>
      <c r="B388" s="5">
        <v>46077</v>
      </c>
      <c r="C388" s="7" t="s">
        <v>52</v>
      </c>
      <c r="D388" s="8" t="str">
        <f>IFERROR(VLOOKUP(C388,产品数据!$B:$D,2,FALSE),"")</f>
        <v>705ml/瓶</v>
      </c>
      <c r="E388" s="8">
        <v>1</v>
      </c>
      <c r="F388" s="8" t="str">
        <f>IFERROR(VLOOKUP(C388,产品数据!$B:$D,3,FALSE),"")</f>
        <v>瓶</v>
      </c>
      <c r="G388" s="9" t="s">
        <v>128</v>
      </c>
    </row>
    <row r="389" spans="1:7">
      <c r="A389" s="6">
        <f t="shared" si="6"/>
        <v>388</v>
      </c>
      <c r="B389" s="5">
        <v>46077</v>
      </c>
      <c r="C389" s="7" t="s">
        <v>42</v>
      </c>
      <c r="D389" s="8" t="str">
        <f>IFERROR(VLOOKUP(C389,产品数据!$B:$D,2,FALSE),"")</f>
        <v>1.68L*6壶</v>
      </c>
      <c r="E389" s="8">
        <v>1</v>
      </c>
      <c r="F389" s="8" t="str">
        <f>IFERROR(VLOOKUP(C389,产品数据!$B:$D,3,FALSE),"")</f>
        <v>壶</v>
      </c>
      <c r="G389" s="9" t="s">
        <v>128</v>
      </c>
    </row>
    <row r="390" spans="1:7">
      <c r="A390" s="6">
        <f t="shared" si="6"/>
        <v>389</v>
      </c>
      <c r="B390" s="5">
        <v>46077</v>
      </c>
      <c r="C390" s="7" t="s">
        <v>44</v>
      </c>
      <c r="D390" s="8" t="str">
        <f>IFERROR(VLOOKUP(C390,产品数据!$B:$D,2,FALSE),"")</f>
        <v>1.9升/瓶*6瓶/箱</v>
      </c>
      <c r="E390" s="8">
        <v>1</v>
      </c>
      <c r="F390" s="8" t="str">
        <f>IFERROR(VLOOKUP(C390,产品数据!$B:$D,3,FALSE),"")</f>
        <v>瓶</v>
      </c>
      <c r="G390" s="9" t="s">
        <v>128</v>
      </c>
    </row>
    <row r="391" spans="1:7">
      <c r="A391" s="6">
        <f t="shared" si="6"/>
        <v>390</v>
      </c>
      <c r="B391" s="5">
        <v>46077</v>
      </c>
      <c r="C391" s="7" t="s">
        <v>43</v>
      </c>
      <c r="D391" s="8" t="str">
        <f>IFERROR(VLOOKUP(C391,产品数据!$B:$D,2,FALSE),"")</f>
        <v>1.9升/瓶*6瓶/箱</v>
      </c>
      <c r="E391" s="8">
        <v>1</v>
      </c>
      <c r="F391" s="8" t="str">
        <f>IFERROR(VLOOKUP(C391,产品数据!$B:$D,3,FALSE),"")</f>
        <v>瓶</v>
      </c>
      <c r="G391" s="9" t="s">
        <v>128</v>
      </c>
    </row>
    <row r="392" spans="1:7">
      <c r="A392" s="6">
        <f t="shared" si="6"/>
        <v>391</v>
      </c>
      <c r="B392" s="5">
        <v>46077</v>
      </c>
      <c r="C392" s="7" t="s">
        <v>57</v>
      </c>
      <c r="D392" s="8" t="str">
        <f>IFERROR(VLOOKUP(C392,产品数据!$B:$D,2,FALSE),"")</f>
        <v>400g*25包/箱</v>
      </c>
      <c r="E392" s="8">
        <v>1</v>
      </c>
      <c r="F392" s="8" t="str">
        <f>IFERROR(VLOOKUP(C392,产品数据!$B:$D,3,FALSE),"")</f>
        <v>包</v>
      </c>
      <c r="G392" s="9" t="s">
        <v>128</v>
      </c>
    </row>
    <row r="393" spans="1:7">
      <c r="A393" s="6">
        <f t="shared" si="6"/>
        <v>392</v>
      </c>
      <c r="B393" s="5">
        <v>46077</v>
      </c>
      <c r="C393" s="3" t="s">
        <v>41</v>
      </c>
      <c r="D393" s="8" t="str">
        <f>IFERROR(VLOOKUP(C393,产品数据!$B:$D,2,FALSE),"")</f>
        <v>5l/*4桶/箱</v>
      </c>
      <c r="E393" s="8">
        <v>1</v>
      </c>
      <c r="F393" s="8" t="str">
        <f>IFERROR(VLOOKUP(C393,产品数据!$B:$D,3,FALSE),"")</f>
        <v>桶</v>
      </c>
      <c r="G393" s="9" t="s">
        <v>128</v>
      </c>
    </row>
    <row r="394" spans="1:7">
      <c r="A394" s="6">
        <f t="shared" si="6"/>
        <v>393</v>
      </c>
      <c r="B394" s="5">
        <v>46077</v>
      </c>
      <c r="C394" s="7" t="s">
        <v>49</v>
      </c>
      <c r="D394" s="8" t="str">
        <f>IFERROR(VLOOKUP(C394,产品数据!$B:$D,2,FALSE),"")</f>
        <v>180g/包</v>
      </c>
      <c r="E394" s="8">
        <v>1</v>
      </c>
      <c r="F394" s="8" t="str">
        <f>IFERROR(VLOOKUP(C394,产品数据!$B:$D,3,FALSE),"")</f>
        <v>包</v>
      </c>
      <c r="G394" s="9" t="s">
        <v>127</v>
      </c>
    </row>
    <row r="395" spans="1:7">
      <c r="A395" s="6">
        <f t="shared" si="6"/>
        <v>394</v>
      </c>
      <c r="B395" s="5">
        <v>46077</v>
      </c>
      <c r="C395" s="7" t="s">
        <v>39</v>
      </c>
      <c r="D395" s="8" t="str">
        <f>IFERROR(VLOOKUP(C395,产品数据!$B:$D,2,FALSE),"")</f>
        <v>10千克/袋</v>
      </c>
      <c r="E395" s="8">
        <v>3</v>
      </c>
      <c r="F395" s="8" t="str">
        <f>IFERROR(VLOOKUP(C395,产品数据!$B:$D,3,FALSE),"")</f>
        <v>袋</v>
      </c>
      <c r="G395" s="9" t="s">
        <v>127</v>
      </c>
    </row>
    <row r="396" spans="1:7">
      <c r="A396" s="6">
        <f t="shared" si="6"/>
        <v>395</v>
      </c>
      <c r="B396" s="5">
        <v>46078</v>
      </c>
      <c r="C396" s="7" t="s">
        <v>41</v>
      </c>
      <c r="D396" s="8" t="str">
        <f>IFERROR(VLOOKUP(C396,产品数据!$B:$D,2,FALSE),"")</f>
        <v>5l/*4桶/箱</v>
      </c>
      <c r="E396" s="8">
        <v>3</v>
      </c>
      <c r="F396" s="8" t="str">
        <f>IFERROR(VLOOKUP(C396,产品数据!$B:$D,3,FALSE),"")</f>
        <v>桶</v>
      </c>
      <c r="G396" s="9" t="s">
        <v>125</v>
      </c>
    </row>
    <row r="397" spans="1:7">
      <c r="A397" s="6">
        <f t="shared" si="6"/>
        <v>396</v>
      </c>
      <c r="B397" s="5">
        <v>46078</v>
      </c>
      <c r="C397" s="7" t="s">
        <v>44</v>
      </c>
      <c r="D397" s="8" t="str">
        <f>IFERROR(VLOOKUP(C397,产品数据!$B:$D,2,FALSE),"")</f>
        <v>1.9升/瓶*6瓶/箱</v>
      </c>
      <c r="E397" s="8">
        <v>1</v>
      </c>
      <c r="F397" s="8" t="str">
        <f>IFERROR(VLOOKUP(C397,产品数据!$B:$D,3,FALSE),"")</f>
        <v>瓶</v>
      </c>
      <c r="G397" s="9" t="s">
        <v>125</v>
      </c>
    </row>
    <row r="398" spans="1:7">
      <c r="A398" s="6">
        <f t="shared" si="6"/>
        <v>397</v>
      </c>
      <c r="B398" s="5">
        <v>46078</v>
      </c>
      <c r="C398" s="7" t="s">
        <v>43</v>
      </c>
      <c r="D398" s="8" t="str">
        <f>IFERROR(VLOOKUP(C398,产品数据!$B:$D,2,FALSE),"")</f>
        <v>1.9升/瓶*6瓶/箱</v>
      </c>
      <c r="E398" s="8">
        <v>1</v>
      </c>
      <c r="F398" s="8" t="str">
        <f>IFERROR(VLOOKUP(C398,产品数据!$B:$D,3,FALSE),"")</f>
        <v>瓶</v>
      </c>
      <c r="G398" s="9" t="s">
        <v>125</v>
      </c>
    </row>
    <row r="399" spans="1:7">
      <c r="A399" s="6">
        <f t="shared" si="6"/>
        <v>398</v>
      </c>
      <c r="B399" s="5">
        <v>46078</v>
      </c>
      <c r="C399" s="7" t="s">
        <v>54</v>
      </c>
      <c r="D399" s="8" t="str">
        <f>IFERROR(VLOOKUP(C399,产品数据!$B:$D,2,FALSE),"")</f>
        <v>1kg*6瓶/箱</v>
      </c>
      <c r="E399" s="8">
        <v>1</v>
      </c>
      <c r="F399" s="8" t="str">
        <f>IFERROR(VLOOKUP(C399,产品数据!$B:$D,3,FALSE),"")</f>
        <v>瓶</v>
      </c>
      <c r="G399" s="9" t="s">
        <v>125</v>
      </c>
    </row>
    <row r="400" spans="1:7">
      <c r="A400" s="6">
        <f t="shared" si="6"/>
        <v>399</v>
      </c>
      <c r="B400" s="5">
        <v>46078</v>
      </c>
      <c r="C400" s="7" t="s">
        <v>52</v>
      </c>
      <c r="D400" s="8" t="str">
        <f>IFERROR(VLOOKUP(C400,产品数据!$B:$D,2,FALSE),"")</f>
        <v>705ml/瓶</v>
      </c>
      <c r="E400" s="8">
        <v>1</v>
      </c>
      <c r="F400" s="8" t="str">
        <f>IFERROR(VLOOKUP(C400,产品数据!$B:$D,3,FALSE),"")</f>
        <v>瓶</v>
      </c>
      <c r="G400" s="9" t="s">
        <v>125</v>
      </c>
    </row>
    <row r="401" spans="1:7">
      <c r="A401" s="6">
        <f t="shared" si="6"/>
        <v>400</v>
      </c>
      <c r="B401" s="5">
        <v>46078</v>
      </c>
      <c r="C401" s="7" t="s">
        <v>57</v>
      </c>
      <c r="D401" s="8" t="str">
        <f>IFERROR(VLOOKUP(C401,产品数据!$B:$D,2,FALSE),"")</f>
        <v>400g*25包/箱</v>
      </c>
      <c r="E401" s="8">
        <v>1</v>
      </c>
      <c r="F401" s="8" t="str">
        <f>IFERROR(VLOOKUP(C401,产品数据!$B:$D,3,FALSE),"")</f>
        <v>包</v>
      </c>
      <c r="G401" s="9" t="s">
        <v>125</v>
      </c>
    </row>
    <row r="402" spans="1:7">
      <c r="A402" s="6">
        <f t="shared" si="6"/>
        <v>401</v>
      </c>
      <c r="B402" s="5">
        <v>46078</v>
      </c>
      <c r="C402" s="7" t="s">
        <v>63</v>
      </c>
      <c r="D402" s="8" t="str">
        <f>IFERROR(VLOOKUP(C402,产品数据!$B:$D,2,FALSE),"")</f>
        <v>280g/包</v>
      </c>
      <c r="E402" s="8">
        <v>5</v>
      </c>
      <c r="F402" s="8" t="str">
        <f>IFERROR(VLOOKUP(C402,产品数据!$B:$D,3,FALSE),"")</f>
        <v>包</v>
      </c>
      <c r="G402" s="9" t="s">
        <v>125</v>
      </c>
    </row>
    <row r="403" spans="1:7">
      <c r="A403" s="6">
        <f t="shared" si="6"/>
        <v>402</v>
      </c>
      <c r="B403" s="5">
        <v>46078</v>
      </c>
      <c r="C403" s="7" t="s">
        <v>50</v>
      </c>
      <c r="D403" s="8" t="str">
        <f>IFERROR(VLOOKUP(C403,产品数据!$B:$D,2,FALSE),"")</f>
        <v>2kg/包*6包/箱</v>
      </c>
      <c r="E403" s="8">
        <v>1</v>
      </c>
      <c r="F403" s="8" t="str">
        <f>IFERROR(VLOOKUP(C403,产品数据!$B:$D,3,FALSE),"")</f>
        <v>包</v>
      </c>
      <c r="G403" s="9" t="s">
        <v>125</v>
      </c>
    </row>
    <row r="404" spans="1:7">
      <c r="A404" s="6">
        <f t="shared" si="6"/>
        <v>403</v>
      </c>
      <c r="B404" s="5">
        <v>46078</v>
      </c>
      <c r="C404" s="7" t="s">
        <v>42</v>
      </c>
      <c r="D404" s="8" t="str">
        <f>IFERROR(VLOOKUP(C404,产品数据!$B:$D,2,FALSE),"")</f>
        <v>1.68L*6壶</v>
      </c>
      <c r="E404" s="8">
        <v>1</v>
      </c>
      <c r="F404" s="8" t="str">
        <f>IFERROR(VLOOKUP(C404,产品数据!$B:$D,3,FALSE),"")</f>
        <v>壶</v>
      </c>
      <c r="G404" s="9" t="s">
        <v>129</v>
      </c>
    </row>
    <row r="405" spans="1:7">
      <c r="A405" s="6">
        <f t="shared" si="6"/>
        <v>404</v>
      </c>
      <c r="B405" s="5">
        <v>46078</v>
      </c>
      <c r="C405" s="7" t="s">
        <v>44</v>
      </c>
      <c r="D405" s="8" t="str">
        <f>IFERROR(VLOOKUP(C405,产品数据!$B:$D,2,FALSE),"")</f>
        <v>1.9升/瓶*6瓶/箱</v>
      </c>
      <c r="E405" s="8">
        <v>1</v>
      </c>
      <c r="F405" s="8" t="str">
        <f>IFERROR(VLOOKUP(C405,产品数据!$B:$D,3,FALSE),"")</f>
        <v>瓶</v>
      </c>
      <c r="G405" s="9" t="s">
        <v>129</v>
      </c>
    </row>
    <row r="406" spans="1:7">
      <c r="A406" s="6">
        <f t="shared" si="6"/>
        <v>405</v>
      </c>
      <c r="B406" s="5">
        <v>46078</v>
      </c>
      <c r="C406" s="7" t="s">
        <v>56</v>
      </c>
      <c r="D406" s="8" t="str">
        <f>IFERROR(VLOOKUP(C406,产品数据!$B:$D,2,FALSE),"")</f>
        <v>178g*50包/箱</v>
      </c>
      <c r="E406" s="8">
        <v>2</v>
      </c>
      <c r="F406" s="8" t="str">
        <f>IFERROR(VLOOKUP(C406,产品数据!$B:$D,3,FALSE),"")</f>
        <v>包</v>
      </c>
      <c r="G406" s="9" t="s">
        <v>129</v>
      </c>
    </row>
    <row r="407" spans="1:7">
      <c r="A407" s="6">
        <f t="shared" si="6"/>
        <v>406</v>
      </c>
      <c r="B407" s="5">
        <v>46078</v>
      </c>
      <c r="C407" s="7" t="s">
        <v>39</v>
      </c>
      <c r="D407" s="8" t="str">
        <f>IFERROR(VLOOKUP(C407,产品数据!$B:$D,2,FALSE),"")</f>
        <v>10千克/袋</v>
      </c>
      <c r="E407" s="8">
        <v>2</v>
      </c>
      <c r="F407" s="8" t="str">
        <f>IFERROR(VLOOKUP(C407,产品数据!$B:$D,3,FALSE),"")</f>
        <v>袋</v>
      </c>
      <c r="G407" s="9" t="s">
        <v>127</v>
      </c>
    </row>
    <row r="408" spans="1:7">
      <c r="A408" s="6">
        <f t="shared" si="6"/>
        <v>407</v>
      </c>
      <c r="B408" s="5">
        <v>46078</v>
      </c>
      <c r="C408" s="7" t="s">
        <v>40</v>
      </c>
      <c r="D408" s="8" t="str">
        <f>IFERROR(VLOOKUP(C408,产品数据!$B:$D,2,FALSE),"")</f>
        <v>10kg/包</v>
      </c>
      <c r="E408" s="8">
        <v>1</v>
      </c>
      <c r="F408" s="8" t="str">
        <f>IFERROR(VLOOKUP(C408,产品数据!$B:$D,3,FALSE),"")</f>
        <v>包</v>
      </c>
      <c r="G408" s="9" t="s">
        <v>128</v>
      </c>
    </row>
    <row r="409" spans="1:7">
      <c r="A409" s="6">
        <f t="shared" si="6"/>
        <v>408</v>
      </c>
      <c r="B409" s="5">
        <v>46079</v>
      </c>
      <c r="C409" s="7" t="s">
        <v>41</v>
      </c>
      <c r="D409" s="8" t="str">
        <f>IFERROR(VLOOKUP(C409,产品数据!$B:$D,2,FALSE),"")</f>
        <v>5l/*4桶/箱</v>
      </c>
      <c r="E409" s="8">
        <v>3</v>
      </c>
      <c r="F409" s="8" t="str">
        <f>IFERROR(VLOOKUP(C409,产品数据!$B:$D,3,FALSE),"")</f>
        <v>桶</v>
      </c>
      <c r="G409" s="9" t="s">
        <v>125</v>
      </c>
    </row>
    <row r="410" spans="1:7">
      <c r="A410" s="6">
        <f t="shared" si="6"/>
        <v>409</v>
      </c>
      <c r="B410" s="5">
        <v>46079</v>
      </c>
      <c r="C410" s="7" t="s">
        <v>45</v>
      </c>
      <c r="D410" s="8" t="str">
        <f>IFERROR(VLOOKUP(C410,产品数据!$B:$D,2,FALSE),"")</f>
        <v>1.9kg/瓶</v>
      </c>
      <c r="E410" s="8">
        <v>1</v>
      </c>
      <c r="F410" s="8" t="str">
        <f>IFERROR(VLOOKUP(C410,产品数据!$B:$D,3,FALSE),"")</f>
        <v>瓶</v>
      </c>
      <c r="G410" s="9" t="s">
        <v>125</v>
      </c>
    </row>
    <row r="411" spans="1:7">
      <c r="A411" s="6">
        <f t="shared" si="6"/>
        <v>410</v>
      </c>
      <c r="B411" s="5">
        <v>46079</v>
      </c>
      <c r="C411" s="7" t="s">
        <v>53</v>
      </c>
      <c r="D411" s="8" t="str">
        <f>IFERROR(VLOOKUP(C411,产品数据!$B:$D,2,FALSE),"")</f>
        <v>2.5L*6桶/箱</v>
      </c>
      <c r="E411" s="8">
        <v>1</v>
      </c>
      <c r="F411" s="8" t="str">
        <f>IFERROR(VLOOKUP(C411,产品数据!$B:$D,3,FALSE),"")</f>
        <v>桶</v>
      </c>
      <c r="G411" s="9" t="s">
        <v>125</v>
      </c>
    </row>
    <row r="412" spans="1:7">
      <c r="A412" s="6">
        <f t="shared" si="6"/>
        <v>411</v>
      </c>
      <c r="B412" s="5">
        <v>46079</v>
      </c>
      <c r="C412" s="7" t="s">
        <v>42</v>
      </c>
      <c r="D412" s="8" t="str">
        <f>IFERROR(VLOOKUP(C412,产品数据!$B:$D,2,FALSE),"")</f>
        <v>1.68L*6壶</v>
      </c>
      <c r="E412" s="8">
        <v>2</v>
      </c>
      <c r="F412" s="8" t="str">
        <f>IFERROR(VLOOKUP(C412,产品数据!$B:$D,3,FALSE),"")</f>
        <v>壶</v>
      </c>
      <c r="G412" s="9" t="s">
        <v>125</v>
      </c>
    </row>
    <row r="413" spans="1:7">
      <c r="A413" s="6">
        <f t="shared" si="6"/>
        <v>412</v>
      </c>
      <c r="B413" s="5">
        <v>46079</v>
      </c>
      <c r="C413" s="7" t="s">
        <v>57</v>
      </c>
      <c r="D413" s="8" t="str">
        <f>IFERROR(VLOOKUP(C413,产品数据!$B:$D,2,FALSE),"")</f>
        <v>400g*25包/箱</v>
      </c>
      <c r="E413" s="8">
        <v>2</v>
      </c>
      <c r="F413" s="8" t="str">
        <f>IFERROR(VLOOKUP(C413,产品数据!$B:$D,3,FALSE),"")</f>
        <v>包</v>
      </c>
      <c r="G413" s="9" t="s">
        <v>125</v>
      </c>
    </row>
    <row r="414" spans="1:7">
      <c r="A414" s="6">
        <f t="shared" si="6"/>
        <v>413</v>
      </c>
      <c r="B414" s="5">
        <v>46079</v>
      </c>
      <c r="C414" s="7" t="s">
        <v>63</v>
      </c>
      <c r="D414" s="8" t="str">
        <f>IFERROR(VLOOKUP(C414,产品数据!$B:$D,2,FALSE),"")</f>
        <v>280g/包</v>
      </c>
      <c r="E414" s="8">
        <v>5</v>
      </c>
      <c r="F414" s="8" t="str">
        <f>IFERROR(VLOOKUP(C414,产品数据!$B:$D,3,FALSE),"")</f>
        <v>包</v>
      </c>
      <c r="G414" s="9" t="s">
        <v>125</v>
      </c>
    </row>
    <row r="415" spans="1:7">
      <c r="A415" s="6">
        <f t="shared" si="6"/>
        <v>414</v>
      </c>
      <c r="B415" s="5">
        <v>46079</v>
      </c>
      <c r="C415" s="7" t="s">
        <v>60</v>
      </c>
      <c r="D415" s="8" t="str">
        <f>IFERROR(VLOOKUP(C415,产品数据!$B:$D,2,FALSE),"")</f>
        <v>150克/包</v>
      </c>
      <c r="E415" s="8">
        <v>2</v>
      </c>
      <c r="F415" s="8" t="str">
        <f>IFERROR(VLOOKUP(C415,产品数据!$B:$D,3,FALSE),"")</f>
        <v>包</v>
      </c>
      <c r="G415" s="9" t="s">
        <v>125</v>
      </c>
    </row>
    <row r="416" spans="1:7">
      <c r="A416" s="6">
        <f t="shared" si="6"/>
        <v>415</v>
      </c>
      <c r="B416" s="5">
        <v>46079</v>
      </c>
      <c r="C416" s="7" t="s">
        <v>41</v>
      </c>
      <c r="D416" s="8" t="str">
        <f>IFERROR(VLOOKUP(C416,产品数据!$B:$D,2,FALSE),"")</f>
        <v>5l/*4桶/箱</v>
      </c>
      <c r="E416" s="8">
        <v>2</v>
      </c>
      <c r="F416" s="8" t="str">
        <f>IFERROR(VLOOKUP(C416,产品数据!$B:$D,3,FALSE),"")</f>
        <v>桶</v>
      </c>
      <c r="G416" s="9" t="s">
        <v>126</v>
      </c>
    </row>
    <row r="417" spans="1:7">
      <c r="A417" s="6">
        <f t="shared" si="6"/>
        <v>416</v>
      </c>
      <c r="B417" s="5">
        <v>46079</v>
      </c>
      <c r="C417" s="7" t="s">
        <v>63</v>
      </c>
      <c r="D417" s="8" t="str">
        <f>IFERROR(VLOOKUP(C417,产品数据!$B:$D,2,FALSE),"")</f>
        <v>280g/包</v>
      </c>
      <c r="E417" s="8">
        <v>3</v>
      </c>
      <c r="F417" s="8" t="str">
        <f>IFERROR(VLOOKUP(C417,产品数据!$B:$D,3,FALSE),"")</f>
        <v>包</v>
      </c>
      <c r="G417" s="9" t="s">
        <v>126</v>
      </c>
    </row>
    <row r="418" spans="1:7">
      <c r="A418" s="6">
        <f t="shared" si="6"/>
        <v>417</v>
      </c>
      <c r="B418" s="5">
        <v>46079</v>
      </c>
      <c r="C418" s="7" t="s">
        <v>57</v>
      </c>
      <c r="D418" s="8" t="str">
        <f>IFERROR(VLOOKUP(C418,产品数据!$B:$D,2,FALSE),"")</f>
        <v>400g*25包/箱</v>
      </c>
      <c r="E418" s="8">
        <v>2</v>
      </c>
      <c r="F418" s="8" t="str">
        <f>IFERROR(VLOOKUP(C418,产品数据!$B:$D,3,FALSE),"")</f>
        <v>包</v>
      </c>
      <c r="G418" s="9" t="s">
        <v>126</v>
      </c>
    </row>
    <row r="419" spans="1:7">
      <c r="A419" s="6">
        <f t="shared" si="6"/>
        <v>418</v>
      </c>
      <c r="B419" s="5">
        <v>46079</v>
      </c>
      <c r="C419" s="7" t="s">
        <v>39</v>
      </c>
      <c r="D419" s="8" t="str">
        <f>IFERROR(VLOOKUP(C419,产品数据!$B:$D,2,FALSE),"")</f>
        <v>10千克/袋</v>
      </c>
      <c r="E419" s="8">
        <v>2</v>
      </c>
      <c r="F419" s="8" t="str">
        <f>IFERROR(VLOOKUP(C419,产品数据!$B:$D,3,FALSE),"")</f>
        <v>袋</v>
      </c>
      <c r="G419" s="9" t="s">
        <v>127</v>
      </c>
    </row>
    <row r="420" spans="1:7">
      <c r="A420" s="6">
        <f t="shared" si="6"/>
        <v>419</v>
      </c>
      <c r="B420" s="5">
        <v>46079</v>
      </c>
      <c r="C420" s="7" t="s">
        <v>56</v>
      </c>
      <c r="D420" s="8" t="str">
        <f>IFERROR(VLOOKUP(C420,产品数据!$B:$D,2,FALSE),"")</f>
        <v>178g*50包/箱</v>
      </c>
      <c r="E420" s="8">
        <v>5</v>
      </c>
      <c r="F420" s="8" t="str">
        <f>IFERROR(VLOOKUP(C420,产品数据!$B:$D,3,FALSE),"")</f>
        <v>包</v>
      </c>
      <c r="G420" s="9" t="s">
        <v>127</v>
      </c>
    </row>
    <row r="421" spans="1:7">
      <c r="A421" s="6">
        <f t="shared" si="6"/>
        <v>420</v>
      </c>
      <c r="B421" s="5">
        <v>46079</v>
      </c>
      <c r="C421" s="7" t="s">
        <v>40</v>
      </c>
      <c r="D421" s="8" t="str">
        <f>IFERROR(VLOOKUP(C421,产品数据!$B:$D,2,FALSE),"")</f>
        <v>10kg/包</v>
      </c>
      <c r="E421" s="8">
        <v>2</v>
      </c>
      <c r="F421" s="8" t="str">
        <f>IFERROR(VLOOKUP(C421,产品数据!$B:$D,3,FALSE),"")</f>
        <v>包</v>
      </c>
      <c r="G421" s="9" t="s">
        <v>128</v>
      </c>
    </row>
    <row r="422" spans="1:7">
      <c r="A422" s="6">
        <f t="shared" si="6"/>
        <v>421</v>
      </c>
      <c r="B422" s="5">
        <v>46080</v>
      </c>
      <c r="C422" s="7" t="s">
        <v>41</v>
      </c>
      <c r="D422" s="8" t="str">
        <f>IFERROR(VLOOKUP(C422,产品数据!$B:$D,2,FALSE),"")</f>
        <v>5l/*4桶/箱</v>
      </c>
      <c r="E422" s="8">
        <v>4</v>
      </c>
      <c r="F422" s="8" t="str">
        <f>IFERROR(VLOOKUP(C422,产品数据!$B:$D,3,FALSE),"")</f>
        <v>桶</v>
      </c>
      <c r="G422" s="9" t="s">
        <v>125</v>
      </c>
    </row>
    <row r="423" spans="1:7">
      <c r="A423" s="6">
        <f t="shared" si="6"/>
        <v>422</v>
      </c>
      <c r="B423" s="5">
        <v>46080</v>
      </c>
      <c r="C423" s="7" t="s">
        <v>42</v>
      </c>
      <c r="D423" s="8" t="str">
        <f>IFERROR(VLOOKUP(C423,产品数据!$B:$D,2,FALSE),"")</f>
        <v>1.68L*6壶</v>
      </c>
      <c r="E423" s="8">
        <v>1</v>
      </c>
      <c r="F423" s="8" t="str">
        <f>IFERROR(VLOOKUP(C423,产品数据!$B:$D,3,FALSE),"")</f>
        <v>壶</v>
      </c>
      <c r="G423" s="9" t="s">
        <v>125</v>
      </c>
    </row>
    <row r="424" spans="1:7">
      <c r="A424" s="6">
        <f t="shared" si="6"/>
        <v>423</v>
      </c>
      <c r="B424" s="5">
        <v>46080</v>
      </c>
      <c r="C424" s="7" t="s">
        <v>61</v>
      </c>
      <c r="D424" s="8" t="str">
        <f>IFERROR(VLOOKUP(C424,产品数据!$B:$D,2,FALSE),"")</f>
        <v>2.5kg/包</v>
      </c>
      <c r="E424" s="8">
        <v>1</v>
      </c>
      <c r="F424" s="8" t="str">
        <f>IFERROR(VLOOKUP(C424,产品数据!$B:$D,3,FALSE),"")</f>
        <v>包</v>
      </c>
      <c r="G424" s="9" t="s">
        <v>125</v>
      </c>
    </row>
    <row r="425" spans="1:7">
      <c r="A425" s="6">
        <f t="shared" si="6"/>
        <v>424</v>
      </c>
      <c r="B425" s="5">
        <v>46080</v>
      </c>
      <c r="C425" s="7" t="s">
        <v>57</v>
      </c>
      <c r="D425" s="8" t="str">
        <f>IFERROR(VLOOKUP(C425,产品数据!$B:$D,2,FALSE),"")</f>
        <v>400g*25包/箱</v>
      </c>
      <c r="E425" s="8">
        <v>2</v>
      </c>
      <c r="F425" s="8" t="str">
        <f>IFERROR(VLOOKUP(C425,产品数据!$B:$D,3,FALSE),"")</f>
        <v>包</v>
      </c>
      <c r="G425" s="9" t="s">
        <v>125</v>
      </c>
    </row>
    <row r="426" spans="1:7">
      <c r="A426" s="6">
        <f t="shared" si="6"/>
        <v>425</v>
      </c>
      <c r="B426" s="5">
        <v>46080</v>
      </c>
      <c r="C426" s="7" t="s">
        <v>53</v>
      </c>
      <c r="D426" s="8" t="str">
        <f>IFERROR(VLOOKUP(C426,产品数据!$B:$D,2,FALSE),"")</f>
        <v>2.5L*6桶/箱</v>
      </c>
      <c r="E426" s="8">
        <v>1</v>
      </c>
      <c r="F426" s="8" t="str">
        <f>IFERROR(VLOOKUP(C426,产品数据!$B:$D,3,FALSE),"")</f>
        <v>桶</v>
      </c>
      <c r="G426" s="9" t="s">
        <v>125</v>
      </c>
    </row>
    <row r="427" spans="1:7">
      <c r="A427" s="6">
        <f t="shared" si="6"/>
        <v>426</v>
      </c>
      <c r="B427" s="5">
        <v>46080</v>
      </c>
      <c r="C427" s="7" t="s">
        <v>63</v>
      </c>
      <c r="D427" s="8" t="str">
        <f>IFERROR(VLOOKUP(C427,产品数据!$B:$D,2,FALSE),"")</f>
        <v>280g/包</v>
      </c>
      <c r="E427" s="8">
        <v>5</v>
      </c>
      <c r="F427" s="8" t="str">
        <f>IFERROR(VLOOKUP(C427,产品数据!$B:$D,3,FALSE),"")</f>
        <v>包</v>
      </c>
      <c r="G427" s="9" t="s">
        <v>125</v>
      </c>
    </row>
    <row r="428" spans="1:7">
      <c r="A428" s="6">
        <f t="shared" si="6"/>
        <v>427</v>
      </c>
      <c r="B428" s="5">
        <v>46080</v>
      </c>
      <c r="C428" s="7" t="s">
        <v>54</v>
      </c>
      <c r="D428" s="8" t="str">
        <f>IFERROR(VLOOKUP(C428,产品数据!$B:$D,2,FALSE),"")</f>
        <v>1kg*6瓶/箱</v>
      </c>
      <c r="E428" s="8">
        <v>1</v>
      </c>
      <c r="F428" s="8" t="str">
        <f>IFERROR(VLOOKUP(C428,产品数据!$B:$D,3,FALSE),"")</f>
        <v>瓶</v>
      </c>
      <c r="G428" s="9" t="s">
        <v>125</v>
      </c>
    </row>
    <row r="429" spans="1:7">
      <c r="A429" s="6">
        <f t="shared" si="6"/>
        <v>428</v>
      </c>
      <c r="B429" s="5">
        <v>46080</v>
      </c>
      <c r="C429" s="7" t="s">
        <v>52</v>
      </c>
      <c r="D429" s="8" t="str">
        <f>IFERROR(VLOOKUP(C429,产品数据!$B:$D,2,FALSE),"")</f>
        <v>705ml/瓶</v>
      </c>
      <c r="E429" s="8">
        <v>1</v>
      </c>
      <c r="F429" s="8" t="str">
        <f>IFERROR(VLOOKUP(C429,产品数据!$B:$D,3,FALSE),"")</f>
        <v>瓶</v>
      </c>
      <c r="G429" s="9" t="s">
        <v>125</v>
      </c>
    </row>
    <row r="430" spans="1:7">
      <c r="A430" s="6">
        <f t="shared" si="6"/>
        <v>429</v>
      </c>
      <c r="B430" s="5">
        <v>46080</v>
      </c>
      <c r="C430" s="7" t="s">
        <v>58</v>
      </c>
      <c r="D430" s="8" t="str">
        <f>IFERROR(VLOOKUP(C430,产品数据!$B:$D,2,FALSE),"")</f>
        <v>200克/包</v>
      </c>
      <c r="E430" s="8">
        <v>1</v>
      </c>
      <c r="F430" s="8" t="str">
        <f>IFERROR(VLOOKUP(C430,产品数据!$B:$D,3,FALSE),"")</f>
        <v>包</v>
      </c>
      <c r="G430" s="9" t="s">
        <v>129</v>
      </c>
    </row>
    <row r="431" spans="1:7">
      <c r="A431" s="6">
        <f t="shared" si="6"/>
        <v>430</v>
      </c>
      <c r="B431" s="5">
        <v>46080</v>
      </c>
      <c r="C431" s="7" t="s">
        <v>49</v>
      </c>
      <c r="D431" s="8" t="str">
        <f>IFERROR(VLOOKUP(C431,产品数据!$B:$D,2,FALSE),"")</f>
        <v>180g/包</v>
      </c>
      <c r="E431" s="8">
        <v>1</v>
      </c>
      <c r="F431" s="8" t="str">
        <f>IFERROR(VLOOKUP(C431,产品数据!$B:$D,3,FALSE),"")</f>
        <v>包</v>
      </c>
      <c r="G431" s="9" t="s">
        <v>129</v>
      </c>
    </row>
    <row r="432" spans="1:7">
      <c r="A432" s="6">
        <f t="shared" si="6"/>
        <v>431</v>
      </c>
      <c r="B432" s="5">
        <v>46080</v>
      </c>
      <c r="C432" s="7" t="s">
        <v>56</v>
      </c>
      <c r="D432" s="8" t="str">
        <f>IFERROR(VLOOKUP(C432,产品数据!$B:$D,2,FALSE),"")</f>
        <v>178g*50包/箱</v>
      </c>
      <c r="E432" s="8">
        <v>5</v>
      </c>
      <c r="F432" s="8" t="str">
        <f>IFERROR(VLOOKUP(C432,产品数据!$B:$D,3,FALSE),"")</f>
        <v>包</v>
      </c>
      <c r="G432" s="9" t="s">
        <v>129</v>
      </c>
    </row>
    <row r="433" spans="1:7">
      <c r="A433" s="6">
        <f t="shared" si="6"/>
        <v>432</v>
      </c>
      <c r="B433" s="5">
        <v>46080</v>
      </c>
      <c r="C433" s="7" t="s">
        <v>39</v>
      </c>
      <c r="D433" s="8" t="str">
        <f>IFERROR(VLOOKUP(C433,产品数据!$B:$D,2,FALSE),"")</f>
        <v>10千克/袋</v>
      </c>
      <c r="E433" s="8">
        <v>2</v>
      </c>
      <c r="F433" s="8" t="str">
        <f>IFERROR(VLOOKUP(C433,产品数据!$B:$D,3,FALSE),"")</f>
        <v>袋</v>
      </c>
      <c r="G433" s="9" t="s">
        <v>127</v>
      </c>
    </row>
    <row r="434" spans="1:7">
      <c r="A434" s="6">
        <f t="shared" si="6"/>
        <v>433</v>
      </c>
      <c r="B434" s="5">
        <v>46081</v>
      </c>
      <c r="C434" s="7" t="s">
        <v>41</v>
      </c>
      <c r="D434" s="8" t="str">
        <f>IFERROR(VLOOKUP(C434,产品数据!$B:$D,2,FALSE),"")</f>
        <v>5l/*4桶/箱</v>
      </c>
      <c r="E434" s="8">
        <v>3</v>
      </c>
      <c r="F434" s="8" t="str">
        <f>IFERROR(VLOOKUP(C434,产品数据!$B:$D,3,FALSE),"")</f>
        <v>桶</v>
      </c>
      <c r="G434" s="9" t="s">
        <v>125</v>
      </c>
    </row>
    <row r="435" spans="1:7">
      <c r="A435" s="6">
        <f t="shared" si="6"/>
        <v>434</v>
      </c>
      <c r="B435" s="5">
        <v>46081</v>
      </c>
      <c r="C435" s="7" t="s">
        <v>43</v>
      </c>
      <c r="D435" s="8" t="str">
        <f>IFERROR(VLOOKUP(C435,产品数据!$B:$D,2,FALSE),"")</f>
        <v>1.9升/瓶*6瓶/箱</v>
      </c>
      <c r="E435" s="8">
        <v>1</v>
      </c>
      <c r="F435" s="8" t="str">
        <f>IFERROR(VLOOKUP(C435,产品数据!$B:$D,3,FALSE),"")</f>
        <v>瓶</v>
      </c>
      <c r="G435" s="9" t="s">
        <v>125</v>
      </c>
    </row>
    <row r="436" spans="1:7">
      <c r="A436" s="6">
        <f t="shared" si="6"/>
        <v>435</v>
      </c>
      <c r="B436" s="5">
        <v>46081</v>
      </c>
      <c r="C436" s="7" t="s">
        <v>44</v>
      </c>
      <c r="D436" s="8" t="str">
        <f>IFERROR(VLOOKUP(C436,产品数据!$B:$D,2,FALSE),"")</f>
        <v>1.9升/瓶*6瓶/箱</v>
      </c>
      <c r="E436" s="8">
        <v>1</v>
      </c>
      <c r="F436" s="8" t="str">
        <f>IFERROR(VLOOKUP(C436,产品数据!$B:$D,3,FALSE),"")</f>
        <v>瓶</v>
      </c>
      <c r="G436" s="9" t="s">
        <v>125</v>
      </c>
    </row>
    <row r="437" spans="1:7">
      <c r="A437" s="6">
        <f t="shared" si="6"/>
        <v>436</v>
      </c>
      <c r="B437" s="5">
        <v>46081</v>
      </c>
      <c r="C437" s="7" t="s">
        <v>42</v>
      </c>
      <c r="D437" s="8" t="str">
        <f>IFERROR(VLOOKUP(C437,产品数据!$B:$D,2,FALSE),"")</f>
        <v>1.68L*6壶</v>
      </c>
      <c r="E437" s="8">
        <v>2</v>
      </c>
      <c r="F437" s="8" t="str">
        <f>IFERROR(VLOOKUP(C437,产品数据!$B:$D,3,FALSE),"")</f>
        <v>壶</v>
      </c>
      <c r="G437" s="9" t="s">
        <v>125</v>
      </c>
    </row>
    <row r="438" spans="1:7">
      <c r="A438" s="6">
        <f t="shared" si="6"/>
        <v>437</v>
      </c>
      <c r="B438" s="5">
        <v>46081</v>
      </c>
      <c r="C438" s="7" t="s">
        <v>53</v>
      </c>
      <c r="D438" s="8" t="str">
        <f>IFERROR(VLOOKUP(C438,产品数据!$B:$D,2,FALSE),"")</f>
        <v>2.5L*6桶/箱</v>
      </c>
      <c r="E438" s="8">
        <v>1</v>
      </c>
      <c r="F438" s="8" t="str">
        <f>IFERROR(VLOOKUP(C438,产品数据!$B:$D,3,FALSE),"")</f>
        <v>桶</v>
      </c>
      <c r="G438" s="9" t="s">
        <v>125</v>
      </c>
    </row>
    <row r="439" spans="1:7">
      <c r="A439" s="6">
        <f t="shared" si="6"/>
        <v>438</v>
      </c>
      <c r="B439" s="5">
        <v>46081</v>
      </c>
      <c r="C439" s="7" t="s">
        <v>54</v>
      </c>
      <c r="D439" s="8" t="str">
        <f>IFERROR(VLOOKUP(C439,产品数据!$B:$D,2,FALSE),"")</f>
        <v>1kg*6瓶/箱</v>
      </c>
      <c r="E439" s="8">
        <v>1</v>
      </c>
      <c r="F439" s="8" t="str">
        <f>IFERROR(VLOOKUP(C439,产品数据!$B:$D,3,FALSE),"")</f>
        <v>瓶</v>
      </c>
      <c r="G439" s="9" t="s">
        <v>125</v>
      </c>
    </row>
    <row r="440" spans="1:7">
      <c r="A440" s="6">
        <f t="shared" si="6"/>
        <v>439</v>
      </c>
      <c r="B440" s="5">
        <v>46081</v>
      </c>
      <c r="C440" s="7" t="s">
        <v>52</v>
      </c>
      <c r="D440" s="8" t="str">
        <f>IFERROR(VLOOKUP(C440,产品数据!$B:$D,2,FALSE),"")</f>
        <v>705ml/瓶</v>
      </c>
      <c r="E440" s="8">
        <v>1</v>
      </c>
      <c r="F440" s="8" t="str">
        <f>IFERROR(VLOOKUP(C440,产品数据!$B:$D,3,FALSE),"")</f>
        <v>瓶</v>
      </c>
      <c r="G440" s="9" t="s">
        <v>125</v>
      </c>
    </row>
    <row r="441" spans="1:7">
      <c r="A441" s="6">
        <f t="shared" si="6"/>
        <v>440</v>
      </c>
      <c r="B441" s="5">
        <v>46081</v>
      </c>
      <c r="C441" s="7" t="s">
        <v>45</v>
      </c>
      <c r="D441" s="8" t="str">
        <f>IFERROR(VLOOKUP(C441,产品数据!$B:$D,2,FALSE),"")</f>
        <v>1.9kg/瓶</v>
      </c>
      <c r="E441" s="8">
        <v>1</v>
      </c>
      <c r="F441" s="8" t="str">
        <f>IFERROR(VLOOKUP(C441,产品数据!$B:$D,3,FALSE),"")</f>
        <v>瓶</v>
      </c>
      <c r="G441" s="9" t="s">
        <v>125</v>
      </c>
    </row>
    <row r="442" spans="1:7">
      <c r="A442" s="6">
        <f t="shared" si="6"/>
        <v>441</v>
      </c>
      <c r="B442" s="5">
        <v>46081</v>
      </c>
      <c r="C442" s="7" t="s">
        <v>63</v>
      </c>
      <c r="D442" s="8" t="str">
        <f>IFERROR(VLOOKUP(C442,产品数据!$B:$D,2,FALSE),"")</f>
        <v>280g/包</v>
      </c>
      <c r="E442" s="8">
        <v>10</v>
      </c>
      <c r="F442" s="8" t="str">
        <f>IFERROR(VLOOKUP(C442,产品数据!$B:$D,3,FALSE),"")</f>
        <v>包</v>
      </c>
      <c r="G442" s="9" t="s">
        <v>125</v>
      </c>
    </row>
    <row r="443" spans="1:7">
      <c r="A443" s="6">
        <f t="shared" si="6"/>
        <v>442</v>
      </c>
      <c r="B443" s="5">
        <v>46081</v>
      </c>
      <c r="C443" s="7" t="s">
        <v>57</v>
      </c>
      <c r="D443" s="8" t="str">
        <f>IFERROR(VLOOKUP(C443,产品数据!$B:$D,2,FALSE),"")</f>
        <v>400g*25包/箱</v>
      </c>
      <c r="E443" s="8">
        <v>2</v>
      </c>
      <c r="F443" s="8" t="str">
        <f>IFERROR(VLOOKUP(C443,产品数据!$B:$D,3,FALSE),"")</f>
        <v>包</v>
      </c>
      <c r="G443" s="9" t="s">
        <v>125</v>
      </c>
    </row>
    <row r="444" spans="1:7">
      <c r="A444" s="6">
        <f t="shared" si="6"/>
        <v>443</v>
      </c>
      <c r="B444" s="5">
        <v>46081</v>
      </c>
      <c r="C444" s="7" t="s">
        <v>56</v>
      </c>
      <c r="D444" s="8" t="str">
        <f>IFERROR(VLOOKUP(C444,产品数据!$B:$D,2,FALSE),"")</f>
        <v>178g*50包/箱</v>
      </c>
      <c r="E444" s="8">
        <v>5</v>
      </c>
      <c r="F444" s="8" t="str">
        <f>IFERROR(VLOOKUP(C444,产品数据!$B:$D,3,FALSE),"")</f>
        <v>包</v>
      </c>
      <c r="G444" s="9" t="s">
        <v>125</v>
      </c>
    </row>
    <row r="445" spans="1:7">
      <c r="A445" s="6">
        <f t="shared" si="6"/>
        <v>444</v>
      </c>
      <c r="B445" s="5">
        <v>46081</v>
      </c>
      <c r="C445" s="7" t="s">
        <v>39</v>
      </c>
      <c r="D445" s="8" t="str">
        <f>IFERROR(VLOOKUP(C445,产品数据!$B:$D,2,FALSE),"")</f>
        <v>10千克/袋</v>
      </c>
      <c r="E445" s="8">
        <v>3</v>
      </c>
      <c r="F445" s="8" t="str">
        <f>IFERROR(VLOOKUP(C445,产品数据!$B:$D,3,FALSE),"")</f>
        <v>袋</v>
      </c>
      <c r="G445" s="9" t="s">
        <v>127</v>
      </c>
    </row>
    <row r="446" spans="1:7">
      <c r="A446" s="6">
        <f t="shared" si="6"/>
        <v>445</v>
      </c>
      <c r="B446" s="5">
        <v>46081</v>
      </c>
      <c r="C446" s="7" t="s">
        <v>56</v>
      </c>
      <c r="D446" s="8" t="str">
        <f>IFERROR(VLOOKUP(C446,产品数据!$B:$D,2,FALSE),"")</f>
        <v>178g*50包/箱</v>
      </c>
      <c r="E446" s="8">
        <v>5</v>
      </c>
      <c r="F446" s="8" t="str">
        <f>IFERROR(VLOOKUP(C446,产品数据!$B:$D,3,FALSE),"")</f>
        <v>包</v>
      </c>
      <c r="G446" s="9" t="s">
        <v>128</v>
      </c>
    </row>
    <row r="447" spans="1:7">
      <c r="A447" s="6">
        <f t="shared" si="6"/>
        <v>446</v>
      </c>
      <c r="B447" s="5">
        <v>46083</v>
      </c>
      <c r="C447" s="7" t="s">
        <v>41</v>
      </c>
      <c r="D447" s="8" t="str">
        <f>IFERROR(VLOOKUP(C447,产品数据!$B:$D,2,FALSE),"")</f>
        <v>5l/*4桶/箱</v>
      </c>
      <c r="E447" s="8">
        <v>4</v>
      </c>
      <c r="F447" s="8" t="str">
        <f>IFERROR(VLOOKUP(C447,产品数据!$B:$D,3,FALSE),"")</f>
        <v>桶</v>
      </c>
      <c r="G447" s="9" t="s">
        <v>125</v>
      </c>
    </row>
    <row r="448" spans="1:7">
      <c r="A448" s="6">
        <f t="shared" si="6"/>
        <v>447</v>
      </c>
      <c r="B448" s="5">
        <v>46083</v>
      </c>
      <c r="C448" s="7" t="s">
        <v>53</v>
      </c>
      <c r="D448" s="8" t="str">
        <f>IFERROR(VLOOKUP(C448,产品数据!$B:$D,2,FALSE),"")</f>
        <v>2.5L*6桶/箱</v>
      </c>
      <c r="E448" s="8">
        <v>1</v>
      </c>
      <c r="F448" s="8" t="str">
        <f>IFERROR(VLOOKUP(C448,产品数据!$B:$D,3,FALSE),"")</f>
        <v>桶</v>
      </c>
      <c r="G448" s="9" t="s">
        <v>125</v>
      </c>
    </row>
    <row r="449" spans="1:7">
      <c r="A449" s="6">
        <f t="shared" si="6"/>
        <v>448</v>
      </c>
      <c r="B449" s="5">
        <v>46083</v>
      </c>
      <c r="C449" s="7" t="s">
        <v>42</v>
      </c>
      <c r="D449" s="8" t="str">
        <f>IFERROR(VLOOKUP(C449,产品数据!$B:$D,2,FALSE),"")</f>
        <v>1.68L*6壶</v>
      </c>
      <c r="E449" s="8">
        <v>2</v>
      </c>
      <c r="F449" s="8" t="str">
        <f>IFERROR(VLOOKUP(C449,产品数据!$B:$D,3,FALSE),"")</f>
        <v>壶</v>
      </c>
      <c r="G449" s="9" t="s">
        <v>125</v>
      </c>
    </row>
    <row r="450" spans="1:7">
      <c r="A450" s="6">
        <f t="shared" ref="A450:A513" si="7">ROW()-1</f>
        <v>449</v>
      </c>
      <c r="B450" s="5">
        <v>46083</v>
      </c>
      <c r="C450" s="7" t="s">
        <v>57</v>
      </c>
      <c r="D450" s="8" t="str">
        <f>IFERROR(VLOOKUP(C450,产品数据!$B:$D,2,FALSE),"")</f>
        <v>400g*25包/箱</v>
      </c>
      <c r="E450" s="8">
        <v>2</v>
      </c>
      <c r="F450" s="8" t="str">
        <f>IFERROR(VLOOKUP(C450,产品数据!$B:$D,3,FALSE),"")</f>
        <v>包</v>
      </c>
      <c r="G450" s="9" t="s">
        <v>125</v>
      </c>
    </row>
    <row r="451" spans="1:7">
      <c r="A451" s="6">
        <f t="shared" si="7"/>
        <v>450</v>
      </c>
      <c r="B451" s="5">
        <v>46083</v>
      </c>
      <c r="C451" s="7" t="s">
        <v>43</v>
      </c>
      <c r="D451" s="8" t="str">
        <f>IFERROR(VLOOKUP(C451,产品数据!$B:$D,2,FALSE),"")</f>
        <v>1.9升/瓶*6瓶/箱</v>
      </c>
      <c r="E451" s="8">
        <v>1</v>
      </c>
      <c r="F451" s="8" t="str">
        <f>IFERROR(VLOOKUP(C451,产品数据!$B:$D,3,FALSE),"")</f>
        <v>瓶</v>
      </c>
      <c r="G451" s="9" t="s">
        <v>125</v>
      </c>
    </row>
    <row r="452" spans="1:7">
      <c r="A452" s="6">
        <f t="shared" si="7"/>
        <v>451</v>
      </c>
      <c r="B452" s="5">
        <v>46083</v>
      </c>
      <c r="C452" s="7" t="s">
        <v>41</v>
      </c>
      <c r="D452" s="8" t="str">
        <f>IFERROR(VLOOKUP(C452,产品数据!$B:$D,2,FALSE),"")</f>
        <v>5l/*4桶/箱</v>
      </c>
      <c r="E452" s="8">
        <v>2</v>
      </c>
      <c r="F452" s="8" t="str">
        <f>IFERROR(VLOOKUP(C452,产品数据!$B:$D,3,FALSE),"")</f>
        <v>桶</v>
      </c>
      <c r="G452" s="9" t="s">
        <v>126</v>
      </c>
    </row>
    <row r="453" spans="1:7">
      <c r="A453" s="6">
        <f t="shared" si="7"/>
        <v>452</v>
      </c>
      <c r="B453" s="5">
        <v>46083</v>
      </c>
      <c r="C453" s="7" t="s">
        <v>57</v>
      </c>
      <c r="D453" s="8" t="str">
        <f>IFERROR(VLOOKUP(C453,产品数据!$B:$D,2,FALSE),"")</f>
        <v>400g*25包/箱</v>
      </c>
      <c r="E453" s="8">
        <v>2</v>
      </c>
      <c r="F453" s="8" t="str">
        <f>IFERROR(VLOOKUP(C453,产品数据!$B:$D,3,FALSE),"")</f>
        <v>包</v>
      </c>
      <c r="G453" s="9" t="s">
        <v>126</v>
      </c>
    </row>
    <row r="454" spans="1:7">
      <c r="A454" s="6">
        <f t="shared" si="7"/>
        <v>453</v>
      </c>
      <c r="B454" s="5">
        <v>46083</v>
      </c>
      <c r="C454" s="7" t="s">
        <v>40</v>
      </c>
      <c r="D454" s="8" t="str">
        <f>IFERROR(VLOOKUP(C454,产品数据!$B:$D,2,FALSE),"")</f>
        <v>10kg/包</v>
      </c>
      <c r="E454" s="8">
        <v>3</v>
      </c>
      <c r="F454" s="8" t="str">
        <f>IFERROR(VLOOKUP(C454,产品数据!$B:$D,3,FALSE),"")</f>
        <v>包</v>
      </c>
      <c r="G454" s="9" t="s">
        <v>128</v>
      </c>
    </row>
    <row r="455" spans="1:7">
      <c r="A455" s="6">
        <f t="shared" si="7"/>
        <v>454</v>
      </c>
      <c r="B455" s="5">
        <v>46083</v>
      </c>
      <c r="C455" s="7" t="s">
        <v>54</v>
      </c>
      <c r="D455" s="8" t="str">
        <f>IFERROR(VLOOKUP(C455,产品数据!$B:$D,2,FALSE),"")</f>
        <v>1kg*6瓶/箱</v>
      </c>
      <c r="E455" s="8">
        <v>1</v>
      </c>
      <c r="F455" s="8" t="str">
        <f>IFERROR(VLOOKUP(C455,产品数据!$B:$D,3,FALSE),"")</f>
        <v>瓶</v>
      </c>
      <c r="G455" s="9" t="s">
        <v>128</v>
      </c>
    </row>
    <row r="456" spans="1:7">
      <c r="A456" s="6">
        <f t="shared" si="7"/>
        <v>455</v>
      </c>
      <c r="B456" s="5">
        <v>46083</v>
      </c>
      <c r="C456" s="7" t="s">
        <v>57</v>
      </c>
      <c r="D456" s="8" t="str">
        <f>IFERROR(VLOOKUP(C456,产品数据!$B:$D,2,FALSE),"")</f>
        <v>400g*25包/箱</v>
      </c>
      <c r="E456" s="8">
        <v>1</v>
      </c>
      <c r="F456" s="8" t="str">
        <f>IFERROR(VLOOKUP(C456,产品数据!$B:$D,3,FALSE),"")</f>
        <v>包</v>
      </c>
      <c r="G456" s="9" t="s">
        <v>128</v>
      </c>
    </row>
    <row r="457" spans="1:7">
      <c r="A457" s="6">
        <f t="shared" si="7"/>
        <v>456</v>
      </c>
      <c r="B457" s="5">
        <v>46083</v>
      </c>
      <c r="C457" s="7" t="s">
        <v>55</v>
      </c>
      <c r="D457" s="8" t="str">
        <f>IFERROR(VLOOKUP(C457,产品数据!$B:$D,2,FALSE),"")</f>
        <v>1升*12瓶/箱</v>
      </c>
      <c r="E457" s="8">
        <v>1</v>
      </c>
      <c r="F457" s="8" t="str">
        <f>IFERROR(VLOOKUP(C457,产品数据!$B:$D,3,FALSE),"")</f>
        <v>瓶</v>
      </c>
      <c r="G457" s="9" t="s">
        <v>128</v>
      </c>
    </row>
    <row r="458" spans="1:7">
      <c r="A458" s="6">
        <f t="shared" si="7"/>
        <v>457</v>
      </c>
      <c r="B458" s="5">
        <v>46083</v>
      </c>
      <c r="C458" s="7" t="s">
        <v>59</v>
      </c>
      <c r="D458" s="8" t="str">
        <f>IFERROR(VLOOKUP(C458,产品数据!$B:$D,2,FALSE),"")</f>
        <v>102克/包</v>
      </c>
      <c r="E458" s="8">
        <v>1</v>
      </c>
      <c r="F458" s="8" t="str">
        <f>IFERROR(VLOOKUP(C458,产品数据!$B:$D,3,FALSE),"")</f>
        <v>包</v>
      </c>
      <c r="G458" s="9" t="s">
        <v>129</v>
      </c>
    </row>
    <row r="459" spans="1:7">
      <c r="A459" s="6">
        <f t="shared" si="7"/>
        <v>458</v>
      </c>
      <c r="B459" s="5">
        <v>46083</v>
      </c>
      <c r="C459" s="7" t="s">
        <v>57</v>
      </c>
      <c r="D459" s="8" t="str">
        <f>IFERROR(VLOOKUP(C459,产品数据!$B:$D,2,FALSE),"")</f>
        <v>400g*25包/箱</v>
      </c>
      <c r="E459" s="8">
        <v>1</v>
      </c>
      <c r="F459" s="8" t="str">
        <f>IFERROR(VLOOKUP(C459,产品数据!$B:$D,3,FALSE),"")</f>
        <v>包</v>
      </c>
      <c r="G459" s="9" t="s">
        <v>129</v>
      </c>
    </row>
    <row r="460" spans="1:7">
      <c r="A460" s="6">
        <f t="shared" si="7"/>
        <v>459</v>
      </c>
      <c r="B460" s="5">
        <v>46083</v>
      </c>
      <c r="C460" s="7" t="s">
        <v>41</v>
      </c>
      <c r="D460" s="8" t="str">
        <f>IFERROR(VLOOKUP(C460,产品数据!$B:$D,2,FALSE),"")</f>
        <v>5l/*4桶/箱</v>
      </c>
      <c r="E460" s="8">
        <v>1</v>
      </c>
      <c r="F460" s="8" t="str">
        <f>IFERROR(VLOOKUP(C460,产品数据!$B:$D,3,FALSE),"")</f>
        <v>桶</v>
      </c>
      <c r="G460" s="9" t="s">
        <v>129</v>
      </c>
    </row>
    <row r="461" spans="1:7">
      <c r="A461" s="6">
        <f t="shared" si="7"/>
        <v>460</v>
      </c>
      <c r="B461" s="5">
        <v>46083</v>
      </c>
      <c r="C461" s="7" t="s">
        <v>39</v>
      </c>
      <c r="D461" s="8" t="str">
        <f>IFERROR(VLOOKUP(C461,产品数据!$B:$D,2,FALSE),"")</f>
        <v>10千克/袋</v>
      </c>
      <c r="E461" s="8">
        <v>3</v>
      </c>
      <c r="F461" s="8" t="str">
        <f>IFERROR(VLOOKUP(C461,产品数据!$B:$D,3,FALSE),"")</f>
        <v>袋</v>
      </c>
      <c r="G461" s="9" t="s">
        <v>127</v>
      </c>
    </row>
    <row r="462" spans="1:7">
      <c r="A462" s="6">
        <f t="shared" si="7"/>
        <v>461</v>
      </c>
      <c r="B462" s="5">
        <v>46084</v>
      </c>
      <c r="C462" s="7" t="s">
        <v>41</v>
      </c>
      <c r="D462" s="8" t="str">
        <f>IFERROR(VLOOKUP(C462,产品数据!$B:$D,2,FALSE),"")</f>
        <v>5l/*4桶/箱</v>
      </c>
      <c r="E462" s="8">
        <v>4</v>
      </c>
      <c r="F462" s="8" t="str">
        <f>IFERROR(VLOOKUP(C462,产品数据!$B:$D,3,FALSE),"")</f>
        <v>桶</v>
      </c>
      <c r="G462" s="9" t="s">
        <v>125</v>
      </c>
    </row>
    <row r="463" spans="1:7">
      <c r="A463" s="6">
        <f t="shared" si="7"/>
        <v>462</v>
      </c>
      <c r="B463" s="5">
        <v>46084</v>
      </c>
      <c r="C463" s="7" t="s">
        <v>44</v>
      </c>
      <c r="D463" s="8" t="str">
        <f>IFERROR(VLOOKUP(C463,产品数据!$B:$D,2,FALSE),"")</f>
        <v>1.9升/瓶*6瓶/箱</v>
      </c>
      <c r="E463" s="8">
        <v>1</v>
      </c>
      <c r="F463" s="8" t="str">
        <f>IFERROR(VLOOKUP(C463,产品数据!$B:$D,3,FALSE),"")</f>
        <v>瓶</v>
      </c>
      <c r="G463" s="9" t="s">
        <v>125</v>
      </c>
    </row>
    <row r="464" spans="1:7">
      <c r="A464" s="6">
        <f t="shared" si="7"/>
        <v>463</v>
      </c>
      <c r="B464" s="5">
        <v>46084</v>
      </c>
      <c r="C464" s="7" t="s">
        <v>43</v>
      </c>
      <c r="D464" s="8" t="str">
        <f>IFERROR(VLOOKUP(C464,产品数据!$B:$D,2,FALSE),"")</f>
        <v>1.9升/瓶*6瓶/箱</v>
      </c>
      <c r="E464" s="8">
        <v>1</v>
      </c>
      <c r="F464" s="8" t="str">
        <f>IFERROR(VLOOKUP(C464,产品数据!$B:$D,3,FALSE),"")</f>
        <v>瓶</v>
      </c>
      <c r="G464" s="9" t="s">
        <v>125</v>
      </c>
    </row>
    <row r="465" spans="1:7">
      <c r="A465" s="6">
        <f t="shared" si="7"/>
        <v>464</v>
      </c>
      <c r="B465" s="5">
        <v>46084</v>
      </c>
      <c r="C465" s="7" t="s">
        <v>42</v>
      </c>
      <c r="D465" s="8" t="str">
        <f>IFERROR(VLOOKUP(C465,产品数据!$B:$D,2,FALSE),"")</f>
        <v>1.68L*6壶</v>
      </c>
      <c r="E465" s="8">
        <v>1</v>
      </c>
      <c r="F465" s="8" t="str">
        <f>IFERROR(VLOOKUP(C465,产品数据!$B:$D,3,FALSE),"")</f>
        <v>壶</v>
      </c>
      <c r="G465" s="9" t="s">
        <v>125</v>
      </c>
    </row>
    <row r="466" spans="1:7">
      <c r="A466" s="6">
        <f t="shared" si="7"/>
        <v>465</v>
      </c>
      <c r="B466" s="5">
        <v>46084</v>
      </c>
      <c r="C466" s="7" t="s">
        <v>57</v>
      </c>
      <c r="D466" s="8" t="str">
        <f>IFERROR(VLOOKUP(C466,产品数据!$B:$D,2,FALSE),"")</f>
        <v>400g*25包/箱</v>
      </c>
      <c r="E466" s="8">
        <v>1</v>
      </c>
      <c r="F466" s="8" t="str">
        <f>IFERROR(VLOOKUP(C466,产品数据!$B:$D,3,FALSE),"")</f>
        <v>包</v>
      </c>
      <c r="G466" s="9" t="s">
        <v>125</v>
      </c>
    </row>
    <row r="467" spans="1:7">
      <c r="A467" s="6">
        <f t="shared" si="7"/>
        <v>466</v>
      </c>
      <c r="B467" s="5">
        <v>46084</v>
      </c>
      <c r="C467" s="7" t="s">
        <v>54</v>
      </c>
      <c r="D467" s="8" t="str">
        <f>IFERROR(VLOOKUP(C467,产品数据!$B:$D,2,FALSE),"")</f>
        <v>1kg*6瓶/箱</v>
      </c>
      <c r="E467" s="8">
        <v>1</v>
      </c>
      <c r="F467" s="8" t="str">
        <f>IFERROR(VLOOKUP(C467,产品数据!$B:$D,3,FALSE),"")</f>
        <v>瓶</v>
      </c>
      <c r="G467" s="9" t="s">
        <v>125</v>
      </c>
    </row>
    <row r="468" spans="1:7">
      <c r="A468" s="6">
        <f t="shared" si="7"/>
        <v>467</v>
      </c>
      <c r="B468" s="5">
        <v>46084</v>
      </c>
      <c r="C468" s="7" t="s">
        <v>52</v>
      </c>
      <c r="D468" s="8" t="str">
        <f>IFERROR(VLOOKUP(C468,产品数据!$B:$D,2,FALSE),"")</f>
        <v>705ml/瓶</v>
      </c>
      <c r="E468" s="8">
        <v>1</v>
      </c>
      <c r="F468" s="8" t="str">
        <f>IFERROR(VLOOKUP(C468,产品数据!$B:$D,3,FALSE),"")</f>
        <v>瓶</v>
      </c>
      <c r="G468" s="9" t="s">
        <v>125</v>
      </c>
    </row>
    <row r="469" spans="1:7">
      <c r="A469" s="6">
        <f t="shared" si="7"/>
        <v>468</v>
      </c>
      <c r="B469" s="5">
        <v>46084</v>
      </c>
      <c r="C469" s="7" t="s">
        <v>63</v>
      </c>
      <c r="D469" s="8" t="str">
        <f>IFERROR(VLOOKUP(C469,产品数据!$B:$D,2,FALSE),"")</f>
        <v>280g/包</v>
      </c>
      <c r="E469" s="8">
        <v>5</v>
      </c>
      <c r="F469" s="8" t="str">
        <f>IFERROR(VLOOKUP(C469,产品数据!$B:$D,3,FALSE),"")</f>
        <v>包</v>
      </c>
      <c r="G469" s="9" t="s">
        <v>125</v>
      </c>
    </row>
    <row r="470" spans="1:7">
      <c r="A470" s="6">
        <f t="shared" si="7"/>
        <v>469</v>
      </c>
      <c r="B470" s="5">
        <v>46084</v>
      </c>
      <c r="C470" s="7" t="s">
        <v>58</v>
      </c>
      <c r="D470" s="8" t="str">
        <f>IFERROR(VLOOKUP(C470,产品数据!$B:$D,2,FALSE),"")</f>
        <v>200克/包</v>
      </c>
      <c r="E470" s="8">
        <v>2</v>
      </c>
      <c r="F470" s="8" t="str">
        <f>IFERROR(VLOOKUP(C470,产品数据!$B:$D,3,FALSE),"")</f>
        <v>包</v>
      </c>
      <c r="G470" s="9" t="s">
        <v>125</v>
      </c>
    </row>
    <row r="471" spans="1:7">
      <c r="A471" s="6">
        <f t="shared" si="7"/>
        <v>470</v>
      </c>
      <c r="B471" s="5">
        <v>46084</v>
      </c>
      <c r="C471" s="7" t="s">
        <v>59</v>
      </c>
      <c r="D471" s="8" t="str">
        <f>IFERROR(VLOOKUP(C471,产品数据!$B:$D,2,FALSE),"")</f>
        <v>102克/包</v>
      </c>
      <c r="E471" s="8">
        <v>2</v>
      </c>
      <c r="F471" s="8" t="str">
        <f>IFERROR(VLOOKUP(C471,产品数据!$B:$D,3,FALSE),"")</f>
        <v>包</v>
      </c>
      <c r="G471" s="9" t="s">
        <v>125</v>
      </c>
    </row>
    <row r="472" spans="1:7">
      <c r="A472" s="6">
        <f t="shared" si="7"/>
        <v>471</v>
      </c>
      <c r="B472" s="5">
        <v>46084</v>
      </c>
      <c r="C472" s="7" t="s">
        <v>48</v>
      </c>
      <c r="D472" s="8" t="str">
        <f>IFERROR(VLOOKUP(C472,产品数据!$B:$D,2,FALSE),"")</f>
        <v>500克/瓶*24瓶/箱</v>
      </c>
      <c r="E472" s="8">
        <v>1</v>
      </c>
      <c r="F472" s="8" t="str">
        <f>IFERROR(VLOOKUP(C472,产品数据!$B:$D,3,FALSE),"")</f>
        <v>瓶</v>
      </c>
      <c r="G472" s="9" t="s">
        <v>125</v>
      </c>
    </row>
    <row r="473" spans="1:7">
      <c r="A473" s="6">
        <f t="shared" si="7"/>
        <v>472</v>
      </c>
      <c r="B473" s="5">
        <v>46084</v>
      </c>
      <c r="C473" s="7" t="s">
        <v>39</v>
      </c>
      <c r="D473" s="8" t="str">
        <f>IFERROR(VLOOKUP(C473,产品数据!$B:$D,2,FALSE),"")</f>
        <v>10千克/袋</v>
      </c>
      <c r="E473" s="8">
        <v>2</v>
      </c>
      <c r="F473" s="8" t="str">
        <f>IFERROR(VLOOKUP(C473,产品数据!$B:$D,3,FALSE),"")</f>
        <v>袋</v>
      </c>
      <c r="G473" s="9" t="s">
        <v>127</v>
      </c>
    </row>
    <row r="474" spans="1:7">
      <c r="A474" s="6">
        <f t="shared" si="7"/>
        <v>473</v>
      </c>
      <c r="B474" s="5">
        <v>46084</v>
      </c>
      <c r="C474" s="7" t="s">
        <v>47</v>
      </c>
      <c r="D474" s="8" t="str">
        <f>IFERROR(VLOOKUP(C474,产品数据!$B:$D,2,FALSE),"")</f>
        <v>500克/瓶*24瓶/箱</v>
      </c>
      <c r="E474" s="8">
        <v>2</v>
      </c>
      <c r="F474" s="8" t="str">
        <f>IFERROR(VLOOKUP(C474,产品数据!$B:$D,3,FALSE),"")</f>
        <v>瓶</v>
      </c>
      <c r="G474" s="9" t="s">
        <v>127</v>
      </c>
    </row>
    <row r="475" spans="1:7">
      <c r="A475" s="6">
        <f t="shared" si="7"/>
        <v>474</v>
      </c>
      <c r="B475" s="5">
        <v>46084</v>
      </c>
      <c r="C475" s="7" t="s">
        <v>40</v>
      </c>
      <c r="D475" s="8" t="str">
        <f>IFERROR(VLOOKUP(C475,产品数据!$B:$D,2,FALSE),"")</f>
        <v>10kg/包</v>
      </c>
      <c r="E475" s="8">
        <v>3</v>
      </c>
      <c r="F475" s="8" t="str">
        <f>IFERROR(VLOOKUP(C475,产品数据!$B:$D,3,FALSE),"")</f>
        <v>包</v>
      </c>
      <c r="G475" s="9" t="s">
        <v>128</v>
      </c>
    </row>
    <row r="476" spans="1:7">
      <c r="A476" s="6">
        <f t="shared" si="7"/>
        <v>475</v>
      </c>
      <c r="B476" s="5">
        <v>46085</v>
      </c>
      <c r="C476" s="7" t="s">
        <v>41</v>
      </c>
      <c r="D476" s="8" t="str">
        <f>IFERROR(VLOOKUP(C476,产品数据!$B:$D,2,FALSE),"")</f>
        <v>5l/*4桶/箱</v>
      </c>
      <c r="E476" s="8">
        <v>2</v>
      </c>
      <c r="F476" s="8" t="str">
        <f>IFERROR(VLOOKUP(C476,产品数据!$B:$D,3,FALSE),"")</f>
        <v>桶</v>
      </c>
      <c r="G476" s="9" t="s">
        <v>125</v>
      </c>
    </row>
    <row r="477" spans="1:7">
      <c r="A477" s="6">
        <f t="shared" si="7"/>
        <v>476</v>
      </c>
      <c r="B477" s="5">
        <v>46085</v>
      </c>
      <c r="C477" s="7" t="s">
        <v>44</v>
      </c>
      <c r="D477" s="8" t="str">
        <f>IFERROR(VLOOKUP(C477,产品数据!$B:$D,2,FALSE),"")</f>
        <v>1.9升/瓶*6瓶/箱</v>
      </c>
      <c r="E477" s="8">
        <v>1</v>
      </c>
      <c r="F477" s="8" t="str">
        <f>IFERROR(VLOOKUP(C477,产品数据!$B:$D,3,FALSE),"")</f>
        <v>瓶</v>
      </c>
      <c r="G477" s="9" t="s">
        <v>125</v>
      </c>
    </row>
    <row r="478" spans="1:7">
      <c r="A478" s="6">
        <f t="shared" si="7"/>
        <v>477</v>
      </c>
      <c r="B478" s="5">
        <v>46085</v>
      </c>
      <c r="C478" s="7" t="s">
        <v>53</v>
      </c>
      <c r="D478" s="8" t="str">
        <f>IFERROR(VLOOKUP(C478,产品数据!$B:$D,2,FALSE),"")</f>
        <v>2.5L*6桶/箱</v>
      </c>
      <c r="E478" s="8">
        <v>2</v>
      </c>
      <c r="F478" s="8" t="str">
        <f>IFERROR(VLOOKUP(C478,产品数据!$B:$D,3,FALSE),"")</f>
        <v>桶</v>
      </c>
      <c r="G478" s="9" t="s">
        <v>125</v>
      </c>
    </row>
    <row r="479" spans="1:7">
      <c r="A479" s="6">
        <f t="shared" si="7"/>
        <v>478</v>
      </c>
      <c r="B479" s="5">
        <v>46085</v>
      </c>
      <c r="C479" s="7" t="s">
        <v>57</v>
      </c>
      <c r="D479" s="8" t="str">
        <f>IFERROR(VLOOKUP(C479,产品数据!$B:$D,2,FALSE),"")</f>
        <v>400g*25包/箱</v>
      </c>
      <c r="E479" s="8">
        <v>2</v>
      </c>
      <c r="F479" s="8" t="str">
        <f>IFERROR(VLOOKUP(C479,产品数据!$B:$D,3,FALSE),"")</f>
        <v>包</v>
      </c>
      <c r="G479" s="9" t="s">
        <v>125</v>
      </c>
    </row>
    <row r="480" spans="1:7">
      <c r="A480" s="6">
        <f t="shared" si="7"/>
        <v>479</v>
      </c>
      <c r="B480" s="5">
        <v>46085</v>
      </c>
      <c r="C480" s="7" t="s">
        <v>50</v>
      </c>
      <c r="D480" s="8" t="str">
        <f>IFERROR(VLOOKUP(C480,产品数据!$B:$D,2,FALSE),"")</f>
        <v>2kg/包*6包/箱</v>
      </c>
      <c r="E480" s="8">
        <v>1</v>
      </c>
      <c r="F480" s="8" t="str">
        <f>IFERROR(VLOOKUP(C480,产品数据!$B:$D,3,FALSE),"")</f>
        <v>包</v>
      </c>
      <c r="G480" s="9" t="s">
        <v>125</v>
      </c>
    </row>
    <row r="481" spans="1:7">
      <c r="A481" s="6">
        <f t="shared" si="7"/>
        <v>480</v>
      </c>
      <c r="B481" s="5">
        <v>46085</v>
      </c>
      <c r="C481" s="7" t="s">
        <v>39</v>
      </c>
      <c r="D481" s="8" t="str">
        <f>IFERROR(VLOOKUP(C481,产品数据!$B:$D,2,FALSE),"")</f>
        <v>10千克/袋</v>
      </c>
      <c r="E481" s="8">
        <v>2</v>
      </c>
      <c r="F481" s="8" t="str">
        <f>IFERROR(VLOOKUP(C481,产品数据!$B:$D,3,FALSE),"")</f>
        <v>袋</v>
      </c>
      <c r="G481" s="9" t="s">
        <v>127</v>
      </c>
    </row>
    <row r="482" spans="1:7">
      <c r="A482" s="6">
        <f t="shared" si="7"/>
        <v>481</v>
      </c>
      <c r="B482" s="5">
        <v>46086</v>
      </c>
      <c r="C482" s="7" t="s">
        <v>41</v>
      </c>
      <c r="D482" s="8" t="str">
        <f>IFERROR(VLOOKUP(C482,产品数据!$B:$D,2,FALSE),"")</f>
        <v>5l/*4桶/箱</v>
      </c>
      <c r="E482" s="8">
        <v>4</v>
      </c>
      <c r="F482" s="8" t="str">
        <f>IFERROR(VLOOKUP(C482,产品数据!$B:$D,3,FALSE),"")</f>
        <v>桶</v>
      </c>
      <c r="G482" s="9" t="s">
        <v>125</v>
      </c>
    </row>
    <row r="483" spans="1:7">
      <c r="A483" s="6">
        <f t="shared" si="7"/>
        <v>482</v>
      </c>
      <c r="B483" s="5">
        <v>46086</v>
      </c>
      <c r="C483" s="7" t="s">
        <v>56</v>
      </c>
      <c r="D483" s="8" t="str">
        <f>IFERROR(VLOOKUP(C483,产品数据!$B:$D,2,FALSE),"")</f>
        <v>178g*50包/箱</v>
      </c>
      <c r="E483" s="8">
        <v>6</v>
      </c>
      <c r="F483" s="8" t="str">
        <f>IFERROR(VLOOKUP(C483,产品数据!$B:$D,3,FALSE),"")</f>
        <v>包</v>
      </c>
      <c r="G483" s="9" t="s">
        <v>125</v>
      </c>
    </row>
    <row r="484" spans="1:7">
      <c r="A484" s="6">
        <f t="shared" si="7"/>
        <v>483</v>
      </c>
      <c r="B484" s="5">
        <v>46086</v>
      </c>
      <c r="C484" s="7" t="s">
        <v>63</v>
      </c>
      <c r="D484" s="8" t="str">
        <f>IFERROR(VLOOKUP(C484,产品数据!$B:$D,2,FALSE),"")</f>
        <v>280g/包</v>
      </c>
      <c r="E484" s="8">
        <v>10</v>
      </c>
      <c r="F484" s="8" t="str">
        <f>IFERROR(VLOOKUP(C484,产品数据!$B:$D,3,FALSE),"")</f>
        <v>包</v>
      </c>
      <c r="G484" s="9" t="s">
        <v>125</v>
      </c>
    </row>
    <row r="485" spans="1:7">
      <c r="A485" s="6">
        <f t="shared" si="7"/>
        <v>484</v>
      </c>
      <c r="B485" s="5">
        <v>46086</v>
      </c>
      <c r="C485" s="7" t="s">
        <v>44</v>
      </c>
      <c r="D485" s="8" t="str">
        <f>IFERROR(VLOOKUP(C485,产品数据!$B:$D,2,FALSE),"")</f>
        <v>1.9升/瓶*6瓶/箱</v>
      </c>
      <c r="E485" s="8">
        <v>1</v>
      </c>
      <c r="F485" s="8" t="str">
        <f>IFERROR(VLOOKUP(C485,产品数据!$B:$D,3,FALSE),"")</f>
        <v>瓶</v>
      </c>
      <c r="G485" s="9" t="s">
        <v>125</v>
      </c>
    </row>
    <row r="486" spans="1:7">
      <c r="A486" s="6">
        <f t="shared" si="7"/>
        <v>485</v>
      </c>
      <c r="B486" s="5">
        <v>46086</v>
      </c>
      <c r="C486" s="7" t="s">
        <v>42</v>
      </c>
      <c r="D486" s="8" t="str">
        <f>IFERROR(VLOOKUP(C486,产品数据!$B:$D,2,FALSE),"")</f>
        <v>1.68L*6壶</v>
      </c>
      <c r="E486" s="8">
        <v>1</v>
      </c>
      <c r="F486" s="8" t="str">
        <f>IFERROR(VLOOKUP(C486,产品数据!$B:$D,3,FALSE),"")</f>
        <v>壶</v>
      </c>
      <c r="G486" s="9" t="s">
        <v>125</v>
      </c>
    </row>
    <row r="487" spans="1:7">
      <c r="A487" s="6">
        <f t="shared" si="7"/>
        <v>486</v>
      </c>
      <c r="B487" s="5">
        <v>46086</v>
      </c>
      <c r="C487" s="7" t="s">
        <v>54</v>
      </c>
      <c r="D487" s="8" t="str">
        <f>IFERROR(VLOOKUP(C487,产品数据!$B:$D,2,FALSE),"")</f>
        <v>1kg*6瓶/箱</v>
      </c>
      <c r="E487" s="8">
        <v>1</v>
      </c>
      <c r="F487" s="8" t="str">
        <f>IFERROR(VLOOKUP(C487,产品数据!$B:$D,3,FALSE),"")</f>
        <v>瓶</v>
      </c>
      <c r="G487" s="9" t="s">
        <v>125</v>
      </c>
    </row>
    <row r="488" spans="1:7">
      <c r="A488" s="6">
        <f t="shared" si="7"/>
        <v>487</v>
      </c>
      <c r="B488" s="5">
        <v>46086</v>
      </c>
      <c r="C488" s="7" t="s">
        <v>52</v>
      </c>
      <c r="D488" s="8" t="str">
        <f>IFERROR(VLOOKUP(C488,产品数据!$B:$D,2,FALSE),"")</f>
        <v>705ml/瓶</v>
      </c>
      <c r="E488" s="8">
        <v>1</v>
      </c>
      <c r="F488" s="8" t="str">
        <f>IFERROR(VLOOKUP(C488,产品数据!$B:$D,3,FALSE),"")</f>
        <v>瓶</v>
      </c>
      <c r="G488" s="9" t="s">
        <v>125</v>
      </c>
    </row>
    <row r="489" spans="1:7">
      <c r="A489" s="6">
        <f t="shared" si="7"/>
        <v>488</v>
      </c>
      <c r="B489" s="5">
        <v>46086</v>
      </c>
      <c r="C489" s="7" t="s">
        <v>57</v>
      </c>
      <c r="D489" s="8" t="str">
        <f>IFERROR(VLOOKUP(C489,产品数据!$B:$D,2,FALSE),"")</f>
        <v>400g*25包/箱</v>
      </c>
      <c r="E489" s="8">
        <v>2</v>
      </c>
      <c r="F489" s="8" t="str">
        <f>IFERROR(VLOOKUP(C489,产品数据!$B:$D,3,FALSE),"")</f>
        <v>包</v>
      </c>
      <c r="G489" s="9" t="s">
        <v>125</v>
      </c>
    </row>
    <row r="490" spans="1:7">
      <c r="A490" s="6">
        <f t="shared" si="7"/>
        <v>489</v>
      </c>
      <c r="B490" s="5">
        <v>46086</v>
      </c>
      <c r="C490" s="7" t="s">
        <v>56</v>
      </c>
      <c r="D490" s="8" t="str">
        <f>IFERROR(VLOOKUP(C490,产品数据!$B:$D,2,FALSE),"")</f>
        <v>178g*50包/箱</v>
      </c>
      <c r="E490" s="8">
        <v>5</v>
      </c>
      <c r="F490" s="8" t="str">
        <f>IFERROR(VLOOKUP(C490,产品数据!$B:$D,3,FALSE),"")</f>
        <v>包</v>
      </c>
      <c r="G490" s="9" t="s">
        <v>129</v>
      </c>
    </row>
    <row r="491" spans="1:7">
      <c r="A491" s="6">
        <f t="shared" si="7"/>
        <v>490</v>
      </c>
      <c r="B491" s="5">
        <v>46086</v>
      </c>
      <c r="C491" s="7" t="s">
        <v>39</v>
      </c>
      <c r="D491" s="8" t="str">
        <f>IFERROR(VLOOKUP(C491,产品数据!$B:$D,2,FALSE),"")</f>
        <v>10千克/袋</v>
      </c>
      <c r="E491" s="8">
        <v>2</v>
      </c>
      <c r="F491" s="8" t="str">
        <f>IFERROR(VLOOKUP(C491,产品数据!$B:$D,3,FALSE),"")</f>
        <v>袋</v>
      </c>
      <c r="G491" s="9" t="s">
        <v>127</v>
      </c>
    </row>
    <row r="492" spans="1:7">
      <c r="A492" s="6">
        <f t="shared" si="7"/>
        <v>491</v>
      </c>
      <c r="B492" s="5">
        <v>46086</v>
      </c>
      <c r="C492" s="7" t="s">
        <v>56</v>
      </c>
      <c r="D492" s="8" t="str">
        <f>IFERROR(VLOOKUP(C492,产品数据!$B:$D,2,FALSE),"")</f>
        <v>178g*50包/箱</v>
      </c>
      <c r="E492" s="8">
        <v>5</v>
      </c>
      <c r="F492" s="8" t="str">
        <f>IFERROR(VLOOKUP(C492,产品数据!$B:$D,3,FALSE),"")</f>
        <v>包</v>
      </c>
      <c r="G492" s="9" t="s">
        <v>127</v>
      </c>
    </row>
    <row r="493" spans="1:7">
      <c r="A493" s="6">
        <f t="shared" si="7"/>
        <v>492</v>
      </c>
      <c r="B493" s="5">
        <v>46086</v>
      </c>
      <c r="C493" s="7" t="s">
        <v>40</v>
      </c>
      <c r="D493" s="8" t="str">
        <f>IFERROR(VLOOKUP(C493,产品数据!$B:$D,2,FALSE),"")</f>
        <v>10kg/包</v>
      </c>
      <c r="E493" s="8">
        <v>1</v>
      </c>
      <c r="F493" s="8" t="str">
        <f>IFERROR(VLOOKUP(C493,产品数据!$B:$D,3,FALSE),"")</f>
        <v>包</v>
      </c>
      <c r="G493" s="9" t="s">
        <v>128</v>
      </c>
    </row>
    <row r="494" spans="1:7">
      <c r="A494" s="6">
        <f t="shared" si="7"/>
        <v>493</v>
      </c>
      <c r="B494" s="5">
        <v>46087</v>
      </c>
      <c r="C494" s="7" t="s">
        <v>41</v>
      </c>
      <c r="D494" s="8" t="str">
        <f>IFERROR(VLOOKUP(C494,产品数据!$B:$D,2,FALSE),"")</f>
        <v>5l/*4桶/箱</v>
      </c>
      <c r="E494" s="8">
        <v>4</v>
      </c>
      <c r="F494" s="8" t="str">
        <f>IFERROR(VLOOKUP(C494,产品数据!$B:$D,3,FALSE),"")</f>
        <v>桶</v>
      </c>
      <c r="G494" s="9" t="s">
        <v>125</v>
      </c>
    </row>
    <row r="495" spans="1:7">
      <c r="A495" s="6">
        <f t="shared" si="7"/>
        <v>494</v>
      </c>
      <c r="B495" s="5">
        <v>46087</v>
      </c>
      <c r="C495" s="7" t="s">
        <v>44</v>
      </c>
      <c r="D495" s="8" t="str">
        <f>IFERROR(VLOOKUP(C495,产品数据!$B:$D,2,FALSE),"")</f>
        <v>1.9升/瓶*6瓶/箱</v>
      </c>
      <c r="E495" s="8">
        <v>1</v>
      </c>
      <c r="F495" s="8" t="str">
        <f>IFERROR(VLOOKUP(C495,产品数据!$B:$D,3,FALSE),"")</f>
        <v>瓶</v>
      </c>
      <c r="G495" s="9" t="s">
        <v>125</v>
      </c>
    </row>
    <row r="496" spans="1:7">
      <c r="A496" s="6">
        <f t="shared" si="7"/>
        <v>495</v>
      </c>
      <c r="B496" s="5">
        <v>46087</v>
      </c>
      <c r="C496" s="7" t="s">
        <v>43</v>
      </c>
      <c r="D496" s="8" t="str">
        <f>IFERROR(VLOOKUP(C496,产品数据!$B:$D,2,FALSE),"")</f>
        <v>1.9升/瓶*6瓶/箱</v>
      </c>
      <c r="E496" s="8">
        <v>1</v>
      </c>
      <c r="F496" s="8" t="str">
        <f>IFERROR(VLOOKUP(C496,产品数据!$B:$D,3,FALSE),"")</f>
        <v>瓶</v>
      </c>
      <c r="G496" s="9" t="s">
        <v>125</v>
      </c>
    </row>
    <row r="497" spans="1:7">
      <c r="A497" s="6">
        <f t="shared" si="7"/>
        <v>496</v>
      </c>
      <c r="B497" s="5">
        <v>46087</v>
      </c>
      <c r="C497" s="7" t="s">
        <v>42</v>
      </c>
      <c r="D497" s="8" t="str">
        <f>IFERROR(VLOOKUP(C497,产品数据!$B:$D,2,FALSE),"")</f>
        <v>1.68L*6壶</v>
      </c>
      <c r="E497" s="8">
        <v>2</v>
      </c>
      <c r="F497" s="8" t="str">
        <f>IFERROR(VLOOKUP(C497,产品数据!$B:$D,3,FALSE),"")</f>
        <v>壶</v>
      </c>
      <c r="G497" s="9" t="s">
        <v>125</v>
      </c>
    </row>
    <row r="498" spans="1:7">
      <c r="A498" s="6">
        <f t="shared" si="7"/>
        <v>497</v>
      </c>
      <c r="B498" s="5">
        <v>46087</v>
      </c>
      <c r="C498" s="7" t="s">
        <v>61</v>
      </c>
      <c r="D498" s="8" t="str">
        <f>IFERROR(VLOOKUP(C498,产品数据!$B:$D,2,FALSE),"")</f>
        <v>2.5kg/包</v>
      </c>
      <c r="E498" s="8">
        <v>1</v>
      </c>
      <c r="F498" s="8" t="str">
        <f>IFERROR(VLOOKUP(C498,产品数据!$B:$D,3,FALSE),"")</f>
        <v>包</v>
      </c>
      <c r="G498" s="9" t="s">
        <v>125</v>
      </c>
    </row>
    <row r="499" spans="1:7">
      <c r="A499" s="6">
        <f t="shared" si="7"/>
        <v>498</v>
      </c>
      <c r="B499" s="5">
        <v>46087</v>
      </c>
      <c r="C499" s="7" t="s">
        <v>54</v>
      </c>
      <c r="D499" s="8" t="str">
        <f>IFERROR(VLOOKUP(C499,产品数据!$B:$D,2,FALSE),"")</f>
        <v>1kg*6瓶/箱</v>
      </c>
      <c r="E499" s="8">
        <v>1</v>
      </c>
      <c r="F499" s="8" t="str">
        <f>IFERROR(VLOOKUP(C499,产品数据!$B:$D,3,FALSE),"")</f>
        <v>瓶</v>
      </c>
      <c r="G499" s="9" t="s">
        <v>125</v>
      </c>
    </row>
    <row r="500" spans="1:7">
      <c r="A500" s="6">
        <f t="shared" si="7"/>
        <v>499</v>
      </c>
      <c r="B500" s="5">
        <v>46087</v>
      </c>
      <c r="C500" s="7" t="s">
        <v>52</v>
      </c>
      <c r="D500" s="8" t="str">
        <f>IFERROR(VLOOKUP(C500,产品数据!$B:$D,2,FALSE),"")</f>
        <v>705ml/瓶</v>
      </c>
      <c r="E500" s="8">
        <v>1</v>
      </c>
      <c r="F500" s="8" t="str">
        <f>IFERROR(VLOOKUP(C500,产品数据!$B:$D,3,FALSE),"")</f>
        <v>瓶</v>
      </c>
      <c r="G500" s="9" t="s">
        <v>125</v>
      </c>
    </row>
    <row r="501" spans="1:7">
      <c r="A501" s="6">
        <f t="shared" si="7"/>
        <v>500</v>
      </c>
      <c r="B501" s="5">
        <v>46087</v>
      </c>
      <c r="C501" s="7" t="s">
        <v>53</v>
      </c>
      <c r="D501" s="8" t="str">
        <f>IFERROR(VLOOKUP(C501,产品数据!$B:$D,2,FALSE),"")</f>
        <v>2.5L*6桶/箱</v>
      </c>
      <c r="E501" s="8">
        <v>1</v>
      </c>
      <c r="F501" s="8" t="str">
        <f>IFERROR(VLOOKUP(C501,产品数据!$B:$D,3,FALSE),"")</f>
        <v>桶</v>
      </c>
      <c r="G501" s="9" t="s">
        <v>125</v>
      </c>
    </row>
    <row r="502" spans="1:7">
      <c r="A502" s="6">
        <f t="shared" si="7"/>
        <v>501</v>
      </c>
      <c r="B502" s="5">
        <v>46087</v>
      </c>
      <c r="C502" s="7" t="s">
        <v>63</v>
      </c>
      <c r="D502" s="8" t="str">
        <f>IFERROR(VLOOKUP(C502,产品数据!$B:$D,2,FALSE),"")</f>
        <v>280g/包</v>
      </c>
      <c r="E502" s="8">
        <v>10</v>
      </c>
      <c r="F502" s="8" t="str">
        <f>IFERROR(VLOOKUP(C502,产品数据!$B:$D,3,FALSE),"")</f>
        <v>包</v>
      </c>
      <c r="G502" s="9" t="s">
        <v>125</v>
      </c>
    </row>
    <row r="503" spans="1:7">
      <c r="A503" s="6">
        <f t="shared" si="7"/>
        <v>502</v>
      </c>
      <c r="B503" s="5">
        <v>46087</v>
      </c>
      <c r="C503" s="7" t="s">
        <v>57</v>
      </c>
      <c r="D503" s="8" t="str">
        <f>IFERROR(VLOOKUP(C503,产品数据!$B:$D,2,FALSE),"")</f>
        <v>400g*25包/箱</v>
      </c>
      <c r="E503" s="8">
        <v>3</v>
      </c>
      <c r="F503" s="8" t="str">
        <f>IFERROR(VLOOKUP(C503,产品数据!$B:$D,3,FALSE),"")</f>
        <v>包</v>
      </c>
      <c r="G503" s="9" t="s">
        <v>125</v>
      </c>
    </row>
    <row r="504" spans="1:7">
      <c r="A504" s="6">
        <f t="shared" si="7"/>
        <v>503</v>
      </c>
      <c r="B504" s="5">
        <v>46087</v>
      </c>
      <c r="C504" s="7" t="s">
        <v>50</v>
      </c>
      <c r="D504" s="8" t="str">
        <f>IFERROR(VLOOKUP(C504,产品数据!$B:$D,2,FALSE),"")</f>
        <v>2kg/包*6包/箱</v>
      </c>
      <c r="E504" s="8">
        <v>1</v>
      </c>
      <c r="F504" s="8" t="str">
        <f>IFERROR(VLOOKUP(C504,产品数据!$B:$D,3,FALSE),"")</f>
        <v>包</v>
      </c>
      <c r="G504" s="9" t="s">
        <v>125</v>
      </c>
    </row>
    <row r="505" spans="1:7">
      <c r="A505" s="6">
        <f t="shared" si="7"/>
        <v>504</v>
      </c>
      <c r="B505" s="5">
        <v>46087</v>
      </c>
      <c r="C505" s="7" t="s">
        <v>56</v>
      </c>
      <c r="D505" s="8" t="str">
        <f>IFERROR(VLOOKUP(C505,产品数据!$B:$D,2,FALSE),"")</f>
        <v>178g*50包/箱</v>
      </c>
      <c r="E505" s="8">
        <v>5</v>
      </c>
      <c r="F505" s="8" t="str">
        <f>IFERROR(VLOOKUP(C505,产品数据!$B:$D,3,FALSE),"")</f>
        <v>包</v>
      </c>
      <c r="G505" s="9" t="s">
        <v>128</v>
      </c>
    </row>
    <row r="506" spans="1:7">
      <c r="A506" s="6">
        <f t="shared" si="7"/>
        <v>505</v>
      </c>
      <c r="B506" s="5">
        <v>46087</v>
      </c>
      <c r="C506" s="7" t="s">
        <v>39</v>
      </c>
      <c r="D506" s="8" t="str">
        <f>IFERROR(VLOOKUP(C506,产品数据!$B:$D,2,FALSE),"")</f>
        <v>10千克/袋</v>
      </c>
      <c r="E506" s="8">
        <v>2</v>
      </c>
      <c r="F506" s="8" t="str">
        <f>IFERROR(VLOOKUP(C506,产品数据!$B:$D,3,FALSE),"")</f>
        <v>袋</v>
      </c>
      <c r="G506" s="9" t="s">
        <v>127</v>
      </c>
    </row>
    <row r="507" spans="1:7">
      <c r="A507" s="6">
        <f t="shared" si="7"/>
        <v>506</v>
      </c>
      <c r="B507" s="5">
        <v>46090</v>
      </c>
      <c r="C507" s="7" t="s">
        <v>41</v>
      </c>
      <c r="D507" s="8" t="str">
        <f>IFERROR(VLOOKUP(C507,产品数据!$B:$D,2,FALSE),"")</f>
        <v>5l/*4桶/箱</v>
      </c>
      <c r="E507" s="8">
        <v>4</v>
      </c>
      <c r="F507" s="8" t="str">
        <f>IFERROR(VLOOKUP(C507,产品数据!$B:$D,3,FALSE),"")</f>
        <v>桶</v>
      </c>
      <c r="G507" s="9" t="s">
        <v>125</v>
      </c>
    </row>
    <row r="508" spans="1:7">
      <c r="A508" s="6">
        <f t="shared" si="7"/>
        <v>507</v>
      </c>
      <c r="B508" s="5">
        <v>46090</v>
      </c>
      <c r="C508" s="7" t="s">
        <v>42</v>
      </c>
      <c r="D508" s="8" t="str">
        <f>IFERROR(VLOOKUP(C508,产品数据!$B:$D,2,FALSE),"")</f>
        <v>1.68L*6壶</v>
      </c>
      <c r="E508" s="8">
        <v>1</v>
      </c>
      <c r="F508" s="8" t="str">
        <f>IFERROR(VLOOKUP(C508,产品数据!$B:$D,3,FALSE),"")</f>
        <v>壶</v>
      </c>
      <c r="G508" s="9" t="s">
        <v>125</v>
      </c>
    </row>
    <row r="509" spans="1:7">
      <c r="A509" s="6">
        <f t="shared" si="7"/>
        <v>508</v>
      </c>
      <c r="B509" s="5">
        <v>46090</v>
      </c>
      <c r="C509" s="7" t="s">
        <v>57</v>
      </c>
      <c r="D509" s="8" t="str">
        <f>IFERROR(VLOOKUP(C509,产品数据!$B:$D,2,FALSE),"")</f>
        <v>400g*25包/箱</v>
      </c>
      <c r="E509" s="8">
        <v>2</v>
      </c>
      <c r="F509" s="8" t="str">
        <f>IFERROR(VLOOKUP(C509,产品数据!$B:$D,3,FALSE),"")</f>
        <v>包</v>
      </c>
      <c r="G509" s="9" t="s">
        <v>125</v>
      </c>
    </row>
    <row r="510" spans="1:7">
      <c r="A510" s="6">
        <f t="shared" si="7"/>
        <v>509</v>
      </c>
      <c r="B510" s="5">
        <v>46090</v>
      </c>
      <c r="C510" s="7" t="s">
        <v>44</v>
      </c>
      <c r="D510" s="8" t="str">
        <f>IFERROR(VLOOKUP(C510,产品数据!$B:$D,2,FALSE),"")</f>
        <v>1.9升/瓶*6瓶/箱</v>
      </c>
      <c r="E510" s="8">
        <v>1</v>
      </c>
      <c r="F510" s="8" t="str">
        <f>IFERROR(VLOOKUP(C510,产品数据!$B:$D,3,FALSE),"")</f>
        <v>瓶</v>
      </c>
      <c r="G510" s="9" t="s">
        <v>125</v>
      </c>
    </row>
    <row r="511" spans="1:7">
      <c r="A511" s="6">
        <f t="shared" si="7"/>
        <v>510</v>
      </c>
      <c r="B511" s="5">
        <v>46090</v>
      </c>
      <c r="C511" s="7" t="s">
        <v>43</v>
      </c>
      <c r="D511" s="8" t="str">
        <f>IFERROR(VLOOKUP(C511,产品数据!$B:$D,2,FALSE),"")</f>
        <v>1.9升/瓶*6瓶/箱</v>
      </c>
      <c r="E511" s="8">
        <v>1</v>
      </c>
      <c r="F511" s="8" t="str">
        <f>IFERROR(VLOOKUP(C511,产品数据!$B:$D,3,FALSE),"")</f>
        <v>瓶</v>
      </c>
      <c r="G511" s="9" t="s">
        <v>125</v>
      </c>
    </row>
    <row r="512" spans="1:7">
      <c r="A512" s="6">
        <f t="shared" si="7"/>
        <v>511</v>
      </c>
      <c r="B512" s="5">
        <v>46090</v>
      </c>
      <c r="C512" s="7" t="s">
        <v>53</v>
      </c>
      <c r="D512" s="8" t="str">
        <f>IFERROR(VLOOKUP(C512,产品数据!$B:$D,2,FALSE),"")</f>
        <v>2.5L*6桶/箱</v>
      </c>
      <c r="E512" s="8">
        <v>1</v>
      </c>
      <c r="F512" s="8" t="str">
        <f>IFERROR(VLOOKUP(C512,产品数据!$B:$D,3,FALSE),"")</f>
        <v>桶</v>
      </c>
      <c r="G512" s="9" t="s">
        <v>125</v>
      </c>
    </row>
    <row r="513" spans="1:7">
      <c r="A513" s="6">
        <f t="shared" si="7"/>
        <v>512</v>
      </c>
      <c r="B513" s="5">
        <v>46090</v>
      </c>
      <c r="C513" s="7" t="s">
        <v>45</v>
      </c>
      <c r="D513" s="8" t="str">
        <f>IFERROR(VLOOKUP(C513,产品数据!$B:$D,2,FALSE),"")</f>
        <v>1.9kg/瓶</v>
      </c>
      <c r="E513" s="8">
        <v>1</v>
      </c>
      <c r="F513" s="8" t="str">
        <f>IFERROR(VLOOKUP(C513,产品数据!$B:$D,3,FALSE),"")</f>
        <v>瓶</v>
      </c>
      <c r="G513" s="9" t="s">
        <v>125</v>
      </c>
    </row>
    <row r="514" spans="1:7">
      <c r="A514" s="6">
        <f t="shared" ref="A514:A577" si="8">ROW()-1</f>
        <v>513</v>
      </c>
      <c r="B514" s="5">
        <v>46090</v>
      </c>
      <c r="C514" s="7" t="s">
        <v>54</v>
      </c>
      <c r="D514" s="8" t="str">
        <f>IFERROR(VLOOKUP(C514,产品数据!$B:$D,2,FALSE),"")</f>
        <v>1kg*6瓶/箱</v>
      </c>
      <c r="E514" s="8">
        <v>1</v>
      </c>
      <c r="F514" s="8" t="str">
        <f>IFERROR(VLOOKUP(C514,产品数据!$B:$D,3,FALSE),"")</f>
        <v>瓶</v>
      </c>
      <c r="G514" s="9" t="s">
        <v>125</v>
      </c>
    </row>
    <row r="515" spans="1:7">
      <c r="A515" s="6">
        <f t="shared" si="8"/>
        <v>514</v>
      </c>
      <c r="B515" s="5">
        <v>46090</v>
      </c>
      <c r="C515" s="7" t="s">
        <v>52</v>
      </c>
      <c r="D515" s="8" t="str">
        <f>IFERROR(VLOOKUP(C515,产品数据!$B:$D,2,FALSE),"")</f>
        <v>705ml/瓶</v>
      </c>
      <c r="E515" s="8">
        <v>1</v>
      </c>
      <c r="F515" s="8" t="str">
        <f>IFERROR(VLOOKUP(C515,产品数据!$B:$D,3,FALSE),"")</f>
        <v>瓶</v>
      </c>
      <c r="G515" s="9" t="s">
        <v>125</v>
      </c>
    </row>
    <row r="516" spans="1:7">
      <c r="A516" s="6">
        <f t="shared" si="8"/>
        <v>515</v>
      </c>
      <c r="B516" s="5">
        <v>46090</v>
      </c>
      <c r="C516" s="7" t="s">
        <v>60</v>
      </c>
      <c r="D516" s="8" t="str">
        <f>IFERROR(VLOOKUP(C516,产品数据!$B:$D,2,FALSE),"")</f>
        <v>150克/包</v>
      </c>
      <c r="E516" s="8">
        <v>2</v>
      </c>
      <c r="F516" s="8" t="str">
        <f>IFERROR(VLOOKUP(C516,产品数据!$B:$D,3,FALSE),"")</f>
        <v>包</v>
      </c>
      <c r="G516" s="9" t="s">
        <v>125</v>
      </c>
    </row>
    <row r="517" spans="1:7">
      <c r="A517" s="6">
        <f t="shared" si="8"/>
        <v>516</v>
      </c>
      <c r="B517" s="5">
        <v>46090</v>
      </c>
      <c r="C517" s="7" t="s">
        <v>40</v>
      </c>
      <c r="D517" s="8" t="str">
        <f>IFERROR(VLOOKUP(C517,产品数据!$B:$D,2,FALSE),"")</f>
        <v>10kg/包</v>
      </c>
      <c r="E517" s="8">
        <v>4</v>
      </c>
      <c r="F517" s="8" t="str">
        <f>IFERROR(VLOOKUP(C517,产品数据!$B:$D,3,FALSE),"")</f>
        <v>包</v>
      </c>
      <c r="G517" s="9" t="s">
        <v>128</v>
      </c>
    </row>
    <row r="518" spans="1:7">
      <c r="A518" s="6">
        <f t="shared" si="8"/>
        <v>517</v>
      </c>
      <c r="B518" s="5">
        <v>46090</v>
      </c>
      <c r="C518" s="7" t="s">
        <v>54</v>
      </c>
      <c r="D518" s="8" t="str">
        <f>IFERROR(VLOOKUP(C518,产品数据!$B:$D,2,FALSE),"")</f>
        <v>1kg*6瓶/箱</v>
      </c>
      <c r="E518" s="8">
        <v>1</v>
      </c>
      <c r="F518" s="8" t="str">
        <f>IFERROR(VLOOKUP(C518,产品数据!$B:$D,3,FALSE),"")</f>
        <v>瓶</v>
      </c>
      <c r="G518" s="9" t="s">
        <v>128</v>
      </c>
    </row>
    <row r="519" spans="1:7">
      <c r="A519" s="6">
        <f t="shared" si="8"/>
        <v>518</v>
      </c>
      <c r="B519" s="5">
        <v>46090</v>
      </c>
      <c r="C519" s="7" t="s">
        <v>42</v>
      </c>
      <c r="D519" s="8" t="str">
        <f>IFERROR(VLOOKUP(C519,产品数据!$B:$D,2,FALSE),"")</f>
        <v>1.68L*6壶</v>
      </c>
      <c r="E519" s="8">
        <v>1</v>
      </c>
      <c r="F519" s="8" t="str">
        <f>IFERROR(VLOOKUP(C519,产品数据!$B:$D,3,FALSE),"")</f>
        <v>壶</v>
      </c>
      <c r="G519" s="9" t="s">
        <v>128</v>
      </c>
    </row>
    <row r="520" spans="1:7">
      <c r="A520" s="6">
        <f t="shared" si="8"/>
        <v>519</v>
      </c>
      <c r="B520" s="5">
        <v>46090</v>
      </c>
      <c r="C520" s="7" t="s">
        <v>49</v>
      </c>
      <c r="D520" s="8" t="str">
        <f>IFERROR(VLOOKUP(C520,产品数据!$B:$D,2,FALSE),"")</f>
        <v>180g/包</v>
      </c>
      <c r="E520" s="8">
        <v>1</v>
      </c>
      <c r="F520" s="8" t="str">
        <f>IFERROR(VLOOKUP(C520,产品数据!$B:$D,3,FALSE),"")</f>
        <v>包</v>
      </c>
      <c r="G520" s="9" t="s">
        <v>127</v>
      </c>
    </row>
    <row r="521" spans="1:7">
      <c r="A521" s="6">
        <f t="shared" si="8"/>
        <v>520</v>
      </c>
      <c r="B521" s="5">
        <v>46090</v>
      </c>
      <c r="C521" s="7" t="s">
        <v>39</v>
      </c>
      <c r="D521" s="8" t="str">
        <f>IFERROR(VLOOKUP(C521,产品数据!$B:$D,2,FALSE),"")</f>
        <v>10千克/袋</v>
      </c>
      <c r="E521" s="8">
        <v>3</v>
      </c>
      <c r="F521" s="8" t="str">
        <f>IFERROR(VLOOKUP(C521,产品数据!$B:$D,3,FALSE),"")</f>
        <v>袋</v>
      </c>
      <c r="G521" s="9" t="s">
        <v>127</v>
      </c>
    </row>
    <row r="522" spans="1:7">
      <c r="A522" s="6">
        <f t="shared" si="8"/>
        <v>521</v>
      </c>
      <c r="B522" s="5">
        <v>46091</v>
      </c>
      <c r="C522" s="7" t="s">
        <v>41</v>
      </c>
      <c r="D522" s="8" t="str">
        <f>IFERROR(VLOOKUP(C522,产品数据!$B:$D,2,FALSE),"")</f>
        <v>5l/*4桶/箱</v>
      </c>
      <c r="E522" s="8">
        <v>4</v>
      </c>
      <c r="F522" s="8" t="str">
        <f>IFERROR(VLOOKUP(C522,产品数据!$B:$D,3,FALSE),"")</f>
        <v>桶</v>
      </c>
      <c r="G522" s="9" t="s">
        <v>125</v>
      </c>
    </row>
    <row r="523" spans="1:7">
      <c r="A523" s="6">
        <f t="shared" si="8"/>
        <v>522</v>
      </c>
      <c r="B523" s="5">
        <v>46091</v>
      </c>
      <c r="C523" s="7" t="s">
        <v>53</v>
      </c>
      <c r="D523" s="8" t="str">
        <f>IFERROR(VLOOKUP(C523,产品数据!$B:$D,2,FALSE),"")</f>
        <v>2.5L*6桶/箱</v>
      </c>
      <c r="E523" s="8">
        <v>1</v>
      </c>
      <c r="F523" s="8" t="str">
        <f>IFERROR(VLOOKUP(C523,产品数据!$B:$D,3,FALSE),"")</f>
        <v>桶</v>
      </c>
      <c r="G523" s="9" t="s">
        <v>125</v>
      </c>
    </row>
    <row r="524" spans="1:7">
      <c r="A524" s="6">
        <f t="shared" si="8"/>
        <v>523</v>
      </c>
      <c r="B524" s="5">
        <v>46091</v>
      </c>
      <c r="C524" s="7" t="s">
        <v>61</v>
      </c>
      <c r="D524" s="8" t="str">
        <f>IFERROR(VLOOKUP(C524,产品数据!$B:$D,2,FALSE),"")</f>
        <v>2.5kg/包</v>
      </c>
      <c r="E524" s="8">
        <v>1</v>
      </c>
      <c r="F524" s="8" t="str">
        <f>IFERROR(VLOOKUP(C524,产品数据!$B:$D,3,FALSE),"")</f>
        <v>包</v>
      </c>
      <c r="G524" s="9" t="s">
        <v>125</v>
      </c>
    </row>
    <row r="525" spans="1:7">
      <c r="A525" s="6">
        <f t="shared" si="8"/>
        <v>524</v>
      </c>
      <c r="B525" s="5">
        <v>46091</v>
      </c>
      <c r="C525" s="7" t="s">
        <v>63</v>
      </c>
      <c r="D525" s="8" t="str">
        <f>IFERROR(VLOOKUP(C525,产品数据!$B:$D,2,FALSE),"")</f>
        <v>280g/包</v>
      </c>
      <c r="E525" s="8">
        <v>10</v>
      </c>
      <c r="F525" s="8" t="str">
        <f>IFERROR(VLOOKUP(C525,产品数据!$B:$D,3,FALSE),"")</f>
        <v>包</v>
      </c>
      <c r="G525" s="9" t="s">
        <v>125</v>
      </c>
    </row>
    <row r="526" spans="1:7">
      <c r="A526" s="6">
        <f t="shared" si="8"/>
        <v>525</v>
      </c>
      <c r="B526" s="5">
        <v>46091</v>
      </c>
      <c r="C526" s="7" t="s">
        <v>57</v>
      </c>
      <c r="D526" s="8" t="str">
        <f>IFERROR(VLOOKUP(C526,产品数据!$B:$D,2,FALSE),"")</f>
        <v>400g*25包/箱</v>
      </c>
      <c r="E526" s="8">
        <v>2</v>
      </c>
      <c r="F526" s="8" t="str">
        <f>IFERROR(VLOOKUP(C526,产品数据!$B:$D,3,FALSE),"")</f>
        <v>包</v>
      </c>
      <c r="G526" s="9" t="s">
        <v>125</v>
      </c>
    </row>
    <row r="527" spans="1:7">
      <c r="A527" s="6">
        <f t="shared" si="8"/>
        <v>526</v>
      </c>
      <c r="B527" s="5">
        <v>46091</v>
      </c>
      <c r="C527" s="7" t="s">
        <v>39</v>
      </c>
      <c r="D527" s="8" t="str">
        <f>IFERROR(VLOOKUP(C527,产品数据!$B:$D,2,FALSE),"")</f>
        <v>10千克/袋</v>
      </c>
      <c r="E527" s="8">
        <v>2</v>
      </c>
      <c r="F527" s="8" t="str">
        <f>IFERROR(VLOOKUP(C527,产品数据!$B:$D,3,FALSE),"")</f>
        <v>袋</v>
      </c>
      <c r="G527" s="9" t="s">
        <v>127</v>
      </c>
    </row>
    <row r="528" spans="1:7">
      <c r="A528" s="6">
        <f t="shared" si="8"/>
        <v>527</v>
      </c>
      <c r="B528" s="5">
        <v>46091</v>
      </c>
      <c r="C528" s="7" t="s">
        <v>40</v>
      </c>
      <c r="D528" s="8" t="str">
        <f>IFERROR(VLOOKUP(C528,产品数据!$B:$D,2,FALSE),"")</f>
        <v>10kg/包</v>
      </c>
      <c r="E528" s="8">
        <v>1</v>
      </c>
      <c r="F528" s="8" t="str">
        <f>IFERROR(VLOOKUP(C528,产品数据!$B:$D,3,FALSE),"")</f>
        <v>包</v>
      </c>
      <c r="G528" s="9" t="s">
        <v>128</v>
      </c>
    </row>
    <row r="529" spans="1:7">
      <c r="A529" s="6">
        <f t="shared" si="8"/>
        <v>528</v>
      </c>
      <c r="B529" s="5">
        <v>46091</v>
      </c>
      <c r="C529" s="7" t="s">
        <v>62</v>
      </c>
      <c r="D529" s="8" t="str">
        <f>IFERROR(VLOOKUP(C529,产品数据!$B:$D,2,FALSE),"")</f>
        <v>600克/瓶</v>
      </c>
      <c r="E529" s="8">
        <v>1</v>
      </c>
      <c r="F529" s="8" t="str">
        <f>IFERROR(VLOOKUP(C529,产品数据!$B:$D,3,FALSE),"")</f>
        <v>瓶</v>
      </c>
      <c r="G529" s="9" t="s">
        <v>125</v>
      </c>
    </row>
    <row r="530" spans="1:7">
      <c r="A530" s="6">
        <f t="shared" si="8"/>
        <v>529</v>
      </c>
      <c r="B530" s="5">
        <v>46092</v>
      </c>
      <c r="C530" s="7" t="s">
        <v>41</v>
      </c>
      <c r="D530" s="8" t="str">
        <f>IFERROR(VLOOKUP(C530,产品数据!$B:$D,2,FALSE),"")</f>
        <v>5l/*4桶/箱</v>
      </c>
      <c r="E530" s="8">
        <v>4</v>
      </c>
      <c r="F530" s="8" t="str">
        <f>IFERROR(VLOOKUP(C530,产品数据!$B:$D,3,FALSE),"")</f>
        <v>桶</v>
      </c>
      <c r="G530" s="9" t="s">
        <v>125</v>
      </c>
    </row>
    <row r="531" spans="1:7">
      <c r="A531" s="6">
        <f t="shared" si="8"/>
        <v>530</v>
      </c>
      <c r="B531" s="5">
        <v>46092</v>
      </c>
      <c r="C531" s="7" t="s">
        <v>44</v>
      </c>
      <c r="D531" s="8" t="str">
        <f>IFERROR(VLOOKUP(C531,产品数据!$B:$D,2,FALSE),"")</f>
        <v>1.9升/瓶*6瓶/箱</v>
      </c>
      <c r="E531" s="8">
        <v>1</v>
      </c>
      <c r="F531" s="8" t="str">
        <f>IFERROR(VLOOKUP(C531,产品数据!$B:$D,3,FALSE),"")</f>
        <v>瓶</v>
      </c>
      <c r="G531" s="9" t="s">
        <v>125</v>
      </c>
    </row>
    <row r="532" spans="1:7">
      <c r="A532" s="6">
        <f t="shared" si="8"/>
        <v>531</v>
      </c>
      <c r="B532" s="5">
        <v>46092</v>
      </c>
      <c r="C532" s="7" t="s">
        <v>43</v>
      </c>
      <c r="D532" s="8" t="str">
        <f>IFERROR(VLOOKUP(C532,产品数据!$B:$D,2,FALSE),"")</f>
        <v>1.9升/瓶*6瓶/箱</v>
      </c>
      <c r="E532" s="8">
        <v>1</v>
      </c>
      <c r="F532" s="8" t="str">
        <f>IFERROR(VLOOKUP(C532,产品数据!$B:$D,3,FALSE),"")</f>
        <v>瓶</v>
      </c>
      <c r="G532" s="9" t="s">
        <v>125</v>
      </c>
    </row>
    <row r="533" spans="1:7">
      <c r="A533" s="6">
        <f t="shared" si="8"/>
        <v>532</v>
      </c>
      <c r="B533" s="5">
        <v>46092</v>
      </c>
      <c r="C533" s="7" t="s">
        <v>42</v>
      </c>
      <c r="D533" s="8" t="str">
        <f>IFERROR(VLOOKUP(C533,产品数据!$B:$D,2,FALSE),"")</f>
        <v>1.68L*6壶</v>
      </c>
      <c r="E533" s="8">
        <v>2</v>
      </c>
      <c r="F533" s="8" t="str">
        <f>IFERROR(VLOOKUP(C533,产品数据!$B:$D,3,FALSE),"")</f>
        <v>壶</v>
      </c>
      <c r="G533" s="9" t="s">
        <v>125</v>
      </c>
    </row>
    <row r="534" spans="1:7">
      <c r="A534" s="6">
        <f t="shared" si="8"/>
        <v>533</v>
      </c>
      <c r="B534" s="5">
        <v>46092</v>
      </c>
      <c r="C534" s="7" t="s">
        <v>53</v>
      </c>
      <c r="D534" s="8" t="str">
        <f>IFERROR(VLOOKUP(C534,产品数据!$B:$D,2,FALSE),"")</f>
        <v>2.5L*6桶/箱</v>
      </c>
      <c r="E534" s="8">
        <v>2</v>
      </c>
      <c r="F534" s="8" t="str">
        <f>IFERROR(VLOOKUP(C534,产品数据!$B:$D,3,FALSE),"")</f>
        <v>桶</v>
      </c>
      <c r="G534" s="9" t="s">
        <v>125</v>
      </c>
    </row>
    <row r="535" spans="1:7">
      <c r="A535" s="6">
        <f t="shared" si="8"/>
        <v>534</v>
      </c>
      <c r="B535" s="5">
        <v>46092</v>
      </c>
      <c r="C535" s="7" t="s">
        <v>54</v>
      </c>
      <c r="D535" s="8" t="str">
        <f>IFERROR(VLOOKUP(C535,产品数据!$B:$D,2,FALSE),"")</f>
        <v>1kg*6瓶/箱</v>
      </c>
      <c r="E535" s="8">
        <v>1</v>
      </c>
      <c r="F535" s="8" t="str">
        <f>IFERROR(VLOOKUP(C535,产品数据!$B:$D,3,FALSE),"")</f>
        <v>瓶</v>
      </c>
      <c r="G535" s="9" t="s">
        <v>125</v>
      </c>
    </row>
    <row r="536" spans="1:7">
      <c r="A536" s="6">
        <f t="shared" si="8"/>
        <v>535</v>
      </c>
      <c r="B536" s="5">
        <v>46092</v>
      </c>
      <c r="C536" s="7" t="s">
        <v>52</v>
      </c>
      <c r="D536" s="8" t="str">
        <f>IFERROR(VLOOKUP(C536,产品数据!$B:$D,2,FALSE),"")</f>
        <v>705ml/瓶</v>
      </c>
      <c r="E536" s="8">
        <v>1</v>
      </c>
      <c r="F536" s="8" t="str">
        <f>IFERROR(VLOOKUP(C536,产品数据!$B:$D,3,FALSE),"")</f>
        <v>瓶</v>
      </c>
      <c r="G536" s="9" t="s">
        <v>125</v>
      </c>
    </row>
    <row r="537" spans="1:7">
      <c r="A537" s="6">
        <f t="shared" si="8"/>
        <v>536</v>
      </c>
      <c r="B537" s="5">
        <v>46092</v>
      </c>
      <c r="C537" s="7" t="s">
        <v>57</v>
      </c>
      <c r="D537" s="8" t="str">
        <f>IFERROR(VLOOKUP(C537,产品数据!$B:$D,2,FALSE),"")</f>
        <v>400g*25包/箱</v>
      </c>
      <c r="E537" s="8">
        <v>2</v>
      </c>
      <c r="F537" s="8" t="str">
        <f>IFERROR(VLOOKUP(C537,产品数据!$B:$D,3,FALSE),"")</f>
        <v>包</v>
      </c>
      <c r="G537" s="9" t="s">
        <v>125</v>
      </c>
    </row>
    <row r="538" spans="1:7">
      <c r="A538" s="6">
        <f t="shared" si="8"/>
        <v>537</v>
      </c>
      <c r="B538" s="5">
        <v>46092</v>
      </c>
      <c r="C538" s="7" t="s">
        <v>48</v>
      </c>
      <c r="D538" s="8" t="str">
        <f>IFERROR(VLOOKUP(C538,产品数据!$B:$D,2,FALSE),"")</f>
        <v>500克/瓶*24瓶/箱</v>
      </c>
      <c r="E538" s="8">
        <v>1</v>
      </c>
      <c r="F538" s="8" t="str">
        <f>IFERROR(VLOOKUP(C538,产品数据!$B:$D,3,FALSE),"")</f>
        <v>瓶</v>
      </c>
      <c r="G538" s="9" t="s">
        <v>125</v>
      </c>
    </row>
    <row r="539" spans="1:7">
      <c r="A539" s="6">
        <f t="shared" si="8"/>
        <v>538</v>
      </c>
      <c r="B539" s="5">
        <v>46092</v>
      </c>
      <c r="C539" s="7" t="s">
        <v>47</v>
      </c>
      <c r="D539" s="8" t="str">
        <f>IFERROR(VLOOKUP(C539,产品数据!$B:$D,2,FALSE),"")</f>
        <v>500克/瓶*24瓶/箱</v>
      </c>
      <c r="E539" s="8">
        <v>1</v>
      </c>
      <c r="F539" s="8" t="str">
        <f>IFERROR(VLOOKUP(C539,产品数据!$B:$D,3,FALSE),"")</f>
        <v>瓶</v>
      </c>
      <c r="G539" s="9" t="s">
        <v>125</v>
      </c>
    </row>
    <row r="540" spans="1:7">
      <c r="A540" s="6">
        <f t="shared" si="8"/>
        <v>539</v>
      </c>
      <c r="B540" s="5">
        <v>46092</v>
      </c>
      <c r="C540" s="7" t="s">
        <v>56</v>
      </c>
      <c r="D540" s="8" t="str">
        <f>IFERROR(VLOOKUP(C540,产品数据!$B:$D,2,FALSE),"")</f>
        <v>178g*50包/箱</v>
      </c>
      <c r="E540" s="8">
        <v>5</v>
      </c>
      <c r="F540" s="8" t="str">
        <f>IFERROR(VLOOKUP(C540,产品数据!$B:$D,3,FALSE),"")</f>
        <v>包</v>
      </c>
      <c r="G540" s="9" t="s">
        <v>125</v>
      </c>
    </row>
    <row r="541" spans="1:7">
      <c r="A541" s="6">
        <f t="shared" si="8"/>
        <v>540</v>
      </c>
      <c r="B541" s="5">
        <v>46092</v>
      </c>
      <c r="C541" s="7" t="s">
        <v>40</v>
      </c>
      <c r="D541" s="8" t="str">
        <f>IFERROR(VLOOKUP(C541,产品数据!$B:$D,2,FALSE),"")</f>
        <v>10kg/包</v>
      </c>
      <c r="E541" s="8">
        <v>2</v>
      </c>
      <c r="F541" s="8" t="str">
        <f>IFERROR(VLOOKUP(C541,产品数据!$B:$D,3,FALSE),"")</f>
        <v>包</v>
      </c>
      <c r="G541" s="9" t="s">
        <v>128</v>
      </c>
    </row>
    <row r="542" spans="1:7">
      <c r="A542" s="6">
        <f t="shared" si="8"/>
        <v>541</v>
      </c>
      <c r="B542" s="5">
        <v>46092</v>
      </c>
      <c r="C542" s="7" t="s">
        <v>39</v>
      </c>
      <c r="D542" s="8" t="str">
        <f>IFERROR(VLOOKUP(C542,产品数据!$B:$D,2,FALSE),"")</f>
        <v>10千克/袋</v>
      </c>
      <c r="E542" s="8">
        <v>2</v>
      </c>
      <c r="F542" s="8" t="str">
        <f>IFERROR(VLOOKUP(C542,产品数据!$B:$D,3,FALSE),"")</f>
        <v>袋</v>
      </c>
      <c r="G542" s="9" t="s">
        <v>127</v>
      </c>
    </row>
    <row r="543" spans="1:7">
      <c r="A543" s="6">
        <f t="shared" si="8"/>
        <v>542</v>
      </c>
      <c r="B543" s="5">
        <v>46092</v>
      </c>
      <c r="C543" s="7" t="s">
        <v>56</v>
      </c>
      <c r="D543" s="8" t="str">
        <f>IFERROR(VLOOKUP(C543,产品数据!$B:$D,2,FALSE),"")</f>
        <v>178g*50包/箱</v>
      </c>
      <c r="E543" s="8">
        <v>5</v>
      </c>
      <c r="F543" s="8" t="str">
        <f>IFERROR(VLOOKUP(C543,产品数据!$B:$D,3,FALSE),"")</f>
        <v>包</v>
      </c>
      <c r="G543" s="9" t="s">
        <v>127</v>
      </c>
    </row>
    <row r="544" spans="1:7">
      <c r="A544" s="6">
        <f t="shared" si="8"/>
        <v>543</v>
      </c>
      <c r="B544" s="5">
        <v>46092</v>
      </c>
      <c r="C544" s="7" t="s">
        <v>41</v>
      </c>
      <c r="D544" s="8" t="str">
        <f>IFERROR(VLOOKUP(C544,产品数据!$B:$D,2,FALSE),"")</f>
        <v>5l/*4桶/箱</v>
      </c>
      <c r="E544" s="8">
        <v>1</v>
      </c>
      <c r="F544" s="8" t="str">
        <f>IFERROR(VLOOKUP(C544,产品数据!$B:$D,3,FALSE),"")</f>
        <v>桶</v>
      </c>
      <c r="G544" s="9" t="s">
        <v>129</v>
      </c>
    </row>
    <row r="545" spans="1:7">
      <c r="A545" s="6">
        <f t="shared" si="8"/>
        <v>544</v>
      </c>
      <c r="B545" s="5">
        <v>46093</v>
      </c>
      <c r="C545" s="7" t="s">
        <v>39</v>
      </c>
      <c r="D545" s="8" t="str">
        <f>IFERROR(VLOOKUP(C545,产品数据!$B:$D,2,FALSE),"")</f>
        <v>10千克/袋</v>
      </c>
      <c r="E545" s="8">
        <v>2</v>
      </c>
      <c r="F545" s="8" t="str">
        <f>IFERROR(VLOOKUP(C545,产品数据!$B:$D,3,FALSE),"")</f>
        <v>袋</v>
      </c>
      <c r="G545" s="9" t="s">
        <v>127</v>
      </c>
    </row>
    <row r="546" spans="1:7">
      <c r="A546" s="6">
        <f t="shared" si="8"/>
        <v>545</v>
      </c>
      <c r="B546" s="5">
        <v>46093</v>
      </c>
      <c r="C546" s="7" t="s">
        <v>41</v>
      </c>
      <c r="D546" s="8" t="str">
        <f>IFERROR(VLOOKUP(C546,产品数据!$B:$D,2,FALSE),"")</f>
        <v>5l/*4桶/箱</v>
      </c>
      <c r="E546" s="8">
        <v>3</v>
      </c>
      <c r="F546" s="8" t="str">
        <f>IFERROR(VLOOKUP(C546,产品数据!$B:$D,3,FALSE),"")</f>
        <v>桶</v>
      </c>
      <c r="G546" s="9" t="s">
        <v>125</v>
      </c>
    </row>
    <row r="547" spans="1:7">
      <c r="A547" s="6">
        <f t="shared" si="8"/>
        <v>546</v>
      </c>
      <c r="B547" s="5">
        <v>46093</v>
      </c>
      <c r="C547" s="7" t="s">
        <v>44</v>
      </c>
      <c r="D547" s="8" t="str">
        <f>IFERROR(VLOOKUP(C547,产品数据!$B:$D,2,FALSE),"")</f>
        <v>1.9升/瓶*6瓶/箱</v>
      </c>
      <c r="E547" s="8">
        <v>1</v>
      </c>
      <c r="F547" s="8" t="str">
        <f>IFERROR(VLOOKUP(C547,产品数据!$B:$D,3,FALSE),"")</f>
        <v>瓶</v>
      </c>
      <c r="G547" s="9" t="s">
        <v>125</v>
      </c>
    </row>
    <row r="548" spans="1:7">
      <c r="A548" s="6">
        <f t="shared" si="8"/>
        <v>547</v>
      </c>
      <c r="B548" s="5">
        <v>46093</v>
      </c>
      <c r="C548" s="7" t="s">
        <v>42</v>
      </c>
      <c r="D548" s="8" t="str">
        <f>IFERROR(VLOOKUP(C548,产品数据!$B:$D,2,FALSE),"")</f>
        <v>1.68L*6壶</v>
      </c>
      <c r="E548" s="8">
        <v>1</v>
      </c>
      <c r="F548" s="8" t="str">
        <f>IFERROR(VLOOKUP(C548,产品数据!$B:$D,3,FALSE),"")</f>
        <v>壶</v>
      </c>
      <c r="G548" s="9" t="s">
        <v>125</v>
      </c>
    </row>
    <row r="549" spans="1:7">
      <c r="A549" s="6">
        <f t="shared" si="8"/>
        <v>548</v>
      </c>
      <c r="B549" s="5">
        <v>46093</v>
      </c>
      <c r="C549" s="7" t="s">
        <v>57</v>
      </c>
      <c r="D549" s="8" t="str">
        <f>IFERROR(VLOOKUP(C549,产品数据!$B:$D,2,FALSE),"")</f>
        <v>400g*25包/箱</v>
      </c>
      <c r="E549" s="8">
        <v>2</v>
      </c>
      <c r="F549" s="8" t="str">
        <f>IFERROR(VLOOKUP(C549,产品数据!$B:$D,3,FALSE),"")</f>
        <v>包</v>
      </c>
      <c r="G549" s="9" t="s">
        <v>125</v>
      </c>
    </row>
    <row r="550" spans="1:7">
      <c r="A550" s="6">
        <f t="shared" si="8"/>
        <v>549</v>
      </c>
      <c r="B550" s="5">
        <v>46093</v>
      </c>
      <c r="C550" s="7" t="s">
        <v>53</v>
      </c>
      <c r="D550" s="8" t="str">
        <f>IFERROR(VLOOKUP(C550,产品数据!$B:$D,2,FALSE),"")</f>
        <v>2.5L*6桶/箱</v>
      </c>
      <c r="E550" s="8">
        <v>1</v>
      </c>
      <c r="F550" s="8" t="str">
        <f>IFERROR(VLOOKUP(C550,产品数据!$B:$D,3,FALSE),"")</f>
        <v>桶</v>
      </c>
      <c r="G550" s="9" t="s">
        <v>125</v>
      </c>
    </row>
    <row r="551" spans="1:7">
      <c r="A551" s="6">
        <f t="shared" si="8"/>
        <v>550</v>
      </c>
      <c r="B551" s="5">
        <v>46093</v>
      </c>
      <c r="C551" s="7" t="s">
        <v>54</v>
      </c>
      <c r="D551" s="8" t="str">
        <f>IFERROR(VLOOKUP(C551,产品数据!$B:$D,2,FALSE),"")</f>
        <v>1kg*6瓶/箱</v>
      </c>
      <c r="E551" s="8">
        <v>1</v>
      </c>
      <c r="F551" s="8" t="str">
        <f>IFERROR(VLOOKUP(C551,产品数据!$B:$D,3,FALSE),"")</f>
        <v>瓶</v>
      </c>
      <c r="G551" s="9" t="s">
        <v>125</v>
      </c>
    </row>
    <row r="552" spans="1:7">
      <c r="A552" s="6">
        <f t="shared" si="8"/>
        <v>551</v>
      </c>
      <c r="B552" s="5">
        <v>46093</v>
      </c>
      <c r="C552" s="7" t="s">
        <v>52</v>
      </c>
      <c r="D552" s="8" t="str">
        <f>IFERROR(VLOOKUP(C552,产品数据!$B:$D,2,FALSE),"")</f>
        <v>705ml/瓶</v>
      </c>
      <c r="E552" s="8">
        <v>1</v>
      </c>
      <c r="F552" s="8" t="str">
        <f>IFERROR(VLOOKUP(C552,产品数据!$B:$D,3,FALSE),"")</f>
        <v>瓶</v>
      </c>
      <c r="G552" s="9" t="s">
        <v>125</v>
      </c>
    </row>
    <row r="553" spans="1:7">
      <c r="A553" s="6">
        <f t="shared" si="8"/>
        <v>552</v>
      </c>
      <c r="B553" s="5">
        <v>46093</v>
      </c>
      <c r="C553" s="7" t="s">
        <v>63</v>
      </c>
      <c r="D553" s="8" t="str">
        <f>IFERROR(VLOOKUP(C553,产品数据!$B:$D,2,FALSE),"")</f>
        <v>280g/包</v>
      </c>
      <c r="E553" s="8">
        <v>5</v>
      </c>
      <c r="F553" s="8" t="str">
        <f>IFERROR(VLOOKUP(C553,产品数据!$B:$D,3,FALSE),"")</f>
        <v>包</v>
      </c>
      <c r="G553" s="9" t="s">
        <v>125</v>
      </c>
    </row>
    <row r="554" spans="1:7">
      <c r="A554" s="6">
        <f t="shared" si="8"/>
        <v>553</v>
      </c>
      <c r="B554" s="5">
        <v>46094</v>
      </c>
      <c r="C554" s="7" t="s">
        <v>41</v>
      </c>
      <c r="D554" s="8" t="str">
        <f>IFERROR(VLOOKUP(C554,产品数据!$B:$D,2,FALSE),"")</f>
        <v>5l/*4桶/箱</v>
      </c>
      <c r="E554" s="8">
        <v>4</v>
      </c>
      <c r="F554" s="8" t="str">
        <f>IFERROR(VLOOKUP(C554,产品数据!$B:$D,3,FALSE),"")</f>
        <v>桶</v>
      </c>
      <c r="G554" s="9" t="s">
        <v>125</v>
      </c>
    </row>
    <row r="555" spans="1:7">
      <c r="A555" s="6">
        <f t="shared" si="8"/>
        <v>554</v>
      </c>
      <c r="B555" s="5">
        <v>46094</v>
      </c>
      <c r="C555" s="7" t="s">
        <v>53</v>
      </c>
      <c r="D555" s="8" t="str">
        <f>IFERROR(VLOOKUP(C555,产品数据!$B:$D,2,FALSE),"")</f>
        <v>2.5L*6桶/箱</v>
      </c>
      <c r="E555" s="6">
        <v>2</v>
      </c>
      <c r="F555" s="8" t="str">
        <f>IFERROR(VLOOKUP(C555,产品数据!$B:$D,3,FALSE),"")</f>
        <v>桶</v>
      </c>
      <c r="G555" s="9" t="s">
        <v>125</v>
      </c>
    </row>
    <row r="556" spans="1:7">
      <c r="A556" s="6">
        <f t="shared" si="8"/>
        <v>555</v>
      </c>
      <c r="B556" s="5">
        <v>46094</v>
      </c>
      <c r="C556" s="7" t="s">
        <v>42</v>
      </c>
      <c r="D556" s="8" t="str">
        <f>IFERROR(VLOOKUP(C556,产品数据!$B:$D,2,FALSE),"")</f>
        <v>1.68L*6壶</v>
      </c>
      <c r="E556" s="6">
        <v>2</v>
      </c>
      <c r="F556" s="8" t="str">
        <f>IFERROR(VLOOKUP(C556,产品数据!$B:$D,3,FALSE),"")</f>
        <v>壶</v>
      </c>
      <c r="G556" s="9" t="s">
        <v>125</v>
      </c>
    </row>
    <row r="557" spans="1:7">
      <c r="A557" s="6">
        <f t="shared" si="8"/>
        <v>556</v>
      </c>
      <c r="B557" s="5">
        <v>46094</v>
      </c>
      <c r="C557" s="7" t="s">
        <v>61</v>
      </c>
      <c r="D557" s="8" t="str">
        <f>IFERROR(VLOOKUP(C557,产品数据!$B:$D,2,FALSE),"")</f>
        <v>2.5kg/包</v>
      </c>
      <c r="E557" s="6">
        <v>1</v>
      </c>
      <c r="F557" s="8" t="str">
        <f>IFERROR(VLOOKUP(C557,产品数据!$B:$D,3,FALSE),"")</f>
        <v>包</v>
      </c>
      <c r="G557" s="9" t="s">
        <v>125</v>
      </c>
    </row>
    <row r="558" spans="1:7">
      <c r="A558" s="6">
        <f t="shared" si="8"/>
        <v>557</v>
      </c>
      <c r="B558" s="5">
        <v>46094</v>
      </c>
      <c r="C558" s="7" t="s">
        <v>57</v>
      </c>
      <c r="D558" s="8" t="str">
        <f>IFERROR(VLOOKUP(C558,产品数据!$B:$D,2,FALSE),"")</f>
        <v>400g*25包/箱</v>
      </c>
      <c r="E558" s="6">
        <v>2</v>
      </c>
      <c r="F558" s="8" t="str">
        <f>IFERROR(VLOOKUP(C558,产品数据!$B:$D,3,FALSE),"")</f>
        <v>包</v>
      </c>
      <c r="G558" s="9" t="s">
        <v>125</v>
      </c>
    </row>
    <row r="559" spans="1:7">
      <c r="A559" s="6">
        <f t="shared" si="8"/>
        <v>558</v>
      </c>
      <c r="B559" s="5">
        <v>46094</v>
      </c>
      <c r="C559" s="7" t="s">
        <v>54</v>
      </c>
      <c r="D559" s="8" t="str">
        <f>IFERROR(VLOOKUP(C559,产品数据!$B:$D,2,FALSE),"")</f>
        <v>1kg*6瓶/箱</v>
      </c>
      <c r="E559" s="6">
        <v>1</v>
      </c>
      <c r="F559" s="8" t="str">
        <f>IFERROR(VLOOKUP(C559,产品数据!$B:$D,3,FALSE),"")</f>
        <v>瓶</v>
      </c>
      <c r="G559" s="9" t="s">
        <v>125</v>
      </c>
    </row>
    <row r="560" spans="1:7">
      <c r="A560" s="6">
        <f t="shared" si="8"/>
        <v>559</v>
      </c>
      <c r="B560" s="5">
        <v>46094</v>
      </c>
      <c r="C560" s="7" t="s">
        <v>52</v>
      </c>
      <c r="D560" s="8" t="str">
        <f>IFERROR(VLOOKUP(C560,产品数据!$B:$D,2,FALSE),"")</f>
        <v>705ml/瓶</v>
      </c>
      <c r="E560" s="6">
        <v>1</v>
      </c>
      <c r="F560" s="8" t="str">
        <f>IFERROR(VLOOKUP(C560,产品数据!$B:$D,3,FALSE),"")</f>
        <v>瓶</v>
      </c>
      <c r="G560" s="9" t="s">
        <v>125</v>
      </c>
    </row>
    <row r="561" spans="1:7">
      <c r="A561" s="6">
        <f t="shared" si="8"/>
        <v>560</v>
      </c>
      <c r="B561" s="5">
        <v>46094</v>
      </c>
      <c r="C561" s="7" t="s">
        <v>63</v>
      </c>
      <c r="D561" s="8" t="str">
        <f>IFERROR(VLOOKUP(C561,产品数据!$B:$D,2,FALSE),"")</f>
        <v>280g/包</v>
      </c>
      <c r="E561" s="6">
        <v>6</v>
      </c>
      <c r="F561" s="8" t="str">
        <f>IFERROR(VLOOKUP(C561,产品数据!$B:$D,3,FALSE),"")</f>
        <v>包</v>
      </c>
      <c r="G561" s="9" t="s">
        <v>125</v>
      </c>
    </row>
    <row r="562" spans="1:7">
      <c r="A562" s="6">
        <f t="shared" si="8"/>
        <v>561</v>
      </c>
      <c r="B562" s="5">
        <v>46094</v>
      </c>
      <c r="C562" s="7" t="s">
        <v>58</v>
      </c>
      <c r="D562" s="8" t="str">
        <f>IFERROR(VLOOKUP(C562,产品数据!$B:$D,2,FALSE),"")</f>
        <v>200克/包</v>
      </c>
      <c r="E562" s="6">
        <v>2</v>
      </c>
      <c r="F562" s="8" t="str">
        <f>IFERROR(VLOOKUP(C562,产品数据!$B:$D,3,FALSE),"")</f>
        <v>包</v>
      </c>
      <c r="G562" s="9" t="s">
        <v>125</v>
      </c>
    </row>
    <row r="563" spans="1:7">
      <c r="A563" s="6">
        <f t="shared" si="8"/>
        <v>562</v>
      </c>
      <c r="B563" s="5">
        <v>46094</v>
      </c>
      <c r="C563" s="7" t="s">
        <v>59</v>
      </c>
      <c r="D563" s="8" t="str">
        <f>IFERROR(VLOOKUP(C563,产品数据!$B:$D,2,FALSE),"")</f>
        <v>102克/包</v>
      </c>
      <c r="E563" s="6">
        <v>2</v>
      </c>
      <c r="F563" s="8" t="str">
        <f>IFERROR(VLOOKUP(C563,产品数据!$B:$D,3,FALSE),"")</f>
        <v>包</v>
      </c>
      <c r="G563" s="9" t="s">
        <v>125</v>
      </c>
    </row>
    <row r="564" spans="1:7">
      <c r="A564" s="6">
        <f t="shared" si="8"/>
        <v>563</v>
      </c>
      <c r="B564" s="5">
        <v>46094</v>
      </c>
      <c r="C564" s="7" t="s">
        <v>56</v>
      </c>
      <c r="D564" s="8" t="str">
        <f>IFERROR(VLOOKUP(C564,产品数据!$B:$D,2,FALSE),"")</f>
        <v>178g*50包/箱</v>
      </c>
      <c r="E564" s="6">
        <v>5</v>
      </c>
      <c r="F564" s="8" t="str">
        <f>IFERROR(VLOOKUP(C564,产品数据!$B:$D,3,FALSE),"")</f>
        <v>包</v>
      </c>
      <c r="G564" s="9" t="s">
        <v>125</v>
      </c>
    </row>
    <row r="565" spans="1:7">
      <c r="A565" s="6">
        <f t="shared" si="8"/>
        <v>564</v>
      </c>
      <c r="B565" s="5">
        <v>46094</v>
      </c>
      <c r="C565" s="7" t="s">
        <v>39</v>
      </c>
      <c r="D565" s="8" t="str">
        <f>IFERROR(VLOOKUP(C565,产品数据!$B:$D,2,FALSE),"")</f>
        <v>10千克/袋</v>
      </c>
      <c r="E565" s="6">
        <v>2</v>
      </c>
      <c r="F565" s="8" t="str">
        <f>IFERROR(VLOOKUP(C565,产品数据!$B:$D,3,FALSE),"")</f>
        <v>袋</v>
      </c>
      <c r="G565" s="6" t="s">
        <v>127</v>
      </c>
    </row>
    <row r="566" spans="1:7">
      <c r="A566" s="6">
        <f t="shared" si="8"/>
        <v>565</v>
      </c>
      <c r="B566" s="5">
        <v>46097</v>
      </c>
      <c r="C566" s="7" t="s">
        <v>41</v>
      </c>
      <c r="D566" s="8" t="str">
        <f>IFERROR(VLOOKUP(C566,产品数据!$B:$D,2,FALSE),"")</f>
        <v>5l/*4桶/箱</v>
      </c>
      <c r="E566" s="6">
        <v>4</v>
      </c>
      <c r="F566" s="8" t="str">
        <f>IFERROR(VLOOKUP(C566,产品数据!$B:$D,3,FALSE),"")</f>
        <v>桶</v>
      </c>
      <c r="G566" s="6" t="s">
        <v>125</v>
      </c>
    </row>
    <row r="567" spans="1:7">
      <c r="A567" s="6">
        <f t="shared" si="8"/>
        <v>566</v>
      </c>
      <c r="B567" s="5">
        <v>46097</v>
      </c>
      <c r="C567" s="7" t="s">
        <v>42</v>
      </c>
      <c r="D567" s="8" t="str">
        <f>IFERROR(VLOOKUP(C567,产品数据!$B:$D,2,FALSE),"")</f>
        <v>1.68L*6壶</v>
      </c>
      <c r="E567" s="6">
        <v>1</v>
      </c>
      <c r="F567" s="8" t="str">
        <f>IFERROR(VLOOKUP(C567,产品数据!$B:$D,3,FALSE),"")</f>
        <v>壶</v>
      </c>
      <c r="G567" s="6" t="s">
        <v>125</v>
      </c>
    </row>
    <row r="568" spans="1:7">
      <c r="A568" s="6">
        <f t="shared" si="8"/>
        <v>567</v>
      </c>
      <c r="B568" s="5">
        <v>46097</v>
      </c>
      <c r="C568" s="7" t="s">
        <v>45</v>
      </c>
      <c r="D568" s="8" t="str">
        <f>IFERROR(VLOOKUP(C568,产品数据!$B:$D,2,FALSE),"")</f>
        <v>1.9kg/瓶</v>
      </c>
      <c r="E568" s="6">
        <v>1</v>
      </c>
      <c r="F568" s="8" t="str">
        <f>IFERROR(VLOOKUP(C568,产品数据!$B:$D,3,FALSE),"")</f>
        <v>瓶</v>
      </c>
      <c r="G568" s="6" t="s">
        <v>125</v>
      </c>
    </row>
    <row r="569" spans="1:7">
      <c r="A569" s="6">
        <f t="shared" si="8"/>
        <v>568</v>
      </c>
      <c r="B569" s="5">
        <v>46097</v>
      </c>
      <c r="C569" s="7" t="s">
        <v>53</v>
      </c>
      <c r="D569" s="8" t="str">
        <f>IFERROR(VLOOKUP(C569,产品数据!$B:$D,2,FALSE),"")</f>
        <v>2.5L*6桶/箱</v>
      </c>
      <c r="E569" s="6">
        <v>1</v>
      </c>
      <c r="F569" s="8" t="str">
        <f>IFERROR(VLOOKUP(C569,产品数据!$B:$D,3,FALSE),"")</f>
        <v>桶</v>
      </c>
      <c r="G569" s="6" t="s">
        <v>125</v>
      </c>
    </row>
    <row r="570" spans="1:7">
      <c r="A570" s="6">
        <f t="shared" si="8"/>
        <v>569</v>
      </c>
      <c r="B570" s="5">
        <v>46097</v>
      </c>
      <c r="C570" s="7" t="s">
        <v>63</v>
      </c>
      <c r="D570" s="8" t="str">
        <f>IFERROR(VLOOKUP(C570,产品数据!$B:$D,2,FALSE),"")</f>
        <v>280g/包</v>
      </c>
      <c r="E570" s="6">
        <v>5</v>
      </c>
      <c r="F570" s="8" t="str">
        <f>IFERROR(VLOOKUP(C570,产品数据!$B:$D,3,FALSE),"")</f>
        <v>包</v>
      </c>
      <c r="G570" s="6" t="s">
        <v>125</v>
      </c>
    </row>
    <row r="571" spans="1:7">
      <c r="A571" s="6">
        <f t="shared" si="8"/>
        <v>570</v>
      </c>
      <c r="B571" s="5">
        <v>46097</v>
      </c>
      <c r="C571" s="7" t="s">
        <v>57</v>
      </c>
      <c r="D571" s="8" t="str">
        <f>IFERROR(VLOOKUP(C571,产品数据!$B:$D,2,FALSE),"")</f>
        <v>400g*25包/箱</v>
      </c>
      <c r="E571" s="6">
        <v>2</v>
      </c>
      <c r="F571" s="8" t="str">
        <f>IFERROR(VLOOKUP(C571,产品数据!$B:$D,3,FALSE),"")</f>
        <v>包</v>
      </c>
      <c r="G571" s="6" t="s">
        <v>125</v>
      </c>
    </row>
    <row r="572" spans="1:7">
      <c r="A572" s="6">
        <f t="shared" si="8"/>
        <v>571</v>
      </c>
      <c r="B572" s="5">
        <v>46097</v>
      </c>
      <c r="C572" s="7" t="s">
        <v>54</v>
      </c>
      <c r="D572" s="8" t="str">
        <f>IFERROR(VLOOKUP(C572,产品数据!$B:$D,2,FALSE),"")</f>
        <v>1kg*6瓶/箱</v>
      </c>
      <c r="E572" s="6">
        <v>1</v>
      </c>
      <c r="F572" s="8" t="str">
        <f>IFERROR(VLOOKUP(C572,产品数据!$B:$D,3,FALSE),"")</f>
        <v>瓶</v>
      </c>
      <c r="G572" s="6" t="s">
        <v>125</v>
      </c>
    </row>
    <row r="573" spans="1:7">
      <c r="A573" s="6">
        <f t="shared" si="8"/>
        <v>572</v>
      </c>
      <c r="B573" s="5">
        <v>46097</v>
      </c>
      <c r="C573" s="7" t="s">
        <v>52</v>
      </c>
      <c r="D573" s="8" t="str">
        <f>IFERROR(VLOOKUP(C573,产品数据!$B:$D,2,FALSE),"")</f>
        <v>705ml/瓶</v>
      </c>
      <c r="E573" s="6">
        <v>1</v>
      </c>
      <c r="F573" s="8" t="str">
        <f>IFERROR(VLOOKUP(C573,产品数据!$B:$D,3,FALSE),"")</f>
        <v>瓶</v>
      </c>
      <c r="G573" s="6" t="s">
        <v>125</v>
      </c>
    </row>
    <row r="574" spans="1:7">
      <c r="A574" s="6">
        <f t="shared" si="8"/>
        <v>573</v>
      </c>
      <c r="B574" s="5">
        <v>46097</v>
      </c>
      <c r="C574" s="7" t="s">
        <v>50</v>
      </c>
      <c r="D574" s="8" t="str">
        <f>IFERROR(VLOOKUP(C574,产品数据!$B:$D,2,FALSE),"")</f>
        <v>2kg/包*6包/箱</v>
      </c>
      <c r="E574" s="6">
        <v>1</v>
      </c>
      <c r="F574" s="8" t="str">
        <f>IFERROR(VLOOKUP(C574,产品数据!$B:$D,3,FALSE),"")</f>
        <v>包</v>
      </c>
      <c r="G574" s="6" t="s">
        <v>125</v>
      </c>
    </row>
    <row r="575" spans="1:7">
      <c r="A575" s="6">
        <f t="shared" si="8"/>
        <v>574</v>
      </c>
      <c r="B575" s="5">
        <v>46097</v>
      </c>
      <c r="C575" s="7" t="s">
        <v>41</v>
      </c>
      <c r="D575" s="8" t="str">
        <f>IFERROR(VLOOKUP(C575,产品数据!$B:$D,2,FALSE),"")</f>
        <v>5l/*4桶/箱</v>
      </c>
      <c r="E575" s="6">
        <v>2</v>
      </c>
      <c r="F575" s="8" t="str">
        <f>IFERROR(VLOOKUP(C575,产品数据!$B:$D,3,FALSE),"")</f>
        <v>桶</v>
      </c>
      <c r="G575" s="6" t="s">
        <v>126</v>
      </c>
    </row>
    <row r="576" spans="1:7">
      <c r="A576" s="6">
        <f t="shared" si="8"/>
        <v>575</v>
      </c>
      <c r="B576" s="5">
        <v>46097</v>
      </c>
      <c r="C576" s="7" t="s">
        <v>57</v>
      </c>
      <c r="D576" s="8" t="str">
        <f>IFERROR(VLOOKUP(C576,产品数据!$B:$D,2,FALSE),"")</f>
        <v>400g*25包/箱</v>
      </c>
      <c r="E576" s="6">
        <v>2</v>
      </c>
      <c r="F576" s="8" t="str">
        <f>IFERROR(VLOOKUP(C576,产品数据!$B:$D,3,FALSE),"")</f>
        <v>包</v>
      </c>
      <c r="G576" s="6" t="s">
        <v>126</v>
      </c>
    </row>
    <row r="577" spans="1:7">
      <c r="A577" s="6">
        <f t="shared" si="8"/>
        <v>576</v>
      </c>
      <c r="B577" s="5">
        <v>46097</v>
      </c>
      <c r="C577" s="7" t="s">
        <v>42</v>
      </c>
      <c r="D577" s="8" t="str">
        <f>IFERROR(VLOOKUP(C577,产品数据!$B:$D,2,FALSE),"")</f>
        <v>1.68L*6壶</v>
      </c>
      <c r="E577" s="6">
        <v>1</v>
      </c>
      <c r="F577" s="8" t="str">
        <f>IFERROR(VLOOKUP(C577,产品数据!$B:$D,3,FALSE),"")</f>
        <v>壶</v>
      </c>
      <c r="G577" s="6" t="s">
        <v>126</v>
      </c>
    </row>
    <row r="578" spans="1:7">
      <c r="A578" s="6">
        <f t="shared" ref="A578:A599" si="9">ROW()-1</f>
        <v>577</v>
      </c>
      <c r="B578" s="5">
        <v>46097</v>
      </c>
      <c r="C578" s="7" t="s">
        <v>43</v>
      </c>
      <c r="D578" s="8" t="str">
        <f>IFERROR(VLOOKUP(C578,产品数据!$B:$D,2,FALSE),"")</f>
        <v>1.9升/瓶*6瓶/箱</v>
      </c>
      <c r="E578" s="6">
        <v>1</v>
      </c>
      <c r="F578" s="8" t="str">
        <f>IFERROR(VLOOKUP(C578,产品数据!$B:$D,3,FALSE),"")</f>
        <v>瓶</v>
      </c>
      <c r="G578" s="6" t="s">
        <v>126</v>
      </c>
    </row>
    <row r="579" spans="1:7">
      <c r="A579" s="6">
        <f t="shared" si="9"/>
        <v>578</v>
      </c>
      <c r="B579" s="5">
        <v>46097</v>
      </c>
      <c r="C579" s="7" t="s">
        <v>53</v>
      </c>
      <c r="D579" s="8" t="str">
        <f>IFERROR(VLOOKUP(C579,产品数据!$B:$D,2,FALSE),"")</f>
        <v>2.5L*6桶/箱</v>
      </c>
      <c r="E579" s="6">
        <v>1</v>
      </c>
      <c r="F579" s="8" t="str">
        <f>IFERROR(VLOOKUP(C579,产品数据!$B:$D,3,FALSE),"")</f>
        <v>桶</v>
      </c>
      <c r="G579" s="6" t="s">
        <v>126</v>
      </c>
    </row>
    <row r="580" spans="1:7">
      <c r="A580" s="6">
        <f t="shared" si="9"/>
        <v>579</v>
      </c>
      <c r="B580" s="5">
        <v>46097</v>
      </c>
      <c r="C580" s="7" t="s">
        <v>40</v>
      </c>
      <c r="D580" s="8" t="str">
        <f>IFERROR(VLOOKUP(C580,产品数据!$B:$D,2,FALSE),"")</f>
        <v>10kg/包</v>
      </c>
      <c r="E580" s="6">
        <v>4</v>
      </c>
      <c r="F580" s="8" t="str">
        <f>IFERROR(VLOOKUP(C580,产品数据!$B:$D,3,FALSE),"")</f>
        <v>包</v>
      </c>
      <c r="G580" s="6" t="s">
        <v>128</v>
      </c>
    </row>
    <row r="581" spans="1:7">
      <c r="A581" s="6">
        <f t="shared" si="9"/>
        <v>580</v>
      </c>
      <c r="B581" s="5">
        <v>46097</v>
      </c>
      <c r="C581" s="7" t="s">
        <v>55</v>
      </c>
      <c r="D581" s="8" t="str">
        <f>IFERROR(VLOOKUP(C581,产品数据!$B:$D,2,FALSE),"")</f>
        <v>1升*12瓶/箱</v>
      </c>
      <c r="E581" s="6">
        <v>1</v>
      </c>
      <c r="F581" s="8" t="str">
        <f>IFERROR(VLOOKUP(C581,产品数据!$B:$D,3,FALSE),"")</f>
        <v>瓶</v>
      </c>
      <c r="G581" s="6" t="s">
        <v>128</v>
      </c>
    </row>
    <row r="582" spans="1:7">
      <c r="A582" s="6">
        <f t="shared" si="9"/>
        <v>581</v>
      </c>
      <c r="B582" s="5">
        <v>46097</v>
      </c>
      <c r="C582" s="7" t="s">
        <v>54</v>
      </c>
      <c r="D582" s="8" t="str">
        <f>IFERROR(VLOOKUP(C582,产品数据!$B:$D,2,FALSE),"")</f>
        <v>1kg*6瓶/箱</v>
      </c>
      <c r="E582" s="6">
        <v>1</v>
      </c>
      <c r="F582" s="8" t="str">
        <f>IFERROR(VLOOKUP(C582,产品数据!$B:$D,3,FALSE),"")</f>
        <v>瓶</v>
      </c>
      <c r="G582" s="6" t="s">
        <v>128</v>
      </c>
    </row>
    <row r="583" spans="1:7">
      <c r="A583" s="6">
        <f t="shared" si="9"/>
        <v>582</v>
      </c>
      <c r="B583" s="5">
        <v>46097</v>
      </c>
      <c r="C583" s="7" t="s">
        <v>57</v>
      </c>
      <c r="D583" s="8" t="str">
        <f>IFERROR(VLOOKUP(C583,产品数据!$B:$D,2,FALSE),"")</f>
        <v>400g*25包/箱</v>
      </c>
      <c r="E583" s="6">
        <v>1</v>
      </c>
      <c r="F583" s="8" t="str">
        <f>IFERROR(VLOOKUP(C583,产品数据!$B:$D,3,FALSE),"")</f>
        <v>包</v>
      </c>
      <c r="G583" s="6" t="s">
        <v>128</v>
      </c>
    </row>
    <row r="584" spans="1:7">
      <c r="A584" s="6">
        <f t="shared" si="9"/>
        <v>583</v>
      </c>
      <c r="B584" s="5">
        <v>46097</v>
      </c>
      <c r="C584" s="7" t="s">
        <v>59</v>
      </c>
      <c r="D584" s="8" t="str">
        <f>IFERROR(VLOOKUP(C584,产品数据!$B:$D,2,FALSE),"")</f>
        <v>102克/包</v>
      </c>
      <c r="E584" s="6">
        <v>1</v>
      </c>
      <c r="F584" s="8" t="str">
        <f>IFERROR(VLOOKUP(C584,产品数据!$B:$D,3,FALSE),"")</f>
        <v>包</v>
      </c>
      <c r="G584" s="6" t="s">
        <v>128</v>
      </c>
    </row>
    <row r="585" spans="1:7">
      <c r="A585" s="6">
        <f t="shared" si="9"/>
        <v>584</v>
      </c>
      <c r="B585" s="5">
        <v>46097</v>
      </c>
      <c r="C585" s="7" t="s">
        <v>39</v>
      </c>
      <c r="D585" s="8" t="str">
        <f>IFERROR(VLOOKUP(C585,产品数据!$B:$D,2,FALSE),"")</f>
        <v>10千克/袋</v>
      </c>
      <c r="E585" s="6">
        <v>3</v>
      </c>
      <c r="F585" s="8" t="str">
        <f>IFERROR(VLOOKUP(C585,产品数据!$B:$D,3,FALSE),"")</f>
        <v>袋</v>
      </c>
      <c r="G585" s="6" t="s">
        <v>127</v>
      </c>
    </row>
    <row r="586" spans="1:7">
      <c r="A586" s="6">
        <f t="shared" si="9"/>
        <v>585</v>
      </c>
      <c r="B586" s="5">
        <v>46098</v>
      </c>
      <c r="C586" s="7" t="s">
        <v>41</v>
      </c>
      <c r="D586" s="8" t="str">
        <f>IFERROR(VLOOKUP(C586,产品数据!$B:$D,2,FALSE),"")</f>
        <v>5l/*4桶/箱</v>
      </c>
      <c r="E586" s="6">
        <v>4</v>
      </c>
      <c r="F586" s="8" t="str">
        <f>IFERROR(VLOOKUP(C586,产品数据!$B:$D,3,FALSE),"")</f>
        <v>桶</v>
      </c>
      <c r="G586" s="6" t="s">
        <v>125</v>
      </c>
    </row>
    <row r="587" spans="1:7">
      <c r="A587" s="6">
        <f t="shared" si="9"/>
        <v>586</v>
      </c>
      <c r="B587" s="5">
        <v>46098</v>
      </c>
      <c r="C587" s="7" t="s">
        <v>53</v>
      </c>
      <c r="D587" s="8" t="str">
        <f>IFERROR(VLOOKUP(C587,产品数据!$B:$D,2,FALSE),"")</f>
        <v>2.5L*6桶/箱</v>
      </c>
      <c r="E587" s="6">
        <v>2</v>
      </c>
      <c r="F587" s="8" t="str">
        <f>IFERROR(VLOOKUP(C587,产品数据!$B:$D,3,FALSE),"")</f>
        <v>桶</v>
      </c>
      <c r="G587" s="6" t="s">
        <v>125</v>
      </c>
    </row>
    <row r="588" spans="1:7">
      <c r="A588" s="6">
        <f t="shared" si="9"/>
        <v>587</v>
      </c>
      <c r="B588" s="5">
        <v>46098</v>
      </c>
      <c r="C588" s="7" t="s">
        <v>42</v>
      </c>
      <c r="D588" s="8" t="str">
        <f>IFERROR(VLOOKUP(C588,产品数据!$B:$D,2,FALSE),"")</f>
        <v>1.68L*6壶</v>
      </c>
      <c r="E588" s="6">
        <v>1</v>
      </c>
      <c r="F588" s="8" t="str">
        <f>IFERROR(VLOOKUP(C588,产品数据!$B:$D,3,FALSE),"")</f>
        <v>壶</v>
      </c>
      <c r="G588" s="6" t="s">
        <v>125</v>
      </c>
    </row>
    <row r="589" spans="1:7">
      <c r="A589" s="6">
        <f t="shared" si="9"/>
        <v>588</v>
      </c>
      <c r="B589" s="5">
        <v>46098</v>
      </c>
      <c r="C589" s="7" t="s">
        <v>61</v>
      </c>
      <c r="D589" s="8" t="str">
        <f>IFERROR(VLOOKUP(C589,产品数据!$B:$D,2,FALSE),"")</f>
        <v>2.5kg/包</v>
      </c>
      <c r="E589" s="6">
        <v>1</v>
      </c>
      <c r="F589" s="8" t="str">
        <f>IFERROR(VLOOKUP(C589,产品数据!$B:$D,3,FALSE),"")</f>
        <v>包</v>
      </c>
      <c r="G589" s="6" t="s">
        <v>125</v>
      </c>
    </row>
    <row r="590" spans="1:7">
      <c r="A590" s="6">
        <f t="shared" si="9"/>
        <v>589</v>
      </c>
      <c r="B590" s="5">
        <v>46098</v>
      </c>
      <c r="C590" s="7" t="s">
        <v>43</v>
      </c>
      <c r="D590" s="8" t="str">
        <f>IFERROR(VLOOKUP(C590,产品数据!$B:$D,2,FALSE),"")</f>
        <v>1.9升/瓶*6瓶/箱</v>
      </c>
      <c r="E590" s="6">
        <v>1</v>
      </c>
      <c r="F590" s="8" t="str">
        <f>IFERROR(VLOOKUP(C590,产品数据!$B:$D,3,FALSE),"")</f>
        <v>瓶</v>
      </c>
      <c r="G590" s="6" t="s">
        <v>125</v>
      </c>
    </row>
    <row r="591" spans="1:7">
      <c r="A591" s="6">
        <f t="shared" si="9"/>
        <v>590</v>
      </c>
      <c r="B591" s="5">
        <v>46098</v>
      </c>
      <c r="C591" s="7" t="s">
        <v>63</v>
      </c>
      <c r="D591" s="8" t="str">
        <f>IFERROR(VLOOKUP(C591,产品数据!$B:$D,2,FALSE),"")</f>
        <v>280g/包</v>
      </c>
      <c r="E591" s="6">
        <v>10</v>
      </c>
      <c r="F591" s="8" t="str">
        <f>IFERROR(VLOOKUP(C591,产品数据!$B:$D,3,FALSE),"")</f>
        <v>包</v>
      </c>
      <c r="G591" s="6" t="s">
        <v>125</v>
      </c>
    </row>
    <row r="592" spans="1:7">
      <c r="A592" s="6">
        <f t="shared" si="9"/>
        <v>591</v>
      </c>
      <c r="B592" s="5">
        <v>46098</v>
      </c>
      <c r="C592" s="7" t="s">
        <v>57</v>
      </c>
      <c r="D592" s="8" t="str">
        <f>IFERROR(VLOOKUP(C592,产品数据!$B:$D,2,FALSE),"")</f>
        <v>400g*25包/箱</v>
      </c>
      <c r="E592" s="6">
        <v>2</v>
      </c>
      <c r="F592" s="8" t="str">
        <f>IFERROR(VLOOKUP(C592,产品数据!$B:$D,3,FALSE),"")</f>
        <v>包</v>
      </c>
      <c r="G592" s="6" t="s">
        <v>125</v>
      </c>
    </row>
    <row r="593" spans="1:7">
      <c r="A593" s="6">
        <f t="shared" si="9"/>
        <v>592</v>
      </c>
      <c r="B593" s="5">
        <v>46098</v>
      </c>
      <c r="C593" s="7" t="s">
        <v>43</v>
      </c>
      <c r="D593" s="8" t="str">
        <f>IFERROR(VLOOKUP(C593,产品数据!$B:$D,2,FALSE),"")</f>
        <v>1.9升/瓶*6瓶/箱</v>
      </c>
      <c r="E593" s="6">
        <v>1</v>
      </c>
      <c r="F593" s="8" t="str">
        <f>IFERROR(VLOOKUP(C593,产品数据!$B:$D,3,FALSE),"")</f>
        <v>瓶</v>
      </c>
      <c r="G593" s="6" t="s">
        <v>129</v>
      </c>
    </row>
    <row r="594" spans="1:7">
      <c r="A594" s="6">
        <f t="shared" si="9"/>
        <v>593</v>
      </c>
      <c r="B594" s="5">
        <v>46098</v>
      </c>
      <c r="C594" s="7" t="s">
        <v>54</v>
      </c>
      <c r="D594" s="8" t="str">
        <f>IFERROR(VLOOKUP(C594,产品数据!$B:$D,2,FALSE),"")</f>
        <v>1kg*6瓶/箱</v>
      </c>
      <c r="E594" s="6">
        <v>1</v>
      </c>
      <c r="F594" s="8" t="str">
        <f>IFERROR(VLOOKUP(C594,产品数据!$B:$D,3,FALSE),"")</f>
        <v>瓶</v>
      </c>
      <c r="G594" s="6" t="s">
        <v>129</v>
      </c>
    </row>
    <row r="595" spans="1:7">
      <c r="A595" s="6">
        <f t="shared" si="9"/>
        <v>594</v>
      </c>
      <c r="B595" s="5">
        <v>46098</v>
      </c>
      <c r="C595" s="7" t="s">
        <v>41</v>
      </c>
      <c r="D595" s="8" t="str">
        <f>IFERROR(VLOOKUP(C595,产品数据!$B:$D,2,FALSE),"")</f>
        <v>5l/*4桶/箱</v>
      </c>
      <c r="E595" s="6">
        <v>1</v>
      </c>
      <c r="F595" s="8" t="str">
        <f>IFERROR(VLOOKUP(C595,产品数据!$B:$D,3,FALSE),"")</f>
        <v>桶</v>
      </c>
      <c r="G595" s="6" t="s">
        <v>129</v>
      </c>
    </row>
    <row r="596" spans="1:7">
      <c r="A596" s="6">
        <f t="shared" si="9"/>
        <v>595</v>
      </c>
      <c r="B596" s="5">
        <v>46098</v>
      </c>
      <c r="C596" s="7" t="s">
        <v>56</v>
      </c>
      <c r="D596" s="8" t="str">
        <f>IFERROR(VLOOKUP(C596,产品数据!$B:$D,2,FALSE),"")</f>
        <v>178g*50包/箱</v>
      </c>
      <c r="E596" s="6">
        <v>5</v>
      </c>
      <c r="F596" s="8" t="str">
        <f>IFERROR(VLOOKUP(C596,产品数据!$B:$D,3,FALSE),"")</f>
        <v>包</v>
      </c>
      <c r="G596" s="6" t="s">
        <v>129</v>
      </c>
    </row>
    <row r="597" spans="1:7">
      <c r="A597" s="6">
        <f t="shared" si="9"/>
        <v>596</v>
      </c>
      <c r="B597" s="5">
        <v>46098</v>
      </c>
      <c r="C597" s="7" t="s">
        <v>40</v>
      </c>
      <c r="D597" s="8" t="str">
        <f>IFERROR(VLOOKUP(C597,产品数据!$B:$D,2,FALSE),"")</f>
        <v>10kg/包</v>
      </c>
      <c r="E597" s="6">
        <v>1</v>
      </c>
      <c r="F597" s="8" t="str">
        <f>IFERROR(VLOOKUP(C597,产品数据!$B:$D,3,FALSE),"")</f>
        <v>包</v>
      </c>
      <c r="G597" s="6" t="s">
        <v>128</v>
      </c>
    </row>
    <row r="598" spans="1:7">
      <c r="A598" s="6">
        <f t="shared" si="9"/>
        <v>597</v>
      </c>
      <c r="B598" s="5">
        <v>46098</v>
      </c>
      <c r="C598" s="7" t="s">
        <v>39</v>
      </c>
      <c r="D598" s="8" t="str">
        <f>IFERROR(VLOOKUP(C598,产品数据!$B:$D,2,FALSE),"")</f>
        <v>10千克/袋</v>
      </c>
      <c r="E598" s="6">
        <v>2</v>
      </c>
      <c r="F598" s="8" t="str">
        <f>IFERROR(VLOOKUP(C598,产品数据!$B:$D,3,FALSE),"")</f>
        <v>袋</v>
      </c>
      <c r="G598" s="6" t="s">
        <v>127</v>
      </c>
    </row>
    <row r="599" spans="1:7">
      <c r="A599" s="6">
        <f t="shared" si="9"/>
        <v>598</v>
      </c>
      <c r="B599" s="5">
        <v>46099</v>
      </c>
      <c r="C599" s="7" t="s">
        <v>41</v>
      </c>
      <c r="D599" s="8" t="str">
        <f>IFERROR(VLOOKUP(C599,产品数据!$B:$D,2,FALSE),"")</f>
        <v>5l/*4桶/箱</v>
      </c>
      <c r="E599" s="6">
        <v>4</v>
      </c>
      <c r="F599" s="8" t="str">
        <f>IFERROR(VLOOKUP(C599,产品数据!$B:$D,3,FALSE),"")</f>
        <v>桶</v>
      </c>
      <c r="G599" s="6" t="s">
        <v>125</v>
      </c>
    </row>
    <row r="600" spans="1:7">
      <c r="A600" s="6"/>
      <c r="B600" s="5">
        <v>46099</v>
      </c>
      <c r="C600" s="7" t="s">
        <v>53</v>
      </c>
      <c r="D600" s="8" t="str">
        <f>IFERROR(VLOOKUP(C600,产品数据!$B:$D,2,FALSE),"")</f>
        <v>2.5L*6桶/箱</v>
      </c>
      <c r="E600" s="6">
        <v>1</v>
      </c>
      <c r="F600" s="8" t="str">
        <f>IFERROR(VLOOKUP(C600,产品数据!$B:$D,3,FALSE),"")</f>
        <v>桶</v>
      </c>
      <c r="G600" s="6" t="s">
        <v>125</v>
      </c>
    </row>
    <row r="601" spans="1:7">
      <c r="A601" s="6"/>
      <c r="B601" s="5">
        <v>46099</v>
      </c>
      <c r="C601" s="7" t="s">
        <v>44</v>
      </c>
      <c r="D601" s="8" t="str">
        <f>IFERROR(VLOOKUP(C601,产品数据!$B:$D,2,FALSE),"")</f>
        <v>1.9升/瓶*6瓶/箱</v>
      </c>
      <c r="E601" s="6">
        <v>1</v>
      </c>
      <c r="F601" s="8" t="str">
        <f>IFERROR(VLOOKUP(C601,产品数据!$B:$D,3,FALSE),"")</f>
        <v>瓶</v>
      </c>
      <c r="G601" s="6" t="s">
        <v>125</v>
      </c>
    </row>
    <row r="602" spans="1:7">
      <c r="A602" s="6"/>
      <c r="B602" s="5">
        <v>46099</v>
      </c>
      <c r="C602" s="7" t="s">
        <v>43</v>
      </c>
      <c r="D602" s="8" t="str">
        <f>IFERROR(VLOOKUP(C602,产品数据!$B:$D,2,FALSE),"")</f>
        <v>1.9升/瓶*6瓶/箱</v>
      </c>
      <c r="E602" s="6">
        <v>1</v>
      </c>
      <c r="F602" s="8" t="str">
        <f>IFERROR(VLOOKUP(C602,产品数据!$B:$D,3,FALSE),"")</f>
        <v>瓶</v>
      </c>
      <c r="G602" s="6" t="s">
        <v>125</v>
      </c>
    </row>
    <row r="603" spans="1:7">
      <c r="A603" s="6"/>
      <c r="B603" s="5">
        <v>46099</v>
      </c>
      <c r="C603" s="7" t="s">
        <v>57</v>
      </c>
      <c r="D603" s="8" t="str">
        <f>IFERROR(VLOOKUP(C603,产品数据!$B:$D,2,FALSE),"")</f>
        <v>400g*25包/箱</v>
      </c>
      <c r="E603" s="6">
        <v>2</v>
      </c>
      <c r="F603" s="8" t="str">
        <f>IFERROR(VLOOKUP(C603,产品数据!$B:$D,3,FALSE),"")</f>
        <v>包</v>
      </c>
      <c r="G603" s="6" t="s">
        <v>125</v>
      </c>
    </row>
    <row r="604" spans="1:7">
      <c r="A604" s="6"/>
      <c r="B604" s="5">
        <v>46099</v>
      </c>
      <c r="C604" s="7" t="s">
        <v>42</v>
      </c>
      <c r="D604" s="8" t="str">
        <f>IFERROR(VLOOKUP(C604,产品数据!$B:$D,2,FALSE),"")</f>
        <v>1.68L*6壶</v>
      </c>
      <c r="E604" s="6">
        <v>1</v>
      </c>
      <c r="F604" s="8" t="str">
        <f>IFERROR(VLOOKUP(C604,产品数据!$B:$D,3,FALSE),"")</f>
        <v>壶</v>
      </c>
      <c r="G604" s="6" t="s">
        <v>125</v>
      </c>
    </row>
    <row r="605" spans="1:7">
      <c r="A605" s="6"/>
      <c r="B605" s="5">
        <v>46099</v>
      </c>
      <c r="C605" s="7" t="s">
        <v>40</v>
      </c>
      <c r="D605" s="8" t="str">
        <f>IFERROR(VLOOKUP(C605,产品数据!$B:$D,2,FALSE),"")</f>
        <v>10kg/包</v>
      </c>
      <c r="E605" s="6">
        <v>2</v>
      </c>
      <c r="F605" s="8" t="str">
        <f>IFERROR(VLOOKUP(C605,产品数据!$B:$D,3,FALSE),"")</f>
        <v>包</v>
      </c>
      <c r="G605" s="6" t="s">
        <v>128</v>
      </c>
    </row>
    <row r="606" spans="1:7">
      <c r="A606" s="6"/>
      <c r="B606" s="5">
        <v>46099</v>
      </c>
      <c r="C606" s="7" t="s">
        <v>39</v>
      </c>
      <c r="D606" s="8" t="str">
        <f>IFERROR(VLOOKUP(C606,产品数据!$B:$D,2,FALSE),"")</f>
        <v>10千克/袋</v>
      </c>
      <c r="E606" s="6">
        <v>3</v>
      </c>
      <c r="F606" s="8" t="str">
        <f>IFERROR(VLOOKUP(C606,产品数据!$B:$D,3,FALSE),"")</f>
        <v>袋</v>
      </c>
      <c r="G606" s="6" t="s">
        <v>127</v>
      </c>
    </row>
    <row r="607" spans="1:7">
      <c r="A607" s="6"/>
      <c r="B607" s="5">
        <v>46100</v>
      </c>
      <c r="C607" s="7" t="s">
        <v>41</v>
      </c>
      <c r="D607" s="8" t="str">
        <f>IFERROR(VLOOKUP(C607,产品数据!$B:$D,2,FALSE),"")</f>
        <v>5l/*4桶/箱</v>
      </c>
      <c r="E607" s="6">
        <v>4</v>
      </c>
      <c r="F607" s="8" t="str">
        <f>IFERROR(VLOOKUP(C607,产品数据!$B:$D,3,FALSE),"")</f>
        <v>桶</v>
      </c>
      <c r="G607" s="6" t="s">
        <v>125</v>
      </c>
    </row>
    <row r="608" spans="1:7">
      <c r="A608" s="6"/>
      <c r="B608" s="5">
        <v>46100</v>
      </c>
      <c r="C608" s="7" t="s">
        <v>42</v>
      </c>
      <c r="D608" s="8" t="str">
        <f>IFERROR(VLOOKUP(C608,产品数据!$B:$D,2,FALSE),"")</f>
        <v>1.68L*6壶</v>
      </c>
      <c r="E608" s="6">
        <v>1</v>
      </c>
      <c r="F608" s="8" t="str">
        <f>IFERROR(VLOOKUP(C608,产品数据!$B:$D,3,FALSE),"")</f>
        <v>壶</v>
      </c>
      <c r="G608" s="6" t="s">
        <v>125</v>
      </c>
    </row>
    <row r="609" spans="1:7">
      <c r="A609" s="6"/>
      <c r="B609" s="5">
        <v>46100</v>
      </c>
      <c r="C609" s="7" t="s">
        <v>54</v>
      </c>
      <c r="D609" s="8" t="str">
        <f>IFERROR(VLOOKUP(C609,产品数据!$B:$D,2,FALSE),"")</f>
        <v>1kg*6瓶/箱</v>
      </c>
      <c r="E609" s="6">
        <v>1</v>
      </c>
      <c r="F609" s="8" t="str">
        <f>IFERROR(VLOOKUP(C609,产品数据!$B:$D,3,FALSE),"")</f>
        <v>瓶</v>
      </c>
      <c r="G609" s="6" t="s">
        <v>125</v>
      </c>
    </row>
    <row r="610" spans="1:7">
      <c r="A610" s="6"/>
      <c r="B610" s="5">
        <v>46100</v>
      </c>
      <c r="C610" s="7" t="s">
        <v>52</v>
      </c>
      <c r="D610" s="8" t="str">
        <f>IFERROR(VLOOKUP(C610,产品数据!$B:$D,2,FALSE),"")</f>
        <v>705ml/瓶</v>
      </c>
      <c r="E610" s="6">
        <v>1</v>
      </c>
      <c r="F610" s="8" t="str">
        <f>IFERROR(VLOOKUP(C610,产品数据!$B:$D,3,FALSE),"")</f>
        <v>瓶</v>
      </c>
      <c r="G610" s="6" t="s">
        <v>125</v>
      </c>
    </row>
    <row r="611" spans="1:7">
      <c r="A611" s="6"/>
      <c r="B611" s="5">
        <v>46100</v>
      </c>
      <c r="C611" s="7" t="s">
        <v>57</v>
      </c>
      <c r="D611" s="8" t="str">
        <f>IFERROR(VLOOKUP(C611,产品数据!$B:$D,2,FALSE),"")</f>
        <v>400g*25包/箱</v>
      </c>
      <c r="E611" s="6">
        <v>2</v>
      </c>
      <c r="F611" s="8" t="str">
        <f>IFERROR(VLOOKUP(C611,产品数据!$B:$D,3,FALSE),"")</f>
        <v>包</v>
      </c>
      <c r="G611" s="6" t="s">
        <v>125</v>
      </c>
    </row>
    <row r="612" spans="1:7">
      <c r="A612" s="6"/>
      <c r="B612" s="5">
        <v>46100</v>
      </c>
      <c r="C612" s="7" t="s">
        <v>45</v>
      </c>
      <c r="D612" s="8" t="str">
        <f>IFERROR(VLOOKUP(C612,产品数据!$B:$D,2,FALSE),"")</f>
        <v>1.9kg/瓶</v>
      </c>
      <c r="E612" s="6">
        <v>1</v>
      </c>
      <c r="F612" s="8" t="str">
        <f>IFERROR(VLOOKUP(C612,产品数据!$B:$D,3,FALSE),"")</f>
        <v>瓶</v>
      </c>
      <c r="G612" s="6" t="s">
        <v>125</v>
      </c>
    </row>
    <row r="613" spans="1:7">
      <c r="A613" s="6"/>
      <c r="B613" s="5">
        <v>46100</v>
      </c>
      <c r="C613" s="7" t="s">
        <v>53</v>
      </c>
      <c r="D613" s="8" t="str">
        <f>IFERROR(VLOOKUP(C613,产品数据!$B:$D,2,FALSE),"")</f>
        <v>2.5L*6桶/箱</v>
      </c>
      <c r="E613" s="6">
        <v>1</v>
      </c>
      <c r="F613" s="8" t="str">
        <f>IFERROR(VLOOKUP(C613,产品数据!$B:$D,3,FALSE),"")</f>
        <v>桶</v>
      </c>
      <c r="G613" s="6" t="s">
        <v>125</v>
      </c>
    </row>
    <row r="614" spans="1:7">
      <c r="A614" s="6"/>
      <c r="B614" s="5">
        <v>46100</v>
      </c>
      <c r="C614" s="7" t="s">
        <v>61</v>
      </c>
      <c r="D614" s="8" t="str">
        <f>IFERROR(VLOOKUP(C614,产品数据!$B:$D,2,FALSE),"")</f>
        <v>2.5kg/包</v>
      </c>
      <c r="E614" s="6">
        <v>1</v>
      </c>
      <c r="F614" s="8" t="str">
        <f>IFERROR(VLOOKUP(C614,产品数据!$B:$D,3,FALSE),"")</f>
        <v>包</v>
      </c>
      <c r="G614" s="6" t="s">
        <v>125</v>
      </c>
    </row>
    <row r="615" spans="1:7">
      <c r="A615" s="6"/>
      <c r="B615" s="5">
        <v>46100</v>
      </c>
      <c r="C615" s="7" t="s">
        <v>63</v>
      </c>
      <c r="D615" s="8" t="str">
        <f>IFERROR(VLOOKUP(C615,产品数据!$B:$D,2,FALSE),"")</f>
        <v>280g/包</v>
      </c>
      <c r="E615" s="6">
        <v>10</v>
      </c>
      <c r="F615" s="8" t="str">
        <f>IFERROR(VLOOKUP(C615,产品数据!$B:$D,3,FALSE),"")</f>
        <v>包</v>
      </c>
      <c r="G615" s="6" t="s">
        <v>125</v>
      </c>
    </row>
    <row r="616" spans="1:7">
      <c r="A616" s="6"/>
      <c r="B616" s="5">
        <v>46100</v>
      </c>
      <c r="C616" s="7" t="s">
        <v>60</v>
      </c>
      <c r="D616" s="8" t="str">
        <f>IFERROR(VLOOKUP(C616,产品数据!$B:$D,2,FALSE),"")</f>
        <v>150克/包</v>
      </c>
      <c r="E616" s="6">
        <v>2</v>
      </c>
      <c r="F616" s="8" t="str">
        <f>IFERROR(VLOOKUP(C616,产品数据!$B:$D,3,FALSE),"")</f>
        <v>包</v>
      </c>
      <c r="G616" s="6" t="s">
        <v>125</v>
      </c>
    </row>
    <row r="617" spans="1:7">
      <c r="A617" s="6"/>
      <c r="B617" s="5">
        <v>46100</v>
      </c>
      <c r="C617" s="7" t="s">
        <v>39</v>
      </c>
      <c r="D617" s="8" t="str">
        <f>IFERROR(VLOOKUP(C617,产品数据!$B:$D,2,FALSE),"")</f>
        <v>10千克/袋</v>
      </c>
      <c r="E617" s="6">
        <v>3</v>
      </c>
      <c r="F617" s="8" t="str">
        <f>IFERROR(VLOOKUP(C617,产品数据!$B:$D,3,FALSE),"")</f>
        <v>袋</v>
      </c>
      <c r="G617" s="6" t="s">
        <v>127</v>
      </c>
    </row>
    <row r="618" spans="1:7">
      <c r="A618" s="6"/>
      <c r="B618" s="5">
        <v>46100</v>
      </c>
      <c r="C618" s="7" t="s">
        <v>42</v>
      </c>
      <c r="D618" s="8" t="str">
        <f>IFERROR(VLOOKUP(C618,产品数据!$B:$D,2,FALSE),"")</f>
        <v>1.68L*6壶</v>
      </c>
      <c r="E618" s="6">
        <v>1</v>
      </c>
      <c r="F618" s="8" t="str">
        <f>IFERROR(VLOOKUP(C618,产品数据!$B:$D,3,FALSE),"")</f>
        <v>壶</v>
      </c>
      <c r="G618" s="6" t="s">
        <v>127</v>
      </c>
    </row>
    <row r="619" spans="1:7">
      <c r="A619" s="6"/>
      <c r="B619" s="5">
        <v>46100</v>
      </c>
      <c r="C619" s="7" t="s">
        <v>43</v>
      </c>
      <c r="D619" s="8" t="str">
        <f>IFERROR(VLOOKUP(C619,产品数据!$B:$D,2,FALSE),"")</f>
        <v>1.9升/瓶*6瓶/箱</v>
      </c>
      <c r="E619" s="6">
        <v>1</v>
      </c>
      <c r="F619" s="8" t="str">
        <f>IFERROR(VLOOKUP(C619,产品数据!$B:$D,3,FALSE),"")</f>
        <v>瓶</v>
      </c>
      <c r="G619" s="6" t="s">
        <v>127</v>
      </c>
    </row>
    <row r="620" spans="1:7">
      <c r="A620" s="6"/>
      <c r="B620" s="5">
        <v>46100</v>
      </c>
      <c r="C620" s="7" t="s">
        <v>56</v>
      </c>
      <c r="D620" s="8" t="str">
        <f>IFERROR(VLOOKUP(C620,产品数据!$B:$D,2,FALSE),"")</f>
        <v>178g*50包/箱</v>
      </c>
      <c r="E620" s="6">
        <v>5</v>
      </c>
      <c r="F620" s="8" t="str">
        <f>IFERROR(VLOOKUP(C620,产品数据!$B:$D,3,FALSE),"")</f>
        <v>包</v>
      </c>
      <c r="G620" s="6" t="s">
        <v>127</v>
      </c>
    </row>
    <row r="621" spans="1:7">
      <c r="A621" s="6"/>
      <c r="B621" s="5">
        <v>46100</v>
      </c>
      <c r="C621" s="7" t="s">
        <v>47</v>
      </c>
      <c r="D621" s="8" t="str">
        <f>IFERROR(VLOOKUP(C621,产品数据!$B:$D,2,FALSE),"")</f>
        <v>500克/瓶*24瓶/箱</v>
      </c>
      <c r="E621" s="6">
        <v>2</v>
      </c>
      <c r="F621" s="8" t="str">
        <f>IFERROR(VLOOKUP(C621,产品数据!$B:$D,3,FALSE),"")</f>
        <v>瓶</v>
      </c>
      <c r="G621" s="6" t="s">
        <v>127</v>
      </c>
    </row>
    <row r="622" spans="1:7">
      <c r="A622" s="6"/>
      <c r="B622" s="5">
        <v>46101</v>
      </c>
      <c r="C622" s="7" t="s">
        <v>41</v>
      </c>
      <c r="D622" s="8" t="str">
        <f>IFERROR(VLOOKUP(C622,产品数据!$B:$D,2,FALSE),"")</f>
        <v>5l/*4桶/箱</v>
      </c>
      <c r="E622" s="6">
        <v>4</v>
      </c>
      <c r="F622" s="8" t="str">
        <f>IFERROR(VLOOKUP(C622,产品数据!$B:$D,3,FALSE),"")</f>
        <v>桶</v>
      </c>
      <c r="G622" s="6" t="s">
        <v>125</v>
      </c>
    </row>
    <row r="623" spans="1:7">
      <c r="A623" s="6"/>
      <c r="B623" s="5">
        <v>46101</v>
      </c>
      <c r="C623" s="7" t="s">
        <v>44</v>
      </c>
      <c r="D623" s="8" t="str">
        <f>IFERROR(VLOOKUP(C623,产品数据!$B:$D,2,FALSE),"")</f>
        <v>1.9升/瓶*6瓶/箱</v>
      </c>
      <c r="E623" s="6">
        <v>1</v>
      </c>
      <c r="F623" s="8" t="str">
        <f>IFERROR(VLOOKUP(C623,产品数据!$B:$D,3,FALSE),"")</f>
        <v>瓶</v>
      </c>
      <c r="G623" s="6" t="s">
        <v>125</v>
      </c>
    </row>
    <row r="624" spans="1:7">
      <c r="A624" s="6"/>
      <c r="B624" s="5">
        <v>46101</v>
      </c>
      <c r="C624" s="7" t="s">
        <v>57</v>
      </c>
      <c r="D624" s="8" t="str">
        <f>IFERROR(VLOOKUP(C624,产品数据!$B:$D,2,FALSE),"")</f>
        <v>400g*25包/箱</v>
      </c>
      <c r="E624" s="6">
        <v>2</v>
      </c>
      <c r="F624" s="8" t="str">
        <f>IFERROR(VLOOKUP(C624,产品数据!$B:$D,3,FALSE),"")</f>
        <v>包</v>
      </c>
      <c r="G624" s="6" t="s">
        <v>125</v>
      </c>
    </row>
    <row r="625" spans="1:7">
      <c r="A625" s="6"/>
      <c r="B625" s="5">
        <v>46101</v>
      </c>
      <c r="C625" s="7" t="s">
        <v>42</v>
      </c>
      <c r="D625" s="8" t="str">
        <f>IFERROR(VLOOKUP(C625,产品数据!$B:$D,2,FALSE),"")</f>
        <v>1.68L*6壶</v>
      </c>
      <c r="E625" s="6">
        <v>1</v>
      </c>
      <c r="F625" s="8" t="str">
        <f>IFERROR(VLOOKUP(C625,产品数据!$B:$D,3,FALSE),"")</f>
        <v>壶</v>
      </c>
      <c r="G625" s="6" t="s">
        <v>125</v>
      </c>
    </row>
    <row r="626" spans="1:7">
      <c r="A626" s="6"/>
      <c r="B626" s="5">
        <v>46101</v>
      </c>
      <c r="C626" s="7" t="s">
        <v>53</v>
      </c>
      <c r="D626" s="8" t="str">
        <f>IFERROR(VLOOKUP(C626,产品数据!$B:$D,2,FALSE),"")</f>
        <v>2.5L*6桶/箱</v>
      </c>
      <c r="E626" s="6">
        <v>1</v>
      </c>
      <c r="F626" s="8" t="str">
        <f>IFERROR(VLOOKUP(C626,产品数据!$B:$D,3,FALSE),"")</f>
        <v>桶</v>
      </c>
      <c r="G626" s="6" t="s">
        <v>125</v>
      </c>
    </row>
    <row r="627" spans="1:7">
      <c r="A627" s="6"/>
      <c r="B627" s="5">
        <v>46101</v>
      </c>
      <c r="C627" s="7" t="s">
        <v>54</v>
      </c>
      <c r="D627" s="8" t="str">
        <f>IFERROR(VLOOKUP(C627,产品数据!$B:$D,2,FALSE),"")</f>
        <v>1kg*6瓶/箱</v>
      </c>
      <c r="E627" s="6">
        <v>1</v>
      </c>
      <c r="F627" s="8" t="str">
        <f>IFERROR(VLOOKUP(C627,产品数据!$B:$D,3,FALSE),"")</f>
        <v>瓶</v>
      </c>
      <c r="G627" s="6" t="s">
        <v>125</v>
      </c>
    </row>
    <row r="628" spans="1:7">
      <c r="A628" s="6"/>
      <c r="B628" s="5">
        <v>46101</v>
      </c>
      <c r="C628" s="7" t="s">
        <v>52</v>
      </c>
      <c r="D628" s="8" t="str">
        <f>IFERROR(VLOOKUP(C628,产品数据!$B:$D,2,FALSE),"")</f>
        <v>705ml/瓶</v>
      </c>
      <c r="E628" s="6">
        <v>1</v>
      </c>
      <c r="F628" s="8" t="str">
        <f>IFERROR(VLOOKUP(C628,产品数据!$B:$D,3,FALSE),"")</f>
        <v>瓶</v>
      </c>
      <c r="G628" s="6" t="s">
        <v>125</v>
      </c>
    </row>
    <row r="629" spans="1:7">
      <c r="A629" s="6"/>
      <c r="B629" s="5">
        <v>46101</v>
      </c>
      <c r="C629" s="7" t="s">
        <v>60</v>
      </c>
      <c r="D629" s="8" t="str">
        <f>IFERROR(VLOOKUP(C629,产品数据!$B:$D,2,FALSE),"")</f>
        <v>150克/包</v>
      </c>
      <c r="E629" s="6">
        <v>2</v>
      </c>
      <c r="F629" s="8" t="str">
        <f>IFERROR(VLOOKUP(C629,产品数据!$B:$D,3,FALSE),"")</f>
        <v>包</v>
      </c>
      <c r="G629" s="6" t="s">
        <v>125</v>
      </c>
    </row>
    <row r="630" spans="1:7">
      <c r="A630" s="6"/>
      <c r="B630" s="5">
        <v>46101</v>
      </c>
      <c r="C630" s="7" t="s">
        <v>63</v>
      </c>
      <c r="D630" s="8" t="str">
        <f>IFERROR(VLOOKUP(C630,产品数据!$B:$D,2,FALSE),"")</f>
        <v>280g/包</v>
      </c>
      <c r="E630" s="6">
        <v>6</v>
      </c>
      <c r="F630" s="8" t="str">
        <f>IFERROR(VLOOKUP(C630,产品数据!$B:$D,3,FALSE),"")</f>
        <v>包</v>
      </c>
      <c r="G630" s="6" t="s">
        <v>125</v>
      </c>
    </row>
    <row r="631" spans="1:7">
      <c r="A631" s="6"/>
      <c r="B631" s="5">
        <v>46101</v>
      </c>
      <c r="C631" s="7" t="s">
        <v>48</v>
      </c>
      <c r="D631" s="8" t="str">
        <f>IFERROR(VLOOKUP(C631,产品数据!$B:$D,2,FALSE),"")</f>
        <v>500克/瓶*24瓶/箱</v>
      </c>
      <c r="E631" s="6">
        <v>1</v>
      </c>
      <c r="F631" s="8" t="str">
        <f>IFERROR(VLOOKUP(C631,产品数据!$B:$D,3,FALSE),"")</f>
        <v>瓶</v>
      </c>
      <c r="G631" s="6" t="s">
        <v>125</v>
      </c>
    </row>
    <row r="632" spans="1:7">
      <c r="A632" s="6"/>
      <c r="B632" s="5">
        <v>46101</v>
      </c>
      <c r="C632" s="7" t="s">
        <v>41</v>
      </c>
      <c r="D632" s="8" t="str">
        <f>IFERROR(VLOOKUP(C632,产品数据!$B:$D,2,FALSE),"")</f>
        <v>5l/*4桶/箱</v>
      </c>
      <c r="E632" s="6">
        <v>1</v>
      </c>
      <c r="F632" s="8" t="str">
        <f>IFERROR(VLOOKUP(C632,产品数据!$B:$D,3,FALSE),"")</f>
        <v>桶</v>
      </c>
      <c r="G632" s="6" t="s">
        <v>128</v>
      </c>
    </row>
    <row r="633" spans="1:7">
      <c r="A633" s="6"/>
      <c r="B633" s="5">
        <v>46101</v>
      </c>
      <c r="C633" s="7" t="s">
        <v>56</v>
      </c>
      <c r="D633" s="8" t="str">
        <f>IFERROR(VLOOKUP(C633,产品数据!$B:$D,2,FALSE),"")</f>
        <v>178g*50包/箱</v>
      </c>
      <c r="E633" s="6">
        <v>5</v>
      </c>
      <c r="F633" s="8" t="str">
        <f>IFERROR(VLOOKUP(C633,产品数据!$B:$D,3,FALSE),"")</f>
        <v>包</v>
      </c>
      <c r="G633" s="6" t="s">
        <v>128</v>
      </c>
    </row>
    <row r="634" spans="1:7">
      <c r="A634" s="6"/>
      <c r="B634" s="5">
        <v>46101</v>
      </c>
      <c r="C634" s="7" t="s">
        <v>96</v>
      </c>
      <c r="D634" s="8" t="str">
        <f>IFERROR(VLOOKUP(C634,产品数据!$B:$D,2,FALSE),"")</f>
        <v>10千克/袋</v>
      </c>
      <c r="E634" s="6">
        <v>2</v>
      </c>
      <c r="F634" s="8" t="str">
        <f>IFERROR(VLOOKUP(C634,产品数据!$B:$D,3,FALSE),"")</f>
        <v>袋</v>
      </c>
      <c r="G634" s="6" t="s">
        <v>127</v>
      </c>
    </row>
    <row r="635" spans="1:7">
      <c r="A635" s="6"/>
      <c r="B635" s="5">
        <v>46101</v>
      </c>
      <c r="C635" s="7" t="s">
        <v>39</v>
      </c>
      <c r="D635" s="8" t="str">
        <f>IFERROR(VLOOKUP(C635,产品数据!$B:$D,2,FALSE),"")</f>
        <v>10千克/袋</v>
      </c>
      <c r="E635" s="6">
        <v>1</v>
      </c>
      <c r="F635" s="8" t="str">
        <f>IFERROR(VLOOKUP(C635,产品数据!$B:$D,3,FALSE),"")</f>
        <v>袋</v>
      </c>
      <c r="G635" s="6" t="s">
        <v>127</v>
      </c>
    </row>
    <row r="636" spans="1:7">
      <c r="A636" s="6"/>
      <c r="B636" s="5">
        <v>46104</v>
      </c>
      <c r="C636" s="7" t="s">
        <v>41</v>
      </c>
      <c r="D636" s="8" t="str">
        <f>IFERROR(VLOOKUP(C636,产品数据!$B:$D,2,FALSE),"")</f>
        <v>5l/*4桶/箱</v>
      </c>
      <c r="E636" s="6">
        <v>4</v>
      </c>
      <c r="F636" s="8" t="str">
        <f>IFERROR(VLOOKUP(C636,产品数据!$B:$D,3,FALSE),"")</f>
        <v>桶</v>
      </c>
      <c r="G636" s="6" t="s">
        <v>125</v>
      </c>
    </row>
    <row r="637" spans="1:7">
      <c r="A637" s="6"/>
      <c r="B637" s="5">
        <v>46104</v>
      </c>
      <c r="C637" s="7" t="s">
        <v>42</v>
      </c>
      <c r="D637" s="8" t="str">
        <f>IFERROR(VLOOKUP(C637,产品数据!$B:$D,2,FALSE),"")</f>
        <v>1.68L*6壶</v>
      </c>
      <c r="E637" s="6">
        <v>2</v>
      </c>
      <c r="F637" s="8" t="str">
        <f>IFERROR(VLOOKUP(C637,产品数据!$B:$D,3,FALSE),"")</f>
        <v>壶</v>
      </c>
      <c r="G637" s="6" t="s">
        <v>125</v>
      </c>
    </row>
    <row r="638" spans="1:7">
      <c r="A638" s="6"/>
      <c r="B638" s="5">
        <v>46104</v>
      </c>
      <c r="C638" s="7" t="s">
        <v>53</v>
      </c>
      <c r="D638" s="8" t="str">
        <f>IFERROR(VLOOKUP(C638,产品数据!$B:$D,2,FALSE),"")</f>
        <v>2.5L*6桶/箱</v>
      </c>
      <c r="E638" s="6">
        <v>1</v>
      </c>
      <c r="F638" s="8" t="str">
        <f>IFERROR(VLOOKUP(C638,产品数据!$B:$D,3,FALSE),"")</f>
        <v>桶</v>
      </c>
      <c r="G638" s="6" t="s">
        <v>125</v>
      </c>
    </row>
    <row r="639" spans="1:7">
      <c r="A639" s="6"/>
      <c r="B639" s="5">
        <v>46104</v>
      </c>
      <c r="C639" s="7" t="s">
        <v>54</v>
      </c>
      <c r="D639" s="8" t="str">
        <f>IFERROR(VLOOKUP(C639,产品数据!$B:$D,2,FALSE),"")</f>
        <v>1kg*6瓶/箱</v>
      </c>
      <c r="E639" s="6">
        <v>0</v>
      </c>
      <c r="F639" s="8" t="str">
        <f>IFERROR(VLOOKUP(C639,产品数据!$B:$D,3,FALSE),"")</f>
        <v>瓶</v>
      </c>
      <c r="G639" s="6" t="s">
        <v>125</v>
      </c>
    </row>
    <row r="640" spans="1:7">
      <c r="A640" s="6"/>
      <c r="B640" s="5">
        <v>46104</v>
      </c>
      <c r="C640" s="7" t="s">
        <v>52</v>
      </c>
      <c r="D640" s="8" t="str">
        <f>IFERROR(VLOOKUP(C640,产品数据!$B:$D,2,FALSE),"")</f>
        <v>705ml/瓶</v>
      </c>
      <c r="E640" s="6">
        <v>1</v>
      </c>
      <c r="F640" s="8" t="str">
        <f>IFERROR(VLOOKUP(C640,产品数据!$B:$D,3,FALSE),"")</f>
        <v>瓶</v>
      </c>
      <c r="G640" s="6" t="s">
        <v>125</v>
      </c>
    </row>
    <row r="641" spans="1:7">
      <c r="A641" s="6"/>
      <c r="B641" s="5">
        <v>46104</v>
      </c>
      <c r="C641" s="7" t="s">
        <v>56</v>
      </c>
      <c r="D641" s="8" t="str">
        <f>IFERROR(VLOOKUP(C641,产品数据!$B:$D,2,FALSE),"")</f>
        <v>178g*50包/箱</v>
      </c>
      <c r="E641" s="6">
        <v>6</v>
      </c>
      <c r="F641" s="8" t="str">
        <f>IFERROR(VLOOKUP(C641,产品数据!$B:$D,3,FALSE),"")</f>
        <v>包</v>
      </c>
      <c r="G641" s="6" t="s">
        <v>125</v>
      </c>
    </row>
    <row r="642" spans="1:7">
      <c r="A642" s="6"/>
      <c r="B642" s="5">
        <v>46104</v>
      </c>
      <c r="C642" s="7" t="s">
        <v>57</v>
      </c>
      <c r="D642" s="8" t="str">
        <f>IFERROR(VLOOKUP(C642,产品数据!$B:$D,2,FALSE),"")</f>
        <v>400g*25包/箱</v>
      </c>
      <c r="E642" s="6">
        <v>2</v>
      </c>
      <c r="F642" s="8" t="str">
        <f>IFERROR(VLOOKUP(C642,产品数据!$B:$D,3,FALSE),"")</f>
        <v>包</v>
      </c>
      <c r="G642" s="6" t="s">
        <v>125</v>
      </c>
    </row>
    <row r="643" spans="1:7">
      <c r="A643" s="6"/>
      <c r="B643" s="5">
        <v>46104</v>
      </c>
      <c r="C643" s="7" t="s">
        <v>63</v>
      </c>
      <c r="D643" s="8" t="str">
        <f>IFERROR(VLOOKUP(C643,产品数据!$B:$D,2,FALSE),"")</f>
        <v>280g/包</v>
      </c>
      <c r="E643" s="6">
        <v>10</v>
      </c>
      <c r="F643" s="8" t="str">
        <f>IFERROR(VLOOKUP(C643,产品数据!$B:$D,3,FALSE),"")</f>
        <v>包</v>
      </c>
      <c r="G643" s="6" t="s">
        <v>125</v>
      </c>
    </row>
    <row r="644" spans="1:7">
      <c r="A644" s="6"/>
      <c r="B644" s="5">
        <v>46104</v>
      </c>
      <c r="C644" s="7" t="s">
        <v>60</v>
      </c>
      <c r="D644" s="8" t="str">
        <f>IFERROR(VLOOKUP(C644,产品数据!$B:$D,2,FALSE),"")</f>
        <v>150克/包</v>
      </c>
      <c r="E644" s="6">
        <v>2</v>
      </c>
      <c r="F644" s="8" t="str">
        <f>IFERROR(VLOOKUP(C644,产品数据!$B:$D,3,FALSE),"")</f>
        <v>包</v>
      </c>
      <c r="G644" s="6" t="s">
        <v>125</v>
      </c>
    </row>
    <row r="645" spans="1:7">
      <c r="A645" s="6"/>
      <c r="B645" s="5">
        <v>46104</v>
      </c>
      <c r="C645" s="7" t="s">
        <v>40</v>
      </c>
      <c r="D645" s="8" t="str">
        <f>IFERROR(VLOOKUP(C645,产品数据!$B:$D,2,FALSE),"")</f>
        <v>10kg/包</v>
      </c>
      <c r="E645" s="6">
        <v>3</v>
      </c>
      <c r="F645" s="8" t="str">
        <f>IFERROR(VLOOKUP(C645,产品数据!$B:$D,3,FALSE),"")</f>
        <v>包</v>
      </c>
      <c r="G645" s="6" t="s">
        <v>128</v>
      </c>
    </row>
    <row r="646" spans="1:7">
      <c r="A646" s="6"/>
      <c r="B646" s="5">
        <v>46104</v>
      </c>
      <c r="C646" s="7" t="s">
        <v>41</v>
      </c>
      <c r="D646" s="8" t="str">
        <f>IFERROR(VLOOKUP(C646,产品数据!$B:$D,2,FALSE),"")</f>
        <v>5l/*4桶/箱</v>
      </c>
      <c r="E646" s="6">
        <v>2</v>
      </c>
      <c r="F646" s="8" t="str">
        <f>IFERROR(VLOOKUP(C646,产品数据!$B:$D,3,FALSE),"")</f>
        <v>桶</v>
      </c>
      <c r="G646" s="6" t="s">
        <v>128</v>
      </c>
    </row>
    <row r="647" spans="1:7">
      <c r="A647" s="6"/>
      <c r="B647" s="5">
        <v>46104</v>
      </c>
      <c r="C647" s="7" t="s">
        <v>54</v>
      </c>
      <c r="D647" s="8" t="str">
        <f>IFERROR(VLOOKUP(C647,产品数据!$B:$D,2,FALSE),"")</f>
        <v>1kg*6瓶/箱</v>
      </c>
      <c r="E647" s="6">
        <v>1</v>
      </c>
      <c r="F647" s="8" t="str">
        <f>IFERROR(VLOOKUP(C647,产品数据!$B:$D,3,FALSE),"")</f>
        <v>瓶</v>
      </c>
      <c r="G647" s="6" t="s">
        <v>128</v>
      </c>
    </row>
    <row r="648" spans="1:7">
      <c r="A648" s="6"/>
      <c r="B648" s="5">
        <v>46104</v>
      </c>
      <c r="C648" s="7" t="s">
        <v>42</v>
      </c>
      <c r="D648" s="8" t="str">
        <f>IFERROR(VLOOKUP(C648,产品数据!$B:$D,2,FALSE),"")</f>
        <v>1.68L*6壶</v>
      </c>
      <c r="E648" s="6">
        <v>1</v>
      </c>
      <c r="F648" s="8" t="str">
        <f>IFERROR(VLOOKUP(C648,产品数据!$B:$D,3,FALSE),"")</f>
        <v>壶</v>
      </c>
      <c r="G648" s="6" t="s">
        <v>128</v>
      </c>
    </row>
    <row r="649" spans="1:7">
      <c r="A649" s="6"/>
      <c r="B649" s="5">
        <v>46104</v>
      </c>
      <c r="C649" s="7" t="s">
        <v>96</v>
      </c>
      <c r="D649" s="8" t="str">
        <f>IFERROR(VLOOKUP(C649,产品数据!$B:$D,2,FALSE),"")</f>
        <v>10千克/袋</v>
      </c>
      <c r="E649" s="6">
        <v>3</v>
      </c>
      <c r="F649" s="8" t="str">
        <f>IFERROR(VLOOKUP(C649,产品数据!$B:$D,3,FALSE),"")</f>
        <v>袋</v>
      </c>
      <c r="G649" s="6" t="s">
        <v>127</v>
      </c>
    </row>
    <row r="650" spans="1:7">
      <c r="A650" s="6"/>
      <c r="B650" s="5">
        <v>46105</v>
      </c>
      <c r="C650" s="7" t="s">
        <v>41</v>
      </c>
      <c r="D650" s="8" t="str">
        <f>IFERROR(VLOOKUP(C650,产品数据!$B:$D,2,FALSE),"")</f>
        <v>5l/*4桶/箱</v>
      </c>
      <c r="E650" s="6">
        <v>4</v>
      </c>
      <c r="F650" s="8" t="str">
        <f>IFERROR(VLOOKUP(C650,产品数据!$B:$D,3,FALSE),"")</f>
        <v>桶</v>
      </c>
      <c r="G650" s="6" t="s">
        <v>125</v>
      </c>
    </row>
    <row r="651" spans="1:7">
      <c r="A651" s="6"/>
      <c r="B651" s="5">
        <v>46105</v>
      </c>
      <c r="C651" s="7" t="s">
        <v>42</v>
      </c>
      <c r="D651" s="8" t="str">
        <f>IFERROR(VLOOKUP(C651,产品数据!$B:$D,2,FALSE),"")</f>
        <v>1.68L*6壶</v>
      </c>
      <c r="E651" s="6">
        <v>2</v>
      </c>
      <c r="F651" s="8" t="str">
        <f>IFERROR(VLOOKUP(C651,产品数据!$B:$D,3,FALSE),"")</f>
        <v>壶</v>
      </c>
      <c r="G651" s="6" t="s">
        <v>125</v>
      </c>
    </row>
    <row r="652" spans="1:7">
      <c r="A652" s="6"/>
      <c r="B652" s="5">
        <v>46105</v>
      </c>
      <c r="C652" s="7" t="s">
        <v>44</v>
      </c>
      <c r="D652" s="8" t="str">
        <f>IFERROR(VLOOKUP(C652,产品数据!$B:$D,2,FALSE),"")</f>
        <v>1.9升/瓶*6瓶/箱</v>
      </c>
      <c r="E652" s="6">
        <v>1</v>
      </c>
      <c r="F652" s="8" t="str">
        <f>IFERROR(VLOOKUP(C652,产品数据!$B:$D,3,FALSE),"")</f>
        <v>瓶</v>
      </c>
      <c r="G652" s="6" t="s">
        <v>125</v>
      </c>
    </row>
    <row r="653" spans="1:7">
      <c r="A653" s="6"/>
      <c r="B653" s="5">
        <v>46105</v>
      </c>
      <c r="C653" s="7" t="s">
        <v>43</v>
      </c>
      <c r="D653" s="8" t="str">
        <f>IFERROR(VLOOKUP(C653,产品数据!$B:$D,2,FALSE),"")</f>
        <v>1.9升/瓶*6瓶/箱</v>
      </c>
      <c r="E653" s="6">
        <v>1</v>
      </c>
      <c r="F653" s="8" t="str">
        <f>IFERROR(VLOOKUP(C653,产品数据!$B:$D,3,FALSE),"")</f>
        <v>瓶</v>
      </c>
      <c r="G653" s="6" t="s">
        <v>125</v>
      </c>
    </row>
    <row r="654" spans="1:7">
      <c r="A654" s="6"/>
      <c r="B654" s="5">
        <v>46105</v>
      </c>
      <c r="C654" s="7" t="s">
        <v>57</v>
      </c>
      <c r="D654" s="8" t="str">
        <f>IFERROR(VLOOKUP(C654,产品数据!$B:$D,2,FALSE),"")</f>
        <v>400g*25包/箱</v>
      </c>
      <c r="E654" s="6">
        <v>2</v>
      </c>
      <c r="F654" s="8" t="str">
        <f>IFERROR(VLOOKUP(C654,产品数据!$B:$D,3,FALSE),"")</f>
        <v>包</v>
      </c>
      <c r="G654" s="6" t="s">
        <v>125</v>
      </c>
    </row>
    <row r="655" spans="1:7">
      <c r="A655" s="6"/>
      <c r="B655" s="5">
        <v>46105</v>
      </c>
      <c r="C655" s="7" t="s">
        <v>45</v>
      </c>
      <c r="D655" s="8" t="str">
        <f>IFERROR(VLOOKUP(C655,产品数据!$B:$D,2,FALSE),"")</f>
        <v>1.9kg/瓶</v>
      </c>
      <c r="E655" s="6">
        <v>1</v>
      </c>
      <c r="F655" s="8" t="str">
        <f>IFERROR(VLOOKUP(C655,产品数据!$B:$D,3,FALSE),"")</f>
        <v>瓶</v>
      </c>
      <c r="G655" s="6" t="s">
        <v>125</v>
      </c>
    </row>
    <row r="656" spans="1:7">
      <c r="A656" s="6"/>
      <c r="B656" s="5">
        <v>46105</v>
      </c>
      <c r="C656" s="7" t="s">
        <v>54</v>
      </c>
      <c r="D656" s="8" t="str">
        <f>IFERROR(VLOOKUP(C656,产品数据!$B:$D,2,FALSE),"")</f>
        <v>1kg*6瓶/箱</v>
      </c>
      <c r="E656" s="6">
        <v>1</v>
      </c>
      <c r="F656" s="8" t="str">
        <f>IFERROR(VLOOKUP(C656,产品数据!$B:$D,3,FALSE),"")</f>
        <v>瓶</v>
      </c>
      <c r="G656" s="6" t="s">
        <v>125</v>
      </c>
    </row>
    <row r="657" spans="1:7">
      <c r="A657" s="6"/>
      <c r="B657" s="5">
        <v>46105</v>
      </c>
      <c r="C657" s="7" t="s">
        <v>52</v>
      </c>
      <c r="D657" s="8" t="str">
        <f>IFERROR(VLOOKUP(C657,产品数据!$B:$D,2,FALSE),"")</f>
        <v>705ml/瓶</v>
      </c>
      <c r="E657" s="6">
        <v>1</v>
      </c>
      <c r="F657" s="8" t="str">
        <f>IFERROR(VLOOKUP(C657,产品数据!$B:$D,3,FALSE),"")</f>
        <v>瓶</v>
      </c>
      <c r="G657" s="6" t="s">
        <v>125</v>
      </c>
    </row>
    <row r="658" spans="1:7">
      <c r="A658" s="6"/>
      <c r="B658" s="5">
        <v>46105</v>
      </c>
      <c r="C658" s="7" t="s">
        <v>61</v>
      </c>
      <c r="D658" s="8" t="str">
        <f>IFERROR(VLOOKUP(C658,产品数据!$B:$D,2,FALSE),"")</f>
        <v>2.5kg/包</v>
      </c>
      <c r="E658" s="6">
        <v>1</v>
      </c>
      <c r="F658" s="8" t="str">
        <f>IFERROR(VLOOKUP(C658,产品数据!$B:$D,3,FALSE),"")</f>
        <v>包</v>
      </c>
      <c r="G658" s="6" t="s">
        <v>125</v>
      </c>
    </row>
    <row r="659" spans="1:7">
      <c r="A659" s="6"/>
      <c r="B659" s="5">
        <v>46105</v>
      </c>
      <c r="C659" s="7" t="s">
        <v>97</v>
      </c>
      <c r="D659" s="8" t="str">
        <f>IFERROR(VLOOKUP(C659,产品数据!$B:$D,2,FALSE),"")</f>
        <v>2.5L*6桶/箱</v>
      </c>
      <c r="E659" s="6">
        <v>1</v>
      </c>
      <c r="F659" s="8" t="str">
        <f>IFERROR(VLOOKUP(C659,产品数据!$B:$D,3,FALSE),"")</f>
        <v>桶</v>
      </c>
      <c r="G659" s="6" t="s">
        <v>126</v>
      </c>
    </row>
    <row r="660" spans="1:7">
      <c r="A660" s="6"/>
      <c r="B660" s="5">
        <v>46105</v>
      </c>
      <c r="C660" s="7" t="s">
        <v>61</v>
      </c>
      <c r="D660" s="8" t="str">
        <f>IFERROR(VLOOKUP(C660,产品数据!$B:$D,2,FALSE),"")</f>
        <v>2.5kg/包</v>
      </c>
      <c r="E660" s="6">
        <v>1</v>
      </c>
      <c r="F660" s="8" t="str">
        <f>IFERROR(VLOOKUP(C660,产品数据!$B:$D,3,FALSE),"")</f>
        <v>包</v>
      </c>
      <c r="G660" s="6" t="s">
        <v>126</v>
      </c>
    </row>
    <row r="661" spans="1:7">
      <c r="A661" s="6"/>
      <c r="B661" s="5">
        <v>46105</v>
      </c>
      <c r="C661" s="7" t="s">
        <v>41</v>
      </c>
      <c r="D661" s="8" t="str">
        <f>IFERROR(VLOOKUP(C661,产品数据!$B:$D,2,FALSE),"")</f>
        <v>5l/*4桶/箱</v>
      </c>
      <c r="E661" s="6">
        <v>2</v>
      </c>
      <c r="F661" s="8" t="str">
        <f>IFERROR(VLOOKUP(C661,产品数据!$B:$D,3,FALSE),"")</f>
        <v>桶</v>
      </c>
      <c r="G661" s="6" t="s">
        <v>126</v>
      </c>
    </row>
    <row r="662" spans="1:7">
      <c r="A662" s="6"/>
      <c r="B662" s="5">
        <v>46105</v>
      </c>
      <c r="C662" s="7" t="s">
        <v>57</v>
      </c>
      <c r="D662" s="8" t="str">
        <f>IFERROR(VLOOKUP(C662,产品数据!$B:$D,2,FALSE),"")</f>
        <v>400g*25包/箱</v>
      </c>
      <c r="E662" s="6">
        <v>2</v>
      </c>
      <c r="F662" s="8" t="str">
        <f>IFERROR(VLOOKUP(C662,产品数据!$B:$D,3,FALSE),"")</f>
        <v>包</v>
      </c>
      <c r="G662" s="6" t="s">
        <v>126</v>
      </c>
    </row>
    <row r="663" spans="1:7">
      <c r="A663" s="6"/>
      <c r="B663" s="5">
        <v>46105</v>
      </c>
      <c r="C663" s="7" t="s">
        <v>42</v>
      </c>
      <c r="D663" s="8" t="str">
        <f>IFERROR(VLOOKUP(C663,产品数据!$B:$D,2,FALSE),"")</f>
        <v>1.68L*6壶</v>
      </c>
      <c r="E663" s="6">
        <v>1</v>
      </c>
      <c r="F663" s="8" t="str">
        <f>IFERROR(VLOOKUP(C663,产品数据!$B:$D,3,FALSE),"")</f>
        <v>壶</v>
      </c>
      <c r="G663" s="6" t="s">
        <v>126</v>
      </c>
    </row>
    <row r="664" spans="1:7">
      <c r="A664" s="6"/>
      <c r="B664" s="5">
        <v>46105</v>
      </c>
      <c r="C664" s="7" t="s">
        <v>63</v>
      </c>
      <c r="D664" s="8" t="str">
        <f>IFERROR(VLOOKUP(C664,产品数据!$B:$D,2,FALSE),"")</f>
        <v>280g/包</v>
      </c>
      <c r="E664" s="6">
        <v>3</v>
      </c>
      <c r="F664" s="8" t="str">
        <f>IFERROR(VLOOKUP(C664,产品数据!$B:$D,3,FALSE),"")</f>
        <v>包</v>
      </c>
      <c r="G664" s="6" t="s">
        <v>126</v>
      </c>
    </row>
    <row r="665" spans="1:7">
      <c r="A665" s="6"/>
      <c r="B665" s="5">
        <v>46105</v>
      </c>
      <c r="C665" s="7" t="s">
        <v>96</v>
      </c>
      <c r="D665" s="8" t="str">
        <f>IFERROR(VLOOKUP(C665,产品数据!$B:$D,2,FALSE),"")</f>
        <v>10千克/袋</v>
      </c>
      <c r="E665" s="6">
        <v>2</v>
      </c>
      <c r="F665" s="8" t="str">
        <f>IFERROR(VLOOKUP(C665,产品数据!$B:$D,3,FALSE),"")</f>
        <v>袋</v>
      </c>
      <c r="G665" s="6" t="s">
        <v>127</v>
      </c>
    </row>
    <row r="666" spans="1:7">
      <c r="A666" s="6"/>
      <c r="B666" s="5">
        <v>46105</v>
      </c>
      <c r="C666" s="7" t="s">
        <v>100</v>
      </c>
      <c r="D666" s="8" t="str">
        <f>IFERROR(VLOOKUP(C666,产品数据!$B:$D,2,FALSE),"")</f>
        <v>5kg/包</v>
      </c>
      <c r="E666" s="6">
        <v>5</v>
      </c>
      <c r="F666" s="8" t="str">
        <f>IFERROR(VLOOKUP(C666,产品数据!$B:$D,3,FALSE),"")</f>
        <v>包</v>
      </c>
      <c r="G666" s="6" t="s">
        <v>128</v>
      </c>
    </row>
    <row r="667" spans="1:7">
      <c r="A667" s="6"/>
      <c r="B667" s="5">
        <v>46106</v>
      </c>
      <c r="C667" s="7" t="s">
        <v>41</v>
      </c>
      <c r="D667" s="8" t="str">
        <f>IFERROR(VLOOKUP(C667,产品数据!$B:$D,2,FALSE),"")</f>
        <v>5l/*4桶/箱</v>
      </c>
      <c r="E667" s="6">
        <v>4</v>
      </c>
      <c r="F667" s="8" t="str">
        <f>IFERROR(VLOOKUP(C667,产品数据!$B:$D,3,FALSE),"")</f>
        <v>桶</v>
      </c>
      <c r="G667" s="6" t="s">
        <v>125</v>
      </c>
    </row>
    <row r="668" spans="1:7">
      <c r="A668" s="6"/>
      <c r="B668" s="5">
        <v>46106</v>
      </c>
      <c r="C668" s="7" t="s">
        <v>54</v>
      </c>
      <c r="D668" s="8" t="str">
        <f>IFERROR(VLOOKUP(C668,产品数据!$B:$D,2,FALSE),"")</f>
        <v>1kg*6瓶/箱</v>
      </c>
      <c r="E668" s="6">
        <v>1</v>
      </c>
      <c r="F668" s="8" t="str">
        <f>IFERROR(VLOOKUP(C668,产品数据!$B:$D,3,FALSE),"")</f>
        <v>瓶</v>
      </c>
      <c r="G668" s="6" t="s">
        <v>125</v>
      </c>
    </row>
    <row r="669" spans="1:7">
      <c r="A669" s="6"/>
      <c r="B669" s="5">
        <v>46106</v>
      </c>
      <c r="C669" s="7" t="s">
        <v>52</v>
      </c>
      <c r="D669" s="8" t="str">
        <f>IFERROR(VLOOKUP(C669,产品数据!$B:$D,2,FALSE),"")</f>
        <v>705ml/瓶</v>
      </c>
      <c r="E669" s="6">
        <v>1</v>
      </c>
      <c r="F669" s="8" t="str">
        <f>IFERROR(VLOOKUP(C669,产品数据!$B:$D,3,FALSE),"")</f>
        <v>瓶</v>
      </c>
      <c r="G669" s="6" t="s">
        <v>125</v>
      </c>
    </row>
    <row r="670" spans="1:7">
      <c r="A670" s="6"/>
      <c r="B670" s="5">
        <v>46106</v>
      </c>
      <c r="C670" s="7" t="s">
        <v>97</v>
      </c>
      <c r="D670" s="8" t="str">
        <f>IFERROR(VLOOKUP(C670,产品数据!$B:$D,2,FALSE),"")</f>
        <v>2.5L*6桶/箱</v>
      </c>
      <c r="E670" s="6">
        <v>1</v>
      </c>
      <c r="F670" s="8" t="str">
        <f>IFERROR(VLOOKUP(C670,产品数据!$B:$D,3,FALSE),"")</f>
        <v>桶</v>
      </c>
      <c r="G670" s="6" t="s">
        <v>125</v>
      </c>
    </row>
    <row r="671" spans="1:7">
      <c r="A671" s="6"/>
      <c r="B671" s="5">
        <v>46106</v>
      </c>
      <c r="C671" s="7" t="s">
        <v>57</v>
      </c>
      <c r="D671" s="8" t="str">
        <f>IFERROR(VLOOKUP(C671,产品数据!$B:$D,2,FALSE),"")</f>
        <v>400g*25包/箱</v>
      </c>
      <c r="E671" s="6">
        <v>2</v>
      </c>
      <c r="F671" s="8" t="str">
        <f>IFERROR(VLOOKUP(C671,产品数据!$B:$D,3,FALSE),"")</f>
        <v>包</v>
      </c>
      <c r="G671" s="6" t="s">
        <v>125</v>
      </c>
    </row>
    <row r="672" spans="1:7">
      <c r="A672" s="6"/>
      <c r="B672" s="5">
        <v>46106</v>
      </c>
      <c r="C672" s="7" t="s">
        <v>61</v>
      </c>
      <c r="D672" s="8" t="str">
        <f>IFERROR(VLOOKUP(C672,产品数据!$B:$D,2,FALSE),"")</f>
        <v>2.5kg/包</v>
      </c>
      <c r="E672" s="6">
        <v>1</v>
      </c>
      <c r="F672" s="8" t="str">
        <f>IFERROR(VLOOKUP(C672,产品数据!$B:$D,3,FALSE),"")</f>
        <v>包</v>
      </c>
      <c r="G672" s="6" t="s">
        <v>125</v>
      </c>
    </row>
    <row r="673" spans="1:7">
      <c r="A673" s="6"/>
      <c r="B673" s="5">
        <v>46106</v>
      </c>
      <c r="C673" s="7" t="s">
        <v>96</v>
      </c>
      <c r="D673" s="8" t="str">
        <f>IFERROR(VLOOKUP(C673,产品数据!$B:$D,2,FALSE),"")</f>
        <v>10千克/袋</v>
      </c>
      <c r="E673" s="6">
        <v>2</v>
      </c>
      <c r="F673" s="8" t="str">
        <f>IFERROR(VLOOKUP(C673,产品数据!$B:$D,3,FALSE),"")</f>
        <v>袋</v>
      </c>
      <c r="G673" s="6" t="s">
        <v>127</v>
      </c>
    </row>
    <row r="674" spans="1:7">
      <c r="A674" s="6"/>
      <c r="B674" s="5">
        <v>46107</v>
      </c>
      <c r="C674" s="7" t="s">
        <v>41</v>
      </c>
      <c r="D674" s="8" t="str">
        <f>IFERROR(VLOOKUP(C674,产品数据!$B:$D,2,FALSE),"")</f>
        <v>5l/*4桶/箱</v>
      </c>
      <c r="E674" s="6">
        <v>3</v>
      </c>
      <c r="F674" s="8" t="str">
        <f>IFERROR(VLOOKUP(C674,产品数据!$B:$D,3,FALSE),"")</f>
        <v>桶</v>
      </c>
      <c r="G674" s="6" t="s">
        <v>125</v>
      </c>
    </row>
    <row r="675" spans="1:7">
      <c r="A675" s="6"/>
      <c r="B675" s="5">
        <v>46107</v>
      </c>
      <c r="C675" s="7" t="s">
        <v>54</v>
      </c>
      <c r="D675" s="8" t="str">
        <f>IFERROR(VLOOKUP(C675,产品数据!$B:$D,2,FALSE),"")</f>
        <v>1kg*6瓶/箱</v>
      </c>
      <c r="E675" s="6">
        <v>1</v>
      </c>
      <c r="F675" s="8" t="str">
        <f>IFERROR(VLOOKUP(C675,产品数据!$B:$D,3,FALSE),"")</f>
        <v>瓶</v>
      </c>
      <c r="G675" s="6" t="s">
        <v>125</v>
      </c>
    </row>
    <row r="676" spans="1:7">
      <c r="A676" s="6"/>
      <c r="B676" s="5">
        <v>46107</v>
      </c>
      <c r="C676" s="7" t="s">
        <v>52</v>
      </c>
      <c r="D676" s="8" t="str">
        <f>IFERROR(VLOOKUP(C676,产品数据!$B:$D,2,FALSE),"")</f>
        <v>705ml/瓶</v>
      </c>
      <c r="E676" s="6">
        <v>1</v>
      </c>
      <c r="F676" s="8" t="str">
        <f>IFERROR(VLOOKUP(C676,产品数据!$B:$D,3,FALSE),"")</f>
        <v>瓶</v>
      </c>
      <c r="G676" s="6" t="s">
        <v>125</v>
      </c>
    </row>
    <row r="677" spans="1:7">
      <c r="A677" s="6"/>
      <c r="B677" s="5">
        <v>46107</v>
      </c>
      <c r="C677" s="7" t="s">
        <v>57</v>
      </c>
      <c r="D677" s="8" t="str">
        <f>IFERROR(VLOOKUP(C677,产品数据!$B:$D,2,FALSE),"")</f>
        <v>400g*25包/箱</v>
      </c>
      <c r="E677" s="6">
        <v>2</v>
      </c>
      <c r="F677" s="8" t="str">
        <f>IFERROR(VLOOKUP(C677,产品数据!$B:$D,3,FALSE),"")</f>
        <v>包</v>
      </c>
      <c r="G677" s="6" t="s">
        <v>125</v>
      </c>
    </row>
    <row r="678" spans="1:7">
      <c r="A678" s="6"/>
      <c r="B678" s="5">
        <v>46107</v>
      </c>
      <c r="C678" s="7" t="s">
        <v>42</v>
      </c>
      <c r="D678" s="8" t="str">
        <f>IFERROR(VLOOKUP(C678,产品数据!$B:$D,2,FALSE),"")</f>
        <v>1.68L*6壶</v>
      </c>
      <c r="E678" s="6">
        <v>1</v>
      </c>
      <c r="F678" s="8" t="str">
        <f>IFERROR(VLOOKUP(C678,产品数据!$B:$D,3,FALSE),"")</f>
        <v>壶</v>
      </c>
      <c r="G678" s="6" t="s">
        <v>125</v>
      </c>
    </row>
    <row r="679" spans="1:7">
      <c r="A679" s="6"/>
      <c r="B679" s="5">
        <v>46107</v>
      </c>
      <c r="C679" s="7" t="s">
        <v>44</v>
      </c>
      <c r="D679" s="8" t="str">
        <f>IFERROR(VLOOKUP(C679,产品数据!$B:$D,2,FALSE),"")</f>
        <v>1.9升/瓶*6瓶/箱</v>
      </c>
      <c r="E679" s="6">
        <v>1</v>
      </c>
      <c r="F679" s="8" t="str">
        <f>IFERROR(VLOOKUP(C679,产品数据!$B:$D,3,FALSE),"")</f>
        <v>瓶</v>
      </c>
      <c r="G679" s="6" t="s">
        <v>125</v>
      </c>
    </row>
    <row r="680" spans="1:7">
      <c r="A680" s="6"/>
      <c r="B680" s="5">
        <v>46107</v>
      </c>
      <c r="C680" s="7" t="s">
        <v>43</v>
      </c>
      <c r="D680" s="8" t="str">
        <f>IFERROR(VLOOKUP(C680,产品数据!$B:$D,2,FALSE),"")</f>
        <v>1.9升/瓶*6瓶/箱</v>
      </c>
      <c r="E680" s="6">
        <v>1</v>
      </c>
      <c r="F680" s="8" t="str">
        <f>IFERROR(VLOOKUP(C680,产品数据!$B:$D,3,FALSE),"")</f>
        <v>瓶</v>
      </c>
      <c r="G680" s="6" t="s">
        <v>125</v>
      </c>
    </row>
    <row r="681" spans="1:7">
      <c r="A681" s="6"/>
      <c r="B681" s="5">
        <v>46107</v>
      </c>
      <c r="C681" s="7" t="s">
        <v>63</v>
      </c>
      <c r="D681" s="8" t="str">
        <f>IFERROR(VLOOKUP(C681,产品数据!$B:$D,2,FALSE),"")</f>
        <v>280g/包</v>
      </c>
      <c r="E681" s="6">
        <v>10</v>
      </c>
      <c r="F681" s="8" t="str">
        <f>IFERROR(VLOOKUP(C681,产品数据!$B:$D,3,FALSE),"")</f>
        <v>包</v>
      </c>
      <c r="G681" s="6" t="s">
        <v>125</v>
      </c>
    </row>
    <row r="682" spans="1:7">
      <c r="A682" s="6"/>
      <c r="B682" s="5">
        <v>46107</v>
      </c>
      <c r="C682" s="7" t="s">
        <v>56</v>
      </c>
      <c r="D682" s="8" t="str">
        <f>IFERROR(VLOOKUP(C682,产品数据!$B:$D,2,FALSE),"")</f>
        <v>178g*50包/箱</v>
      </c>
      <c r="E682" s="6">
        <v>6</v>
      </c>
      <c r="F682" s="8" t="str">
        <f>IFERROR(VLOOKUP(C682,产品数据!$B:$D,3,FALSE),"")</f>
        <v>包</v>
      </c>
      <c r="G682" s="6" t="s">
        <v>125</v>
      </c>
    </row>
    <row r="683" spans="1:7">
      <c r="A683" s="6"/>
      <c r="B683" s="5">
        <v>46107</v>
      </c>
      <c r="C683" s="7" t="s">
        <v>96</v>
      </c>
      <c r="D683" s="8" t="str">
        <f>IFERROR(VLOOKUP(C683,产品数据!$B:$D,2,FALSE),"")</f>
        <v>10千克/袋</v>
      </c>
      <c r="E683" s="6">
        <v>3</v>
      </c>
      <c r="F683" s="8" t="str">
        <f>IFERROR(VLOOKUP(C683,产品数据!$B:$D,3,FALSE),"")</f>
        <v>袋</v>
      </c>
      <c r="G683" s="6" t="s">
        <v>127</v>
      </c>
    </row>
    <row r="684" spans="1:7">
      <c r="A684" s="6"/>
      <c r="B684" s="5">
        <v>46107</v>
      </c>
      <c r="C684" s="7" t="s">
        <v>49</v>
      </c>
      <c r="D684" s="8" t="str">
        <f>IFERROR(VLOOKUP(C684,产品数据!$B:$D,2,FALSE),"")</f>
        <v>180g/包</v>
      </c>
      <c r="E684" s="6">
        <v>1</v>
      </c>
      <c r="F684" s="8" t="str">
        <f>IFERROR(VLOOKUP(C684,产品数据!$B:$D,3,FALSE),"")</f>
        <v>包</v>
      </c>
      <c r="G684" s="6" t="s">
        <v>127</v>
      </c>
    </row>
    <row r="685" spans="1:7">
      <c r="A685" s="6"/>
      <c r="B685" s="5">
        <v>46107</v>
      </c>
      <c r="C685" s="7" t="s">
        <v>56</v>
      </c>
      <c r="D685" s="8" t="str">
        <f>IFERROR(VLOOKUP(C685,产品数据!$B:$D,2,FALSE),"")</f>
        <v>178g*50包/箱</v>
      </c>
      <c r="E685" s="6">
        <v>5</v>
      </c>
      <c r="F685" s="8" t="str">
        <f>IFERROR(VLOOKUP(C685,产品数据!$B:$D,3,FALSE),"")</f>
        <v>包</v>
      </c>
      <c r="G685" s="6" t="s">
        <v>127</v>
      </c>
    </row>
    <row r="686" spans="1:7">
      <c r="A686" s="6"/>
      <c r="B686" s="5">
        <v>46107</v>
      </c>
      <c r="C686" s="7" t="s">
        <v>100</v>
      </c>
      <c r="D686" s="8" t="str">
        <f>IFERROR(VLOOKUP(C686,产品数据!$B:$D,2,FALSE),"")</f>
        <v>5kg/包</v>
      </c>
      <c r="E686" s="6">
        <v>5</v>
      </c>
      <c r="F686" s="8" t="str">
        <f>IFERROR(VLOOKUP(C686,产品数据!$B:$D,3,FALSE),"")</f>
        <v>包</v>
      </c>
      <c r="G686" s="6" t="s">
        <v>128</v>
      </c>
    </row>
    <row r="687" spans="1:7">
      <c r="A687" s="6"/>
      <c r="B687" s="5">
        <v>46108</v>
      </c>
      <c r="C687" s="7" t="s">
        <v>41</v>
      </c>
      <c r="D687" s="8" t="str">
        <f>IFERROR(VLOOKUP(C687,产品数据!$B:$D,2,FALSE),"")</f>
        <v>5l/*4桶/箱</v>
      </c>
      <c r="E687" s="6">
        <v>3</v>
      </c>
      <c r="F687" s="8" t="str">
        <f>IFERROR(VLOOKUP(C687,产品数据!$B:$D,3,FALSE),"")</f>
        <v>桶</v>
      </c>
      <c r="G687" s="6" t="s">
        <v>125</v>
      </c>
    </row>
    <row r="688" spans="1:7">
      <c r="A688" s="6"/>
      <c r="B688" s="5">
        <v>46108</v>
      </c>
      <c r="C688" s="7" t="s">
        <v>42</v>
      </c>
      <c r="D688" s="8" t="str">
        <f>IFERROR(VLOOKUP(C688,产品数据!$B:$D,2,FALSE),"")</f>
        <v>1.68L*6壶</v>
      </c>
      <c r="E688" s="6">
        <v>1</v>
      </c>
      <c r="F688" s="8" t="str">
        <f>IFERROR(VLOOKUP(C688,产品数据!$B:$D,3,FALSE),"")</f>
        <v>壶</v>
      </c>
      <c r="G688" s="6" t="s">
        <v>125</v>
      </c>
    </row>
    <row r="689" spans="1:7">
      <c r="A689" s="6"/>
      <c r="B689" s="5">
        <v>46108</v>
      </c>
      <c r="C689" s="7" t="s">
        <v>54</v>
      </c>
      <c r="D689" s="8" t="str">
        <f>IFERROR(VLOOKUP(C689,产品数据!$B:$D,2,FALSE),"")</f>
        <v>1kg*6瓶/箱</v>
      </c>
      <c r="E689" s="6">
        <v>1</v>
      </c>
      <c r="F689" s="8" t="str">
        <f>IFERROR(VLOOKUP(C689,产品数据!$B:$D,3,FALSE),"")</f>
        <v>瓶</v>
      </c>
      <c r="G689" s="6" t="s">
        <v>125</v>
      </c>
    </row>
    <row r="690" spans="1:7">
      <c r="A690" s="6"/>
      <c r="B690" s="5">
        <v>46108</v>
      </c>
      <c r="C690" s="7" t="s">
        <v>52</v>
      </c>
      <c r="D690" s="8" t="str">
        <f>IFERROR(VLOOKUP(C690,产品数据!$B:$D,2,FALSE),"")</f>
        <v>705ml/瓶</v>
      </c>
      <c r="E690" s="6">
        <v>1</v>
      </c>
      <c r="F690" s="8" t="str">
        <f>IFERROR(VLOOKUP(C690,产品数据!$B:$D,3,FALSE),"")</f>
        <v>瓶</v>
      </c>
      <c r="G690" s="6" t="s">
        <v>125</v>
      </c>
    </row>
    <row r="691" spans="1:7">
      <c r="A691" s="6"/>
      <c r="B691" s="5">
        <v>46108</v>
      </c>
      <c r="C691" s="7" t="s">
        <v>57</v>
      </c>
      <c r="D691" s="8" t="str">
        <f>IFERROR(VLOOKUP(C691,产品数据!$B:$D,2,FALSE),"")</f>
        <v>400g*25包/箱</v>
      </c>
      <c r="E691" s="6">
        <v>2</v>
      </c>
      <c r="F691" s="8" t="str">
        <f>IFERROR(VLOOKUP(C691,产品数据!$B:$D,3,FALSE),"")</f>
        <v>包</v>
      </c>
      <c r="G691" s="6" t="s">
        <v>125</v>
      </c>
    </row>
    <row r="692" spans="1:7">
      <c r="A692" s="6"/>
      <c r="B692" s="5">
        <v>46108</v>
      </c>
      <c r="C692" s="7" t="s">
        <v>47</v>
      </c>
      <c r="D692" s="8" t="str">
        <f>IFERROR(VLOOKUP(C692,产品数据!$B:$D,2,FALSE),"")</f>
        <v>500克/瓶*24瓶/箱</v>
      </c>
      <c r="E692" s="6">
        <v>2</v>
      </c>
      <c r="F692" s="8" t="str">
        <f>IFERROR(VLOOKUP(C692,产品数据!$B:$D,3,FALSE),"")</f>
        <v>瓶</v>
      </c>
      <c r="G692" s="6" t="s">
        <v>125</v>
      </c>
    </row>
    <row r="693" spans="1:7">
      <c r="A693" s="6"/>
      <c r="B693" s="5">
        <v>46108</v>
      </c>
      <c r="C693" s="7" t="s">
        <v>48</v>
      </c>
      <c r="D693" s="8" t="str">
        <f>IFERROR(VLOOKUP(C693,产品数据!$B:$D,2,FALSE),"")</f>
        <v>500克/瓶*24瓶/箱</v>
      </c>
      <c r="E693" s="6">
        <v>2</v>
      </c>
      <c r="F693" s="8" t="str">
        <f>IFERROR(VLOOKUP(C693,产品数据!$B:$D,3,FALSE),"")</f>
        <v>瓶</v>
      </c>
      <c r="G693" s="6" t="s">
        <v>125</v>
      </c>
    </row>
    <row r="694" spans="1:7">
      <c r="A694" s="6"/>
      <c r="B694" s="5">
        <v>46108</v>
      </c>
      <c r="C694" s="7" t="s">
        <v>63</v>
      </c>
      <c r="D694" s="8" t="str">
        <f>IFERROR(VLOOKUP(C694,产品数据!$B:$D,2,FALSE),"")</f>
        <v>280g/包</v>
      </c>
      <c r="E694" s="6">
        <v>5</v>
      </c>
      <c r="F694" s="8" t="str">
        <f>IFERROR(VLOOKUP(C694,产品数据!$B:$D,3,FALSE),"")</f>
        <v>包</v>
      </c>
      <c r="G694" s="6" t="s">
        <v>125</v>
      </c>
    </row>
    <row r="695" spans="1:7">
      <c r="A695" s="6"/>
      <c r="B695" s="5">
        <v>46108</v>
      </c>
      <c r="C695" s="7" t="s">
        <v>61</v>
      </c>
      <c r="D695" s="8" t="str">
        <f>IFERROR(VLOOKUP(C695,产品数据!$B:$D,2,FALSE),"")</f>
        <v>2.5kg/包</v>
      </c>
      <c r="E695" s="6">
        <v>1</v>
      </c>
      <c r="F695" s="8" t="str">
        <f>IFERROR(VLOOKUP(C695,产品数据!$B:$D,3,FALSE),"")</f>
        <v>包</v>
      </c>
      <c r="G695" s="6" t="s">
        <v>125</v>
      </c>
    </row>
    <row r="696" spans="1:7">
      <c r="A696" s="6"/>
      <c r="B696" s="5">
        <v>46108</v>
      </c>
      <c r="C696" s="7" t="s">
        <v>96</v>
      </c>
      <c r="D696" s="8" t="str">
        <f>IFERROR(VLOOKUP(C696,产品数据!$B:$D,2,FALSE),"")</f>
        <v>10千克/袋</v>
      </c>
      <c r="E696" s="6">
        <v>3</v>
      </c>
      <c r="F696" s="8" t="str">
        <f>IFERROR(VLOOKUP(C696,产品数据!$B:$D,3,FALSE),"")</f>
        <v>袋</v>
      </c>
      <c r="G696" s="6" t="s">
        <v>127</v>
      </c>
    </row>
    <row r="697" spans="1:7">
      <c r="A697" s="6"/>
      <c r="B697" s="5">
        <v>46111</v>
      </c>
      <c r="C697" s="7" t="s">
        <v>41</v>
      </c>
      <c r="D697" s="8" t="str">
        <f>IFERROR(VLOOKUP(C697,产品数据!$B:$D,2,FALSE),"")</f>
        <v>5l/*4桶/箱</v>
      </c>
      <c r="E697" s="6">
        <v>4</v>
      </c>
      <c r="F697" s="8" t="str">
        <f>IFERROR(VLOOKUP(C697,产品数据!$B:$D,3,FALSE),"")</f>
        <v>桶</v>
      </c>
      <c r="G697" s="6" t="s">
        <v>125</v>
      </c>
    </row>
    <row r="698" spans="1:7">
      <c r="A698" s="6"/>
      <c r="B698" s="5">
        <v>46111</v>
      </c>
      <c r="C698" s="7" t="s">
        <v>97</v>
      </c>
      <c r="D698" s="8" t="str">
        <f>IFERROR(VLOOKUP(C698,产品数据!$B:$D,2,FALSE),"")</f>
        <v>2.5L*6桶/箱</v>
      </c>
      <c r="E698" s="6">
        <v>1</v>
      </c>
      <c r="F698" s="8" t="str">
        <f>IFERROR(VLOOKUP(C698,产品数据!$B:$D,3,FALSE),"")</f>
        <v>桶</v>
      </c>
      <c r="G698" s="6" t="s">
        <v>125</v>
      </c>
    </row>
    <row r="699" spans="1:7">
      <c r="A699" s="6"/>
      <c r="B699" s="5">
        <v>46111</v>
      </c>
      <c r="C699" s="7" t="s">
        <v>42</v>
      </c>
      <c r="D699" s="8" t="str">
        <f>IFERROR(VLOOKUP(C699,产品数据!$B:$D,2,FALSE),"")</f>
        <v>1.68L*6壶</v>
      </c>
      <c r="E699" s="6">
        <v>1</v>
      </c>
      <c r="F699" s="8" t="str">
        <f>IFERROR(VLOOKUP(C699,产品数据!$B:$D,3,FALSE),"")</f>
        <v>壶</v>
      </c>
      <c r="G699" s="6" t="s">
        <v>125</v>
      </c>
    </row>
    <row r="700" spans="1:7">
      <c r="A700" s="6"/>
      <c r="B700" s="5">
        <v>46111</v>
      </c>
      <c r="C700" s="7" t="s">
        <v>57</v>
      </c>
      <c r="D700" s="8" t="str">
        <f>IFERROR(VLOOKUP(C700,产品数据!$B:$D,2,FALSE),"")</f>
        <v>400g*25包/箱</v>
      </c>
      <c r="E700" s="6">
        <v>2</v>
      </c>
      <c r="F700" s="8" t="str">
        <f>IFERROR(VLOOKUP(C700,产品数据!$B:$D,3,FALSE),"")</f>
        <v>包</v>
      </c>
      <c r="G700" s="6" t="s">
        <v>125</v>
      </c>
    </row>
    <row r="701" spans="1:7">
      <c r="A701" s="6"/>
      <c r="B701" s="5">
        <v>46111</v>
      </c>
      <c r="C701" s="7" t="s">
        <v>45</v>
      </c>
      <c r="D701" s="8" t="str">
        <f>IFERROR(VLOOKUP(C701,产品数据!$B:$D,2,FALSE),"")</f>
        <v>1.9kg/瓶</v>
      </c>
      <c r="E701" s="6">
        <v>1</v>
      </c>
      <c r="F701" s="8" t="str">
        <f>IFERROR(VLOOKUP(C701,产品数据!$B:$D,3,FALSE),"")</f>
        <v>瓶</v>
      </c>
      <c r="G701" s="6" t="s">
        <v>125</v>
      </c>
    </row>
    <row r="702" spans="1:7">
      <c r="A702" s="6"/>
      <c r="B702" s="5">
        <v>46111</v>
      </c>
      <c r="C702" s="7" t="s">
        <v>54</v>
      </c>
      <c r="D702" s="8" t="str">
        <f>IFERROR(VLOOKUP(C702,产品数据!$B:$D,2,FALSE),"")</f>
        <v>1kg*6瓶/箱</v>
      </c>
      <c r="E702" s="6">
        <v>1</v>
      </c>
      <c r="F702" s="8" t="str">
        <f>IFERROR(VLOOKUP(C702,产品数据!$B:$D,3,FALSE),"")</f>
        <v>瓶</v>
      </c>
      <c r="G702" s="6" t="s">
        <v>125</v>
      </c>
    </row>
    <row r="703" spans="1:7">
      <c r="A703" s="6"/>
      <c r="B703" s="5">
        <v>46111</v>
      </c>
      <c r="C703" s="7" t="s">
        <v>52</v>
      </c>
      <c r="D703" s="8" t="str">
        <f>IFERROR(VLOOKUP(C703,产品数据!$B:$D,2,FALSE),"")</f>
        <v>705ml/瓶</v>
      </c>
      <c r="E703" s="6">
        <v>1</v>
      </c>
      <c r="F703" s="8" t="str">
        <f>IFERROR(VLOOKUP(C703,产品数据!$B:$D,3,FALSE),"")</f>
        <v>瓶</v>
      </c>
      <c r="G703" s="6" t="s">
        <v>125</v>
      </c>
    </row>
    <row r="704" spans="1:7">
      <c r="A704" s="6"/>
      <c r="B704" s="5">
        <v>46111</v>
      </c>
      <c r="C704" s="7" t="s">
        <v>63</v>
      </c>
      <c r="D704" s="8" t="str">
        <f>IFERROR(VLOOKUP(C704,产品数据!$B:$D,2,FALSE),"")</f>
        <v>280g/包</v>
      </c>
      <c r="E704" s="6">
        <v>10</v>
      </c>
      <c r="F704" s="8" t="str">
        <f>IFERROR(VLOOKUP(C704,产品数据!$B:$D,3,FALSE),"")</f>
        <v>包</v>
      </c>
      <c r="G704" s="6" t="s">
        <v>125</v>
      </c>
    </row>
    <row r="705" spans="1:7">
      <c r="A705" s="6"/>
      <c r="B705" s="5">
        <v>46111</v>
      </c>
      <c r="C705" s="7" t="s">
        <v>50</v>
      </c>
      <c r="D705" s="8" t="str">
        <f>IFERROR(VLOOKUP(C705,产品数据!$B:$D,2,FALSE),"")</f>
        <v>2kg/包*6包/箱</v>
      </c>
      <c r="E705" s="6">
        <v>1</v>
      </c>
      <c r="F705" s="8" t="str">
        <f>IFERROR(VLOOKUP(C705,产品数据!$B:$D,3,FALSE),"")</f>
        <v>包</v>
      </c>
      <c r="G705" s="6" t="s">
        <v>125</v>
      </c>
    </row>
    <row r="706" spans="1:7">
      <c r="A706" s="6"/>
      <c r="B706" s="5">
        <v>46111</v>
      </c>
      <c r="C706" s="7" t="s">
        <v>58</v>
      </c>
      <c r="D706" s="8" t="str">
        <f>IFERROR(VLOOKUP(C706,产品数据!$B:$D,2,FALSE),"")</f>
        <v>200克/包</v>
      </c>
      <c r="E706" s="6">
        <v>2</v>
      </c>
      <c r="F706" s="8" t="str">
        <f>IFERROR(VLOOKUP(C706,产品数据!$B:$D,3,FALSE),"")</f>
        <v>包</v>
      </c>
      <c r="G706" s="6" t="s">
        <v>125</v>
      </c>
    </row>
    <row r="707" spans="1:7">
      <c r="A707" s="6"/>
      <c r="B707" s="5">
        <v>46111</v>
      </c>
      <c r="C707" s="7" t="s">
        <v>57</v>
      </c>
      <c r="D707" s="8" t="str">
        <f>IFERROR(VLOOKUP(C707,产品数据!$B:$D,2,FALSE),"")</f>
        <v>400g*25包/箱</v>
      </c>
      <c r="E707" s="6">
        <v>2</v>
      </c>
      <c r="F707" s="8" t="str">
        <f>IFERROR(VLOOKUP(C707,产品数据!$B:$D,3,FALSE),"")</f>
        <v>包</v>
      </c>
      <c r="G707" s="6" t="s">
        <v>126</v>
      </c>
    </row>
    <row r="708" spans="1:7">
      <c r="A708" s="6"/>
      <c r="B708" s="5">
        <v>46111</v>
      </c>
      <c r="C708" s="7" t="s">
        <v>63</v>
      </c>
      <c r="D708" s="8" t="str">
        <f>IFERROR(VLOOKUP(C708,产品数据!$B:$D,2,FALSE),"")</f>
        <v>280g/包</v>
      </c>
      <c r="E708" s="6">
        <v>2</v>
      </c>
      <c r="F708" s="8" t="str">
        <f>IFERROR(VLOOKUP(C708,产品数据!$B:$D,3,FALSE),"")</f>
        <v>包</v>
      </c>
      <c r="G708" s="6" t="s">
        <v>126</v>
      </c>
    </row>
    <row r="709" spans="1:7">
      <c r="A709" s="6"/>
      <c r="B709" s="5">
        <v>46111</v>
      </c>
      <c r="C709" s="7" t="s">
        <v>41</v>
      </c>
      <c r="D709" s="8" t="str">
        <f>IFERROR(VLOOKUP(C709,产品数据!$B:$D,2,FALSE),"")</f>
        <v>5l/*4桶/箱</v>
      </c>
      <c r="E709" s="6">
        <v>1</v>
      </c>
      <c r="F709" s="8" t="str">
        <f>IFERROR(VLOOKUP(C709,产品数据!$B:$D,3,FALSE),"")</f>
        <v>桶</v>
      </c>
      <c r="G709" s="6" t="s">
        <v>126</v>
      </c>
    </row>
    <row r="710" spans="1:7">
      <c r="A710" s="6"/>
      <c r="B710" s="5">
        <v>46111</v>
      </c>
      <c r="C710" s="7" t="s">
        <v>55</v>
      </c>
      <c r="D710" s="8" t="str">
        <f>IFERROR(VLOOKUP(C710,产品数据!$B:$D,2,FALSE),"")</f>
        <v>1升*12瓶/箱</v>
      </c>
      <c r="E710" s="6">
        <v>1</v>
      </c>
      <c r="F710" s="8" t="str">
        <f>IFERROR(VLOOKUP(C710,产品数据!$B:$D,3,FALSE),"")</f>
        <v>瓶</v>
      </c>
      <c r="G710" s="6" t="s">
        <v>128</v>
      </c>
    </row>
    <row r="711" spans="1:7">
      <c r="A711" s="6"/>
      <c r="B711" s="5">
        <v>46111</v>
      </c>
      <c r="C711" s="7" t="s">
        <v>54</v>
      </c>
      <c r="D711" s="8" t="str">
        <f>IFERROR(VLOOKUP(C711,产品数据!$B:$D,2,FALSE),"")</f>
        <v>1kg*6瓶/箱</v>
      </c>
      <c r="E711" s="6">
        <v>1</v>
      </c>
      <c r="F711" s="8" t="str">
        <f>IFERROR(VLOOKUP(C711,产品数据!$B:$D,3,FALSE),"")</f>
        <v>瓶</v>
      </c>
      <c r="G711" s="6" t="s">
        <v>128</v>
      </c>
    </row>
    <row r="712" spans="1:7">
      <c r="A712" s="6"/>
      <c r="B712" s="5">
        <v>46111</v>
      </c>
      <c r="C712" s="7" t="s">
        <v>57</v>
      </c>
      <c r="D712" s="8" t="str">
        <f>IFERROR(VLOOKUP(C712,产品数据!$B:$D,2,FALSE),"")</f>
        <v>400g*25包/箱</v>
      </c>
      <c r="E712" s="6">
        <v>1</v>
      </c>
      <c r="F712" s="8" t="str">
        <f>IFERROR(VLOOKUP(C712,产品数据!$B:$D,3,FALSE),"")</f>
        <v>包</v>
      </c>
      <c r="G712" s="6" t="s">
        <v>128</v>
      </c>
    </row>
    <row r="713" spans="1:7">
      <c r="A713" s="6"/>
      <c r="B713" s="5">
        <v>46111</v>
      </c>
      <c r="C713" s="7" t="s">
        <v>63</v>
      </c>
      <c r="D713" s="8" t="str">
        <f>IFERROR(VLOOKUP(C713,产品数据!$B:$D,2,FALSE),"")</f>
        <v>280g/包</v>
      </c>
      <c r="E713" s="6">
        <v>2</v>
      </c>
      <c r="F713" s="8" t="str">
        <f>IFERROR(VLOOKUP(C713,产品数据!$B:$D,3,FALSE),"")</f>
        <v>包</v>
      </c>
      <c r="G713" s="6" t="s">
        <v>128</v>
      </c>
    </row>
    <row r="714" spans="1:7">
      <c r="A714" s="6"/>
      <c r="B714" s="5">
        <v>46111</v>
      </c>
      <c r="C714" s="7" t="s">
        <v>100</v>
      </c>
      <c r="D714" s="8" t="str">
        <f>IFERROR(VLOOKUP(C714,产品数据!$B:$D,2,FALSE),"")</f>
        <v>5kg/包</v>
      </c>
      <c r="E714" s="6">
        <v>5</v>
      </c>
      <c r="F714" s="8" t="str">
        <f>IFERROR(VLOOKUP(C714,产品数据!$B:$D,3,FALSE),"")</f>
        <v>包</v>
      </c>
      <c r="G714" s="6" t="s">
        <v>128</v>
      </c>
    </row>
    <row r="715" spans="1:7">
      <c r="A715" s="6"/>
      <c r="B715" s="5">
        <v>46111</v>
      </c>
      <c r="C715" s="7" t="s">
        <v>96</v>
      </c>
      <c r="D715" s="8" t="str">
        <f>IFERROR(VLOOKUP(C715,产品数据!$B:$D,2,FALSE),"")</f>
        <v>10千克/袋</v>
      </c>
      <c r="E715" s="6">
        <v>3</v>
      </c>
      <c r="F715" s="8" t="str">
        <f>IFERROR(VLOOKUP(C715,产品数据!$B:$D,3,FALSE),"")</f>
        <v>袋</v>
      </c>
      <c r="G715" s="6" t="s">
        <v>127</v>
      </c>
    </row>
    <row r="716" spans="1:7">
      <c r="A716" s="6"/>
      <c r="B716" s="5">
        <v>46112</v>
      </c>
      <c r="C716" s="7" t="s">
        <v>41</v>
      </c>
      <c r="D716" s="8" t="str">
        <f>IFERROR(VLOOKUP(C716,产品数据!$B:$D,2,FALSE),"")</f>
        <v>5l/*4桶/箱</v>
      </c>
      <c r="E716" s="6">
        <v>4</v>
      </c>
      <c r="F716" s="8" t="str">
        <f>IFERROR(VLOOKUP(C716,产品数据!$B:$D,3,FALSE),"")</f>
        <v>桶</v>
      </c>
      <c r="G716" s="6" t="s">
        <v>125</v>
      </c>
    </row>
    <row r="717" spans="1:7">
      <c r="A717" s="6"/>
      <c r="B717" s="5">
        <v>46112</v>
      </c>
      <c r="C717" s="7" t="s">
        <v>42</v>
      </c>
      <c r="D717" s="8" t="str">
        <f>IFERROR(VLOOKUP(C717,产品数据!$B:$D,2,FALSE),"")</f>
        <v>1.68L*6壶</v>
      </c>
      <c r="E717" s="6">
        <v>1</v>
      </c>
      <c r="F717" s="8" t="str">
        <f>IFERROR(VLOOKUP(C717,产品数据!$B:$D,3,FALSE),"")</f>
        <v>壶</v>
      </c>
      <c r="G717" s="6" t="s">
        <v>125</v>
      </c>
    </row>
    <row r="718" spans="1:7">
      <c r="A718" s="6"/>
      <c r="B718" s="5">
        <v>46112</v>
      </c>
      <c r="C718" s="7" t="s">
        <v>44</v>
      </c>
      <c r="D718" s="8" t="str">
        <f>IFERROR(VLOOKUP(C718,产品数据!$B:$D,2,FALSE),"")</f>
        <v>1.9升/瓶*6瓶/箱</v>
      </c>
      <c r="E718" s="6">
        <v>1</v>
      </c>
      <c r="F718" s="8" t="str">
        <f>IFERROR(VLOOKUP(C718,产品数据!$B:$D,3,FALSE),"")</f>
        <v>瓶</v>
      </c>
      <c r="G718" s="6" t="s">
        <v>125</v>
      </c>
    </row>
    <row r="719" spans="1:7">
      <c r="A719" s="6"/>
      <c r="B719" s="5">
        <v>46112</v>
      </c>
      <c r="C719" s="7" t="s">
        <v>54</v>
      </c>
      <c r="D719" s="8" t="str">
        <f>IFERROR(VLOOKUP(C719,产品数据!$B:$D,2,FALSE),"")</f>
        <v>1kg*6瓶/箱</v>
      </c>
      <c r="E719" s="6">
        <v>1</v>
      </c>
      <c r="F719" s="8" t="str">
        <f>IFERROR(VLOOKUP(C719,产品数据!$B:$D,3,FALSE),"")</f>
        <v>瓶</v>
      </c>
      <c r="G719" s="6" t="s">
        <v>125</v>
      </c>
    </row>
    <row r="720" spans="1:7">
      <c r="A720" s="6"/>
      <c r="B720" s="5">
        <v>46112</v>
      </c>
      <c r="C720" s="7" t="s">
        <v>52</v>
      </c>
      <c r="D720" s="8" t="str">
        <f>IFERROR(VLOOKUP(C720,产品数据!$B:$D,2,FALSE),"")</f>
        <v>705ml/瓶</v>
      </c>
      <c r="E720" s="6">
        <v>1</v>
      </c>
      <c r="F720" s="8" t="str">
        <f>IFERROR(VLOOKUP(C720,产品数据!$B:$D,3,FALSE),"")</f>
        <v>瓶</v>
      </c>
      <c r="G720" s="6" t="s">
        <v>125</v>
      </c>
    </row>
    <row r="721" spans="1:7">
      <c r="A721" s="6"/>
      <c r="B721" s="5">
        <v>46112</v>
      </c>
      <c r="C721" s="7" t="s">
        <v>57</v>
      </c>
      <c r="D721" s="8" t="str">
        <f>IFERROR(VLOOKUP(C721,产品数据!$B:$D,2,FALSE),"")</f>
        <v>400g*25包/箱</v>
      </c>
      <c r="E721" s="6">
        <v>2</v>
      </c>
      <c r="F721" s="8" t="str">
        <f>IFERROR(VLOOKUP(C721,产品数据!$B:$D,3,FALSE),"")</f>
        <v>包</v>
      </c>
      <c r="G721" s="6" t="s">
        <v>125</v>
      </c>
    </row>
    <row r="722" spans="1:7">
      <c r="A722" s="6"/>
      <c r="B722" s="5">
        <v>46112</v>
      </c>
      <c r="C722" s="7" t="s">
        <v>59</v>
      </c>
      <c r="D722" s="8" t="str">
        <f>IFERROR(VLOOKUP(C722,产品数据!$B:$D,2,FALSE),"")</f>
        <v>102克/包</v>
      </c>
      <c r="E722" s="6">
        <v>2</v>
      </c>
      <c r="F722" s="8" t="str">
        <f>IFERROR(VLOOKUP(C722,产品数据!$B:$D,3,FALSE),"")</f>
        <v>包</v>
      </c>
      <c r="G722" s="6" t="s">
        <v>125</v>
      </c>
    </row>
    <row r="723" spans="1:7">
      <c r="A723" s="6"/>
      <c r="B723" s="5">
        <v>46112</v>
      </c>
      <c r="C723" s="7" t="s">
        <v>57</v>
      </c>
      <c r="D723" s="8" t="str">
        <f>IFERROR(VLOOKUP(C723,产品数据!$B:$D,2,FALSE),"")</f>
        <v>400g*25包/箱</v>
      </c>
      <c r="E723" s="6">
        <v>1</v>
      </c>
      <c r="F723" s="8" t="str">
        <f>IFERROR(VLOOKUP(C723,产品数据!$B:$D,3,FALSE),"")</f>
        <v>包</v>
      </c>
      <c r="G723" s="6" t="s">
        <v>129</v>
      </c>
    </row>
    <row r="724" spans="1:7">
      <c r="A724" s="6"/>
      <c r="B724" s="5">
        <v>46112</v>
      </c>
      <c r="C724" s="7" t="s">
        <v>59</v>
      </c>
      <c r="D724" s="8" t="str">
        <f>IFERROR(VLOOKUP(C724,产品数据!$B:$D,2,FALSE),"")</f>
        <v>102克/包</v>
      </c>
      <c r="E724" s="6">
        <v>1</v>
      </c>
      <c r="F724" s="8" t="str">
        <f>IFERROR(VLOOKUP(C724,产品数据!$B:$D,3,FALSE),"")</f>
        <v>包</v>
      </c>
      <c r="G724" s="6" t="s">
        <v>129</v>
      </c>
    </row>
    <row r="725" spans="1:7">
      <c r="A725" s="6"/>
      <c r="B725" s="5">
        <v>46112</v>
      </c>
      <c r="C725" s="7" t="s">
        <v>56</v>
      </c>
      <c r="D725" s="8" t="str">
        <f>IFERROR(VLOOKUP(C725,产品数据!$B:$D,2,FALSE),"")</f>
        <v>178g*50包/箱</v>
      </c>
      <c r="E725" s="6">
        <v>5</v>
      </c>
      <c r="F725" s="8" t="str">
        <f>IFERROR(VLOOKUP(C725,产品数据!$B:$D,3,FALSE),"")</f>
        <v>包</v>
      </c>
      <c r="G725" s="6" t="s">
        <v>129</v>
      </c>
    </row>
    <row r="726" spans="1:7">
      <c r="A726" s="6"/>
      <c r="B726" s="5">
        <v>46112</v>
      </c>
      <c r="C726" s="7" t="s">
        <v>96</v>
      </c>
      <c r="D726" s="8" t="str">
        <f>IFERROR(VLOOKUP(C726,产品数据!$B:$D,2,FALSE),"")</f>
        <v>10千克/袋</v>
      </c>
      <c r="E726" s="6">
        <v>2</v>
      </c>
      <c r="F726" s="8" t="str">
        <f>IFERROR(VLOOKUP(C726,产品数据!$B:$D,3,FALSE),"")</f>
        <v>袋</v>
      </c>
      <c r="G726" s="6" t="s">
        <v>127</v>
      </c>
    </row>
    <row r="727" spans="1:7">
      <c r="A727" s="6"/>
      <c r="B727" s="5">
        <v>46112</v>
      </c>
      <c r="C727" s="7" t="s">
        <v>100</v>
      </c>
      <c r="D727" s="8" t="str">
        <f>IFERROR(VLOOKUP(C727,产品数据!$B:$D,2,FALSE),"")</f>
        <v>5kg/包</v>
      </c>
      <c r="E727" s="6">
        <v>5</v>
      </c>
      <c r="F727" s="8" t="str">
        <f>IFERROR(VLOOKUP(C727,产品数据!$B:$D,3,FALSE),"")</f>
        <v>包</v>
      </c>
      <c r="G727" s="6" t="s">
        <v>128</v>
      </c>
    </row>
    <row r="728" spans="1:7">
      <c r="A728" s="6"/>
      <c r="B728" s="5">
        <v>46113</v>
      </c>
      <c r="C728" s="7" t="s">
        <v>41</v>
      </c>
      <c r="D728" s="8" t="str">
        <f>IFERROR(VLOOKUP(C728,产品数据!$B:$D,2,FALSE),"")</f>
        <v>5l/*4桶/箱</v>
      </c>
      <c r="E728" s="6">
        <v>4</v>
      </c>
      <c r="F728" s="8" t="str">
        <f>IFERROR(VLOOKUP(C728,产品数据!$B:$D,3,FALSE),"")</f>
        <v>桶</v>
      </c>
      <c r="G728" s="6" t="s">
        <v>125</v>
      </c>
    </row>
    <row r="729" spans="1:7">
      <c r="A729" s="6"/>
      <c r="B729" s="5">
        <v>46113</v>
      </c>
      <c r="C729" s="7" t="s">
        <v>44</v>
      </c>
      <c r="D729" s="8" t="str">
        <f>IFERROR(VLOOKUP(C729,产品数据!$B:$D,2,FALSE),"")</f>
        <v>1.9升/瓶*6瓶/箱</v>
      </c>
      <c r="E729" s="6">
        <v>1</v>
      </c>
      <c r="F729" s="8" t="str">
        <f>IFERROR(VLOOKUP(C729,产品数据!$B:$D,3,FALSE),"")</f>
        <v>瓶</v>
      </c>
      <c r="G729" s="6" t="s">
        <v>125</v>
      </c>
    </row>
    <row r="730" spans="1:7">
      <c r="A730" s="6"/>
      <c r="B730" s="5">
        <v>46113</v>
      </c>
      <c r="C730" s="7" t="s">
        <v>43</v>
      </c>
      <c r="D730" s="8" t="str">
        <f>IFERROR(VLOOKUP(C730,产品数据!$B:$D,2,FALSE),"")</f>
        <v>1.9升/瓶*6瓶/箱</v>
      </c>
      <c r="E730" s="6">
        <v>1</v>
      </c>
      <c r="F730" s="8" t="str">
        <f>IFERROR(VLOOKUP(C730,产品数据!$B:$D,3,FALSE),"")</f>
        <v>瓶</v>
      </c>
      <c r="G730" s="6" t="s">
        <v>125</v>
      </c>
    </row>
    <row r="731" spans="1:7">
      <c r="A731" s="6"/>
      <c r="B731" s="5">
        <v>46113</v>
      </c>
      <c r="C731" s="7" t="s">
        <v>42</v>
      </c>
      <c r="D731" s="8" t="str">
        <f>IFERROR(VLOOKUP(C731,产品数据!$B:$D,2,FALSE),"")</f>
        <v>1.68L*6壶</v>
      </c>
      <c r="E731" s="6">
        <v>1</v>
      </c>
      <c r="F731" s="8" t="str">
        <f>IFERROR(VLOOKUP(C731,产品数据!$B:$D,3,FALSE),"")</f>
        <v>壶</v>
      </c>
      <c r="G731" s="6" t="s">
        <v>125</v>
      </c>
    </row>
    <row r="732" spans="1:7">
      <c r="A732" s="6"/>
      <c r="B732" s="5">
        <v>46113</v>
      </c>
      <c r="C732" s="7" t="s">
        <v>97</v>
      </c>
      <c r="D732" s="8" t="str">
        <f>IFERROR(VLOOKUP(C732,产品数据!$B:$D,2,FALSE),"")</f>
        <v>2.5L*6桶/箱</v>
      </c>
      <c r="E732" s="6">
        <v>2</v>
      </c>
      <c r="F732" s="8" t="str">
        <f>IFERROR(VLOOKUP(C732,产品数据!$B:$D,3,FALSE),"")</f>
        <v>桶</v>
      </c>
      <c r="G732" s="6" t="s">
        <v>125</v>
      </c>
    </row>
    <row r="733" spans="1:7">
      <c r="A733" s="6"/>
      <c r="B733" s="5">
        <v>46113</v>
      </c>
      <c r="C733" s="7" t="s">
        <v>57</v>
      </c>
      <c r="D733" s="8" t="str">
        <f>IFERROR(VLOOKUP(C733,产品数据!$B:$D,2,FALSE),"")</f>
        <v>400g*25包/箱</v>
      </c>
      <c r="E733" s="6">
        <v>2</v>
      </c>
      <c r="F733" s="8" t="str">
        <f>IFERROR(VLOOKUP(C733,产品数据!$B:$D,3,FALSE),"")</f>
        <v>包</v>
      </c>
      <c r="G733" s="6" t="s">
        <v>125</v>
      </c>
    </row>
    <row r="734" spans="1:7">
      <c r="A734" s="6"/>
      <c r="B734" s="5">
        <v>46113</v>
      </c>
      <c r="C734" s="7" t="s">
        <v>45</v>
      </c>
      <c r="D734" s="8" t="str">
        <f>IFERROR(VLOOKUP(C734,产品数据!$B:$D,2,FALSE),"")</f>
        <v>1.9kg/瓶</v>
      </c>
      <c r="E734" s="6">
        <v>1</v>
      </c>
      <c r="F734" s="8" t="str">
        <f>IFERROR(VLOOKUP(C734,产品数据!$B:$D,3,FALSE),"")</f>
        <v>瓶</v>
      </c>
      <c r="G734" s="6" t="s">
        <v>125</v>
      </c>
    </row>
    <row r="735" spans="1:7">
      <c r="A735" s="6"/>
      <c r="B735" s="5">
        <v>46113</v>
      </c>
      <c r="C735" s="7" t="s">
        <v>54</v>
      </c>
      <c r="D735" s="8" t="str">
        <f>IFERROR(VLOOKUP(C735,产品数据!$B:$D,2,FALSE),"")</f>
        <v>1kg*6瓶/箱</v>
      </c>
      <c r="E735" s="6">
        <v>1</v>
      </c>
      <c r="F735" s="8" t="str">
        <f>IFERROR(VLOOKUP(C735,产品数据!$B:$D,3,FALSE),"")</f>
        <v>瓶</v>
      </c>
      <c r="G735" s="6" t="s">
        <v>125</v>
      </c>
    </row>
    <row r="736" spans="1:7">
      <c r="A736" s="6"/>
      <c r="B736" s="5">
        <v>46113</v>
      </c>
      <c r="C736" s="7" t="s">
        <v>52</v>
      </c>
      <c r="D736" s="8" t="str">
        <f>IFERROR(VLOOKUP(C736,产品数据!$B:$D,2,FALSE),"")</f>
        <v>705ml/瓶</v>
      </c>
      <c r="E736" s="6">
        <v>1</v>
      </c>
      <c r="F736" s="8" t="str">
        <f>IFERROR(VLOOKUP(C736,产品数据!$B:$D,3,FALSE),"")</f>
        <v>瓶</v>
      </c>
      <c r="G736" s="6" t="s">
        <v>125</v>
      </c>
    </row>
    <row r="737" spans="1:7">
      <c r="A737" s="6"/>
      <c r="B737" s="5">
        <v>46113</v>
      </c>
      <c r="C737" s="7" t="s">
        <v>63</v>
      </c>
      <c r="D737" s="8" t="str">
        <f>IFERROR(VLOOKUP(C737,产品数据!$B:$D,2,FALSE),"")</f>
        <v>280g/包</v>
      </c>
      <c r="E737" s="6">
        <v>5</v>
      </c>
      <c r="F737" s="8" t="str">
        <f>IFERROR(VLOOKUP(C737,产品数据!$B:$D,3,FALSE),"")</f>
        <v>包</v>
      </c>
      <c r="G737" s="6" t="s">
        <v>125</v>
      </c>
    </row>
    <row r="738" spans="1:7">
      <c r="A738" s="6"/>
      <c r="B738" s="5">
        <v>46113</v>
      </c>
      <c r="C738" s="7" t="s">
        <v>56</v>
      </c>
      <c r="D738" s="8" t="str">
        <f>IFERROR(VLOOKUP(C738,产品数据!$B:$D,2,FALSE),"")</f>
        <v>178g*50包/箱</v>
      </c>
      <c r="E738" s="6">
        <v>5</v>
      </c>
      <c r="F738" s="8" t="str">
        <f>IFERROR(VLOOKUP(C738,产品数据!$B:$D,3,FALSE),"")</f>
        <v>包</v>
      </c>
      <c r="G738" s="6" t="s">
        <v>125</v>
      </c>
    </row>
    <row r="739" spans="1:7">
      <c r="A739" s="6"/>
      <c r="B739" s="5">
        <v>46113</v>
      </c>
      <c r="C739" s="7" t="s">
        <v>96</v>
      </c>
      <c r="D739" s="8" t="str">
        <f>IFERROR(VLOOKUP(C739,产品数据!$B:$D,2,FALSE),"")</f>
        <v>10千克/袋</v>
      </c>
      <c r="E739" s="6">
        <v>2</v>
      </c>
      <c r="F739" s="8" t="str">
        <f>IFERROR(VLOOKUP(C739,产品数据!$B:$D,3,FALSE),"")</f>
        <v>袋</v>
      </c>
      <c r="G739" s="6" t="s">
        <v>127</v>
      </c>
    </row>
    <row r="740" spans="1:7">
      <c r="A740" s="6"/>
      <c r="B740" s="5">
        <v>46114</v>
      </c>
      <c r="C740" s="7" t="s">
        <v>41</v>
      </c>
      <c r="D740" s="8" t="str">
        <f>IFERROR(VLOOKUP(C740,产品数据!$B:$D,2,FALSE),"")</f>
        <v>5l/*4桶/箱</v>
      </c>
      <c r="E740" s="6">
        <v>3</v>
      </c>
      <c r="F740" s="8" t="str">
        <f>IFERROR(VLOOKUP(C740,产品数据!$B:$D,3,FALSE),"")</f>
        <v>桶</v>
      </c>
      <c r="G740" s="6" t="s">
        <v>125</v>
      </c>
    </row>
    <row r="741" spans="1:7">
      <c r="A741" s="6"/>
      <c r="B741" s="5">
        <v>46114</v>
      </c>
      <c r="C741" s="7" t="s">
        <v>44</v>
      </c>
      <c r="D741" s="8" t="str">
        <f>IFERROR(VLOOKUP(C741,产品数据!$B:$D,2,FALSE),"")</f>
        <v>1.9升/瓶*6瓶/箱</v>
      </c>
      <c r="E741" s="6">
        <v>1</v>
      </c>
      <c r="F741" s="8" t="str">
        <f>IFERROR(VLOOKUP(C741,产品数据!$B:$D,3,FALSE),"")</f>
        <v>瓶</v>
      </c>
      <c r="G741" s="6" t="s">
        <v>125</v>
      </c>
    </row>
    <row r="742" spans="1:7">
      <c r="A742" s="6"/>
      <c r="B742" s="5">
        <v>46114</v>
      </c>
      <c r="C742" s="7" t="s">
        <v>42</v>
      </c>
      <c r="D742" s="8" t="str">
        <f>IFERROR(VLOOKUP(C742,产品数据!$B:$D,2,FALSE),"")</f>
        <v>1.68L*6壶</v>
      </c>
      <c r="E742" s="6">
        <v>1</v>
      </c>
      <c r="F742" s="8" t="str">
        <f>IFERROR(VLOOKUP(C742,产品数据!$B:$D,3,FALSE),"")</f>
        <v>壶</v>
      </c>
      <c r="G742" s="6" t="s">
        <v>125</v>
      </c>
    </row>
    <row r="743" spans="1:7">
      <c r="A743" s="6"/>
      <c r="B743" s="5">
        <v>46114</v>
      </c>
      <c r="C743" s="7" t="s">
        <v>57</v>
      </c>
      <c r="D743" s="8" t="str">
        <f>IFERROR(VLOOKUP(C743,产品数据!$B:$D,2,FALSE),"")</f>
        <v>400g*25包/箱</v>
      </c>
      <c r="E743" s="6">
        <v>2</v>
      </c>
      <c r="F743" s="8" t="str">
        <f>IFERROR(VLOOKUP(C743,产品数据!$B:$D,3,FALSE),"")</f>
        <v>包</v>
      </c>
      <c r="G743" s="6" t="s">
        <v>125</v>
      </c>
    </row>
    <row r="744" spans="1:7">
      <c r="A744" s="6"/>
      <c r="B744" s="5">
        <v>46114</v>
      </c>
      <c r="C744" s="7" t="s">
        <v>97</v>
      </c>
      <c r="D744" s="8" t="str">
        <f>IFERROR(VLOOKUP(C744,产品数据!$B:$D,2,FALSE),"")</f>
        <v>2.5L*6桶/箱</v>
      </c>
      <c r="E744" s="6">
        <v>2</v>
      </c>
      <c r="F744" s="8" t="str">
        <f>IFERROR(VLOOKUP(C744,产品数据!$B:$D,3,FALSE),"")</f>
        <v>桶</v>
      </c>
      <c r="G744" s="6" t="s">
        <v>125</v>
      </c>
    </row>
    <row r="745" spans="1:7">
      <c r="A745" s="6"/>
      <c r="B745" s="5">
        <v>46114</v>
      </c>
      <c r="C745" s="7" t="s">
        <v>54</v>
      </c>
      <c r="D745" s="8" t="str">
        <f>IFERROR(VLOOKUP(C745,产品数据!$B:$D,2,FALSE),"")</f>
        <v>1kg*6瓶/箱</v>
      </c>
      <c r="E745" s="6">
        <v>1</v>
      </c>
      <c r="F745" s="8" t="str">
        <f>IFERROR(VLOOKUP(C745,产品数据!$B:$D,3,FALSE),"")</f>
        <v>瓶</v>
      </c>
      <c r="G745" s="6" t="s">
        <v>125</v>
      </c>
    </row>
    <row r="746" spans="1:7">
      <c r="A746" s="6"/>
      <c r="B746" s="5">
        <v>46114</v>
      </c>
      <c r="C746" s="7" t="s">
        <v>52</v>
      </c>
      <c r="D746" s="8" t="str">
        <f>IFERROR(VLOOKUP(C746,产品数据!$B:$D,2,FALSE),"")</f>
        <v>705ml/瓶</v>
      </c>
      <c r="E746" s="6">
        <v>1</v>
      </c>
      <c r="F746" s="8" t="str">
        <f>IFERROR(VLOOKUP(C746,产品数据!$B:$D,3,FALSE),"")</f>
        <v>瓶</v>
      </c>
      <c r="G746" s="6" t="s">
        <v>125</v>
      </c>
    </row>
    <row r="747" spans="1:7">
      <c r="A747" s="6"/>
      <c r="B747" s="5">
        <v>46114</v>
      </c>
      <c r="C747" s="7" t="s">
        <v>46</v>
      </c>
      <c r="D747" s="8" t="str">
        <f>IFERROR(VLOOKUP(C747,产品数据!$B:$D,2,FALSE),"")</f>
        <v>340g/瓶</v>
      </c>
      <c r="E747" s="6">
        <v>4</v>
      </c>
      <c r="F747" s="8" t="str">
        <f>IFERROR(VLOOKUP(C747,产品数据!$B:$D,3,FALSE),"")</f>
        <v>瓶</v>
      </c>
      <c r="G747" s="6" t="s">
        <v>125</v>
      </c>
    </row>
    <row r="748" spans="1:7">
      <c r="A748" s="6"/>
      <c r="B748" s="5">
        <v>46114</v>
      </c>
      <c r="C748" s="7" t="s">
        <v>43</v>
      </c>
      <c r="D748" s="8" t="str">
        <f>IFERROR(VLOOKUP(C748,产品数据!$B:$D,2,FALSE),"")</f>
        <v>1.9升/瓶*6瓶/箱</v>
      </c>
      <c r="E748" s="6">
        <v>1</v>
      </c>
      <c r="F748" s="8" t="str">
        <f>IFERROR(VLOOKUP(C748,产品数据!$B:$D,3,FALSE),"")</f>
        <v>瓶</v>
      </c>
      <c r="G748" s="6" t="s">
        <v>125</v>
      </c>
    </row>
    <row r="749" spans="1:7">
      <c r="A749" s="6"/>
      <c r="B749" s="5">
        <v>46114</v>
      </c>
      <c r="C749" s="7" t="s">
        <v>56</v>
      </c>
      <c r="D749" s="8" t="str">
        <f>IFERROR(VLOOKUP(C749,产品数据!$B:$D,2,FALSE),"")</f>
        <v>178g*50包/箱</v>
      </c>
      <c r="E749" s="6">
        <v>5</v>
      </c>
      <c r="F749" s="8" t="str">
        <f>IFERROR(VLOOKUP(C749,产品数据!$B:$D,3,FALSE),"")</f>
        <v>包</v>
      </c>
      <c r="G749" s="6" t="s">
        <v>127</v>
      </c>
    </row>
    <row r="750" spans="1:7">
      <c r="A750" s="6"/>
      <c r="B750" s="5">
        <v>46114</v>
      </c>
      <c r="C750" s="7" t="s">
        <v>96</v>
      </c>
      <c r="D750" s="8" t="str">
        <f>IFERROR(VLOOKUP(C750,产品数据!$B:$D,2,FALSE),"")</f>
        <v>10千克/袋</v>
      </c>
      <c r="E750" s="6">
        <v>2</v>
      </c>
      <c r="F750" s="8" t="str">
        <f>IFERROR(VLOOKUP(C750,产品数据!$B:$D,3,FALSE),"")</f>
        <v>袋</v>
      </c>
      <c r="G750" s="6" t="s">
        <v>127</v>
      </c>
    </row>
    <row r="751" spans="1:7">
      <c r="A751" s="6"/>
      <c r="B751" s="5">
        <v>46115</v>
      </c>
      <c r="C751" s="7" t="s">
        <v>41</v>
      </c>
      <c r="D751" s="8" t="str">
        <f>IFERROR(VLOOKUP(C751,产品数据!$B:$D,2,FALSE),"")</f>
        <v>5l/*4桶/箱</v>
      </c>
      <c r="E751" s="6">
        <v>4</v>
      </c>
      <c r="F751" s="8" t="str">
        <f>IFERROR(VLOOKUP(C751,产品数据!$B:$D,3,FALSE),"")</f>
        <v>桶</v>
      </c>
      <c r="G751" s="6" t="s">
        <v>125</v>
      </c>
    </row>
    <row r="752" spans="1:7">
      <c r="A752" s="6"/>
      <c r="B752" s="5">
        <v>46115</v>
      </c>
      <c r="C752" s="7" t="s">
        <v>42</v>
      </c>
      <c r="D752" s="8" t="str">
        <f>IFERROR(VLOOKUP(C752,产品数据!$B:$D,2,FALSE),"")</f>
        <v>1.68L*6壶</v>
      </c>
      <c r="E752" s="6">
        <v>1</v>
      </c>
      <c r="F752" s="8" t="str">
        <f>IFERROR(VLOOKUP(C752,产品数据!$B:$D,3,FALSE),"")</f>
        <v>壶</v>
      </c>
      <c r="G752" s="6" t="s">
        <v>125</v>
      </c>
    </row>
    <row r="753" spans="1:7">
      <c r="A753" s="6"/>
      <c r="B753" s="5">
        <v>46115</v>
      </c>
      <c r="C753" s="7" t="s">
        <v>54</v>
      </c>
      <c r="D753" s="8" t="str">
        <f>IFERROR(VLOOKUP(C753,产品数据!$B:$D,2,FALSE),"")</f>
        <v>1kg*6瓶/箱</v>
      </c>
      <c r="E753" s="6">
        <v>1</v>
      </c>
      <c r="F753" s="8" t="str">
        <f>IFERROR(VLOOKUP(C753,产品数据!$B:$D,3,FALSE),"")</f>
        <v>瓶</v>
      </c>
      <c r="G753" s="6" t="s">
        <v>125</v>
      </c>
    </row>
    <row r="754" spans="1:7">
      <c r="A754" s="6"/>
      <c r="B754" s="5">
        <v>46115</v>
      </c>
      <c r="C754" s="7" t="s">
        <v>52</v>
      </c>
      <c r="D754" s="8" t="str">
        <f>IFERROR(VLOOKUP(C754,产品数据!$B:$D,2,FALSE),"")</f>
        <v>705ml/瓶</v>
      </c>
      <c r="E754" s="6">
        <v>1</v>
      </c>
      <c r="F754" s="8" t="str">
        <f>IFERROR(VLOOKUP(C754,产品数据!$B:$D,3,FALSE),"")</f>
        <v>瓶</v>
      </c>
      <c r="G754" s="6" t="s">
        <v>125</v>
      </c>
    </row>
    <row r="755" spans="1:7">
      <c r="A755" s="6"/>
      <c r="B755" s="5">
        <v>46115</v>
      </c>
      <c r="C755" s="7" t="s">
        <v>63</v>
      </c>
      <c r="D755" s="8" t="str">
        <f>IFERROR(VLOOKUP(C755,产品数据!$B:$D,2,FALSE),"")</f>
        <v>280g/包</v>
      </c>
      <c r="E755" s="6">
        <v>10</v>
      </c>
      <c r="F755" s="8" t="str">
        <f>IFERROR(VLOOKUP(C755,产品数据!$B:$D,3,FALSE),"")</f>
        <v>包</v>
      </c>
      <c r="G755" s="6" t="s">
        <v>125</v>
      </c>
    </row>
    <row r="756" spans="1:7">
      <c r="A756" s="6"/>
      <c r="B756" s="5">
        <v>46115</v>
      </c>
      <c r="C756" s="7" t="s">
        <v>57</v>
      </c>
      <c r="D756" s="8" t="str">
        <f>IFERROR(VLOOKUP(C756,产品数据!$B:$D,2,FALSE),"")</f>
        <v>400g*25包/箱</v>
      </c>
      <c r="E756" s="6">
        <v>2</v>
      </c>
      <c r="F756" s="8" t="str">
        <f>IFERROR(VLOOKUP(C756,产品数据!$B:$D,3,FALSE),"")</f>
        <v>包</v>
      </c>
      <c r="G756" s="6" t="s">
        <v>125</v>
      </c>
    </row>
    <row r="757" spans="1:7">
      <c r="A757" s="6"/>
      <c r="B757" s="5">
        <v>46115</v>
      </c>
      <c r="C757" s="7" t="s">
        <v>61</v>
      </c>
      <c r="D757" s="8" t="str">
        <f>IFERROR(VLOOKUP(C757,产品数据!$B:$D,2,FALSE),"")</f>
        <v>2.5kg/包</v>
      </c>
      <c r="E757" s="6">
        <v>1</v>
      </c>
      <c r="F757" s="8" t="str">
        <f>IFERROR(VLOOKUP(C757,产品数据!$B:$D,3,FALSE),"")</f>
        <v>包</v>
      </c>
      <c r="G757" s="6" t="s">
        <v>125</v>
      </c>
    </row>
    <row r="758" spans="1:7">
      <c r="A758" s="6"/>
      <c r="B758" s="5">
        <v>46115</v>
      </c>
      <c r="C758" s="7" t="s">
        <v>97</v>
      </c>
      <c r="D758" s="8" t="str">
        <f>IFERROR(VLOOKUP(C758,产品数据!$B:$D,2,FALSE),"")</f>
        <v>2.5L*6桶/箱</v>
      </c>
      <c r="E758" s="6">
        <v>1</v>
      </c>
      <c r="F758" s="8" t="str">
        <f>IFERROR(VLOOKUP(C758,产品数据!$B:$D,3,FALSE),"")</f>
        <v>桶</v>
      </c>
      <c r="G758" s="6" t="s">
        <v>125</v>
      </c>
    </row>
    <row r="759" spans="1:7">
      <c r="A759" s="6"/>
      <c r="B759" s="5">
        <v>46115</v>
      </c>
      <c r="C759" s="7" t="s">
        <v>56</v>
      </c>
      <c r="D759" s="8" t="str">
        <f>IFERROR(VLOOKUP(C759,产品数据!$B:$D,2,FALSE),"")</f>
        <v>178g*50包/箱</v>
      </c>
      <c r="E759" s="6">
        <v>5</v>
      </c>
      <c r="F759" s="8" t="str">
        <f>IFERROR(VLOOKUP(C759,产品数据!$B:$D,3,FALSE),"")</f>
        <v>包</v>
      </c>
      <c r="G759" s="6" t="s">
        <v>125</v>
      </c>
    </row>
    <row r="760" spans="1:7">
      <c r="A760" s="6"/>
      <c r="B760" s="5">
        <v>46115</v>
      </c>
      <c r="C760" s="7" t="s">
        <v>48</v>
      </c>
      <c r="D760" s="8" t="str">
        <f>IFERROR(VLOOKUP(C760,产品数据!$B:$D,2,FALSE),"")</f>
        <v>500克/瓶*24瓶/箱</v>
      </c>
      <c r="E760" s="6">
        <v>1</v>
      </c>
      <c r="F760" s="8" t="str">
        <f>IFERROR(VLOOKUP(C760,产品数据!$B:$D,3,FALSE),"")</f>
        <v>瓶</v>
      </c>
      <c r="G760" s="6" t="s">
        <v>125</v>
      </c>
    </row>
    <row r="761" spans="1:7">
      <c r="A761" s="6"/>
      <c r="B761" s="5">
        <v>46115</v>
      </c>
      <c r="C761" s="7" t="s">
        <v>47</v>
      </c>
      <c r="D761" s="8" t="str">
        <f>IFERROR(VLOOKUP(C761,产品数据!$B:$D,2,FALSE),"")</f>
        <v>500克/瓶*24瓶/箱</v>
      </c>
      <c r="E761" s="6">
        <v>1</v>
      </c>
      <c r="F761" s="8" t="str">
        <f>IFERROR(VLOOKUP(C761,产品数据!$B:$D,3,FALSE),"")</f>
        <v>瓶</v>
      </c>
      <c r="G761" s="6" t="s">
        <v>125</v>
      </c>
    </row>
    <row r="762" spans="1:7">
      <c r="A762" s="6"/>
      <c r="B762" s="5">
        <v>46115</v>
      </c>
      <c r="C762" s="7" t="s">
        <v>56</v>
      </c>
      <c r="D762" s="8" t="str">
        <f>IFERROR(VLOOKUP(C762,产品数据!$B:$D,2,FALSE),"")</f>
        <v>178g*50包/箱</v>
      </c>
      <c r="E762" s="6">
        <v>5</v>
      </c>
      <c r="F762" s="8" t="str">
        <f>IFERROR(VLOOKUP(C762,产品数据!$B:$D,3,FALSE),"")</f>
        <v>包</v>
      </c>
      <c r="G762" s="6" t="s">
        <v>128</v>
      </c>
    </row>
    <row r="763" spans="1:7">
      <c r="A763" s="6"/>
      <c r="B763" s="5">
        <v>46115</v>
      </c>
      <c r="C763" s="7" t="s">
        <v>96</v>
      </c>
      <c r="D763" s="8" t="str">
        <f>IFERROR(VLOOKUP(C763,产品数据!$B:$D,2,FALSE),"")</f>
        <v>10千克/袋</v>
      </c>
      <c r="E763" s="6">
        <v>3</v>
      </c>
      <c r="F763" s="8" t="str">
        <f>IFERROR(VLOOKUP(C763,产品数据!$B:$D,3,FALSE),"")</f>
        <v>袋</v>
      </c>
      <c r="G763" s="6" t="s">
        <v>127</v>
      </c>
    </row>
    <row r="764" spans="1:7">
      <c r="A764" s="6"/>
      <c r="B764" s="5">
        <v>46119</v>
      </c>
      <c r="C764" s="7" t="s">
        <v>41</v>
      </c>
      <c r="D764" s="8" t="str">
        <f>IFERROR(VLOOKUP(C764,产品数据!$B:$D,2,FALSE),"")</f>
        <v>5l/*4桶/箱</v>
      </c>
      <c r="E764" s="6">
        <v>4</v>
      </c>
      <c r="F764" s="8" t="str">
        <f>IFERROR(VLOOKUP(C764,产品数据!$B:$D,3,FALSE),"")</f>
        <v>桶</v>
      </c>
      <c r="G764" s="6" t="s">
        <v>125</v>
      </c>
    </row>
    <row r="765" spans="1:7">
      <c r="A765" s="6"/>
      <c r="B765" s="5">
        <v>46119</v>
      </c>
      <c r="C765" s="7" t="s">
        <v>97</v>
      </c>
      <c r="D765" s="8" t="str">
        <f>IFERROR(VLOOKUP(C765,产品数据!$B:$D,2,FALSE),"")</f>
        <v>2.5L*6桶/箱</v>
      </c>
      <c r="E765" s="6">
        <v>2</v>
      </c>
      <c r="F765" s="8" t="str">
        <f>IFERROR(VLOOKUP(C765,产品数据!$B:$D,3,FALSE),"")</f>
        <v>桶</v>
      </c>
      <c r="G765" s="6" t="s">
        <v>125</v>
      </c>
    </row>
    <row r="766" spans="1:7">
      <c r="A766" s="6"/>
      <c r="B766" s="5">
        <v>46119</v>
      </c>
      <c r="C766" s="7" t="s">
        <v>42</v>
      </c>
      <c r="D766" s="8" t="str">
        <f>IFERROR(VLOOKUP(C766,产品数据!$B:$D,2,FALSE),"")</f>
        <v>1.68L*6壶</v>
      </c>
      <c r="E766" s="6">
        <v>2</v>
      </c>
      <c r="F766" s="8" t="str">
        <f>IFERROR(VLOOKUP(C766,产品数据!$B:$D,3,FALSE),"")</f>
        <v>壶</v>
      </c>
      <c r="G766" s="6" t="s">
        <v>125</v>
      </c>
    </row>
    <row r="767" spans="1:7">
      <c r="A767" s="6"/>
      <c r="B767" s="5">
        <v>46119</v>
      </c>
      <c r="C767" s="7" t="s">
        <v>57</v>
      </c>
      <c r="D767" s="8" t="str">
        <f>IFERROR(VLOOKUP(C767,产品数据!$B:$D,2,FALSE),"")</f>
        <v>400g*25包/箱</v>
      </c>
      <c r="E767" s="6">
        <v>2</v>
      </c>
      <c r="F767" s="8" t="str">
        <f>IFERROR(VLOOKUP(C767,产品数据!$B:$D,3,FALSE),"")</f>
        <v>包</v>
      </c>
      <c r="G767" s="6" t="s">
        <v>125</v>
      </c>
    </row>
    <row r="768" spans="1:7">
      <c r="A768" s="6"/>
      <c r="B768" s="5">
        <v>46119</v>
      </c>
      <c r="C768" s="7" t="s">
        <v>54</v>
      </c>
      <c r="D768" s="8" t="str">
        <f>IFERROR(VLOOKUP(C768,产品数据!$B:$D,2,FALSE),"")</f>
        <v>1kg*6瓶/箱</v>
      </c>
      <c r="E768" s="6">
        <v>1</v>
      </c>
      <c r="F768" s="8" t="str">
        <f>IFERROR(VLOOKUP(C768,产品数据!$B:$D,3,FALSE),"")</f>
        <v>瓶</v>
      </c>
      <c r="G768" s="6" t="s">
        <v>125</v>
      </c>
    </row>
    <row r="769" spans="1:7">
      <c r="A769" s="6"/>
      <c r="B769" s="5">
        <v>46119</v>
      </c>
      <c r="C769" s="7" t="s">
        <v>52</v>
      </c>
      <c r="D769" s="8" t="str">
        <f>IFERROR(VLOOKUP(C769,产品数据!$B:$D,2,FALSE),"")</f>
        <v>705ml/瓶</v>
      </c>
      <c r="E769" s="6">
        <v>1</v>
      </c>
      <c r="F769" s="8" t="str">
        <f>IFERROR(VLOOKUP(C769,产品数据!$B:$D,3,FALSE),"")</f>
        <v>瓶</v>
      </c>
      <c r="G769" s="6" t="s">
        <v>125</v>
      </c>
    </row>
    <row r="770" spans="1:7">
      <c r="A770" s="6"/>
      <c r="B770" s="5">
        <v>46119</v>
      </c>
      <c r="C770" s="7" t="s">
        <v>61</v>
      </c>
      <c r="D770" s="8" t="str">
        <f>IFERROR(VLOOKUP(C770,产品数据!$B:$D,2,FALSE),"")</f>
        <v>2.5kg/包</v>
      </c>
      <c r="E770" s="6">
        <v>1</v>
      </c>
      <c r="F770" s="8" t="str">
        <f>IFERROR(VLOOKUP(C770,产品数据!$B:$D,3,FALSE),"")</f>
        <v>包</v>
      </c>
      <c r="G770" s="6" t="s">
        <v>125</v>
      </c>
    </row>
    <row r="771" spans="1:7">
      <c r="A771" s="6"/>
      <c r="B771" s="5">
        <v>46119</v>
      </c>
      <c r="C771" s="7" t="s">
        <v>45</v>
      </c>
      <c r="D771" s="8" t="str">
        <f>IFERROR(VLOOKUP(C771,产品数据!$B:$D,2,FALSE),"")</f>
        <v>1.9kg/瓶</v>
      </c>
      <c r="E771" s="6">
        <v>1</v>
      </c>
      <c r="F771" s="8" t="str">
        <f>IFERROR(VLOOKUP(C771,产品数据!$B:$D,3,FALSE),"")</f>
        <v>瓶</v>
      </c>
      <c r="G771" s="6" t="s">
        <v>125</v>
      </c>
    </row>
    <row r="772" spans="1:7">
      <c r="A772" s="6"/>
      <c r="B772" s="5">
        <v>46119</v>
      </c>
      <c r="C772" s="7" t="s">
        <v>48</v>
      </c>
      <c r="D772" s="8" t="str">
        <f>IFERROR(VLOOKUP(C772,产品数据!$B:$D,2,FALSE),"")</f>
        <v>500克/瓶*24瓶/箱</v>
      </c>
      <c r="E772" s="6">
        <v>1</v>
      </c>
      <c r="F772" s="8" t="str">
        <f>IFERROR(VLOOKUP(C772,产品数据!$B:$D,3,FALSE),"")</f>
        <v>瓶</v>
      </c>
      <c r="G772" s="6" t="s">
        <v>125</v>
      </c>
    </row>
    <row r="773" spans="1:7">
      <c r="A773" s="6"/>
      <c r="B773" s="5">
        <v>46119</v>
      </c>
      <c r="C773" s="7" t="s">
        <v>41</v>
      </c>
      <c r="D773" s="8" t="str">
        <f>IFERROR(VLOOKUP(C773,产品数据!$B:$D,2,FALSE),"")</f>
        <v>5l/*4桶/箱</v>
      </c>
      <c r="E773" s="6">
        <v>1</v>
      </c>
      <c r="F773" s="8" t="str">
        <f>IFERROR(VLOOKUP(C773,产品数据!$B:$D,3,FALSE),"")</f>
        <v>桶</v>
      </c>
      <c r="G773" s="6" t="s">
        <v>126</v>
      </c>
    </row>
    <row r="774" spans="1:7">
      <c r="A774" s="6"/>
      <c r="B774" s="5">
        <v>46119</v>
      </c>
      <c r="C774" s="7" t="s">
        <v>57</v>
      </c>
      <c r="D774" s="8" t="str">
        <f>IFERROR(VLOOKUP(C774,产品数据!$B:$D,2,FALSE),"")</f>
        <v>400g*25包/箱</v>
      </c>
      <c r="E774" s="6">
        <v>2</v>
      </c>
      <c r="F774" s="8" t="str">
        <f>IFERROR(VLOOKUP(C774,产品数据!$B:$D,3,FALSE),"")</f>
        <v>包</v>
      </c>
      <c r="G774" s="6" t="s">
        <v>126</v>
      </c>
    </row>
    <row r="775" spans="1:7">
      <c r="A775" s="6"/>
      <c r="B775" s="5">
        <v>46119</v>
      </c>
      <c r="C775" s="7" t="s">
        <v>63</v>
      </c>
      <c r="D775" s="8" t="str">
        <f>IFERROR(VLOOKUP(C775,产品数据!$B:$D,2,FALSE),"")</f>
        <v>280g/包</v>
      </c>
      <c r="E775" s="6">
        <v>3</v>
      </c>
      <c r="F775" s="8" t="str">
        <f>IFERROR(VLOOKUP(C775,产品数据!$B:$D,3,FALSE),"")</f>
        <v>包</v>
      </c>
      <c r="G775" s="6" t="s">
        <v>126</v>
      </c>
    </row>
    <row r="776" spans="1:7">
      <c r="A776" s="6"/>
      <c r="B776" s="5">
        <v>46119</v>
      </c>
      <c r="C776" s="7" t="s">
        <v>97</v>
      </c>
      <c r="D776" s="8" t="str">
        <f>IFERROR(VLOOKUP(C776,产品数据!$B:$D,2,FALSE),"")</f>
        <v>2.5L*6桶/箱</v>
      </c>
      <c r="E776" s="6">
        <v>1</v>
      </c>
      <c r="F776" s="8" t="str">
        <f>IFERROR(VLOOKUP(C776,产品数据!$B:$D,3,FALSE),"")</f>
        <v>桶</v>
      </c>
      <c r="G776" s="6" t="s">
        <v>126</v>
      </c>
    </row>
    <row r="777" spans="1:7">
      <c r="A777" s="6"/>
      <c r="B777" s="5">
        <v>46119</v>
      </c>
      <c r="C777" s="7" t="s">
        <v>100</v>
      </c>
      <c r="D777" s="8" t="str">
        <f>IFERROR(VLOOKUP(C777,产品数据!$B:$D,2,FALSE),"")</f>
        <v>5kg/包</v>
      </c>
      <c r="E777" s="6">
        <v>10</v>
      </c>
      <c r="F777" s="8" t="str">
        <f>IFERROR(VLOOKUP(C777,产品数据!$B:$D,3,FALSE),"")</f>
        <v>包</v>
      </c>
      <c r="G777" s="6" t="s">
        <v>128</v>
      </c>
    </row>
    <row r="778" spans="1:7">
      <c r="A778" s="6"/>
      <c r="B778" s="5">
        <v>46119</v>
      </c>
      <c r="C778" s="7" t="s">
        <v>48</v>
      </c>
      <c r="D778" s="8" t="str">
        <f>IFERROR(VLOOKUP(C778,产品数据!$B:$D,2,FALSE),"")</f>
        <v>500克/瓶*24瓶/箱</v>
      </c>
      <c r="E778" s="6">
        <v>1</v>
      </c>
      <c r="F778" s="8" t="str">
        <f>IFERROR(VLOOKUP(C778,产品数据!$B:$D,3,FALSE),"")</f>
        <v>瓶</v>
      </c>
      <c r="G778" s="6" t="s">
        <v>128</v>
      </c>
    </row>
    <row r="779" spans="1:7">
      <c r="A779" s="6"/>
      <c r="B779" s="5">
        <v>46119</v>
      </c>
      <c r="C779" s="7" t="s">
        <v>54</v>
      </c>
      <c r="D779" s="8" t="str">
        <f>IFERROR(VLOOKUP(C779,产品数据!$B:$D,2,FALSE),"")</f>
        <v>1kg*6瓶/箱</v>
      </c>
      <c r="E779" s="6">
        <v>1</v>
      </c>
      <c r="F779" s="8" t="str">
        <f>IFERROR(VLOOKUP(C779,产品数据!$B:$D,3,FALSE),"")</f>
        <v>瓶</v>
      </c>
      <c r="G779" s="6" t="s">
        <v>128</v>
      </c>
    </row>
    <row r="780" spans="1:7">
      <c r="A780" s="6"/>
      <c r="B780" s="5">
        <v>46119</v>
      </c>
      <c r="C780" s="7" t="s">
        <v>55</v>
      </c>
      <c r="D780" s="8" t="str">
        <f>IFERROR(VLOOKUP(C780,产品数据!$B:$D,2,FALSE),"")</f>
        <v>1升*12瓶/箱</v>
      </c>
      <c r="E780" s="6">
        <v>1</v>
      </c>
      <c r="F780" s="8" t="str">
        <f>IFERROR(VLOOKUP(C780,产品数据!$B:$D,3,FALSE),"")</f>
        <v>瓶</v>
      </c>
      <c r="G780" s="6" t="s">
        <v>128</v>
      </c>
    </row>
    <row r="781" spans="1:7">
      <c r="A781" s="6"/>
      <c r="B781" s="5">
        <v>46119</v>
      </c>
      <c r="C781" s="7" t="s">
        <v>57</v>
      </c>
      <c r="D781" s="8" t="str">
        <f>IFERROR(VLOOKUP(C781,产品数据!$B:$D,2,FALSE),"")</f>
        <v>400g*25包/箱</v>
      </c>
      <c r="E781" s="6">
        <v>1</v>
      </c>
      <c r="F781" s="8" t="str">
        <f>IFERROR(VLOOKUP(C781,产品数据!$B:$D,3,FALSE),"")</f>
        <v>包</v>
      </c>
      <c r="G781" s="6" t="s">
        <v>128</v>
      </c>
    </row>
    <row r="782" spans="1:7">
      <c r="A782" s="6"/>
      <c r="B782" s="5">
        <v>46119</v>
      </c>
      <c r="C782" s="7" t="s">
        <v>96</v>
      </c>
      <c r="D782" s="8" t="str">
        <f>IFERROR(VLOOKUP(C782,产品数据!$B:$D,2,FALSE),"")</f>
        <v>10千克/袋</v>
      </c>
      <c r="E782" s="6">
        <v>3</v>
      </c>
      <c r="F782" s="8" t="str">
        <f>IFERROR(VLOOKUP(C782,产品数据!$B:$D,3,FALSE),"")</f>
        <v>袋</v>
      </c>
      <c r="G782" s="6" t="s">
        <v>127</v>
      </c>
    </row>
    <row r="783" spans="1:7">
      <c r="A783" s="6"/>
      <c r="B783" s="5">
        <v>46120</v>
      </c>
      <c r="C783" s="7" t="s">
        <v>41</v>
      </c>
      <c r="D783" s="8" t="str">
        <f>IFERROR(VLOOKUP(C783,产品数据!$B:$D,2,FALSE),"")</f>
        <v>5l/*4桶/箱</v>
      </c>
      <c r="E783" s="6">
        <v>4</v>
      </c>
      <c r="F783" s="8" t="str">
        <f>IFERROR(VLOOKUP(C783,产品数据!$B:$D,3,FALSE),"")</f>
        <v>桶</v>
      </c>
      <c r="G783" s="6" t="s">
        <v>125</v>
      </c>
    </row>
    <row r="784" spans="1:7">
      <c r="A784" s="6"/>
      <c r="B784" s="5">
        <v>46120</v>
      </c>
      <c r="C784" s="7" t="s">
        <v>43</v>
      </c>
      <c r="D784" s="8" t="str">
        <f>IFERROR(VLOOKUP(C784,产品数据!$B:$D,2,FALSE),"")</f>
        <v>1.9升/瓶*6瓶/箱</v>
      </c>
      <c r="E784" s="6">
        <v>1</v>
      </c>
      <c r="F784" s="8" t="str">
        <f>IFERROR(VLOOKUP(C784,产品数据!$B:$D,3,FALSE),"")</f>
        <v>瓶</v>
      </c>
      <c r="G784" s="6" t="s">
        <v>125</v>
      </c>
    </row>
    <row r="785" spans="1:7">
      <c r="A785" s="6"/>
      <c r="B785" s="5">
        <v>46120</v>
      </c>
      <c r="C785" s="7" t="s">
        <v>44</v>
      </c>
      <c r="D785" s="8" t="str">
        <f>IFERROR(VLOOKUP(C785,产品数据!$B:$D,2,FALSE),"")</f>
        <v>1.9升/瓶*6瓶/箱</v>
      </c>
      <c r="E785" s="6">
        <v>1</v>
      </c>
      <c r="F785" s="8" t="str">
        <f>IFERROR(VLOOKUP(C785,产品数据!$B:$D,3,FALSE),"")</f>
        <v>瓶</v>
      </c>
      <c r="G785" s="6" t="s">
        <v>125</v>
      </c>
    </row>
    <row r="786" spans="1:7">
      <c r="A786" s="6"/>
      <c r="B786" s="5">
        <v>46120</v>
      </c>
      <c r="C786" s="7" t="s">
        <v>57</v>
      </c>
      <c r="D786" s="8" t="str">
        <f>IFERROR(VLOOKUP(C786,产品数据!$B:$D,2,FALSE),"")</f>
        <v>400g*25包/箱</v>
      </c>
      <c r="E786" s="6">
        <v>2</v>
      </c>
      <c r="F786" s="8" t="str">
        <f>IFERROR(VLOOKUP(C786,产品数据!$B:$D,3,FALSE),"")</f>
        <v>包</v>
      </c>
      <c r="G786" s="6" t="s">
        <v>125</v>
      </c>
    </row>
    <row r="787" spans="1:7">
      <c r="A787" s="6"/>
      <c r="B787" s="5">
        <v>46120</v>
      </c>
      <c r="C787" s="7" t="s">
        <v>63</v>
      </c>
      <c r="D787" s="8" t="str">
        <f>IFERROR(VLOOKUP(C787,产品数据!$B:$D,2,FALSE),"")</f>
        <v>280g/包</v>
      </c>
      <c r="E787" s="6">
        <v>1</v>
      </c>
      <c r="F787" s="8" t="str">
        <f>IFERROR(VLOOKUP(C787,产品数据!$B:$D,3,FALSE),"")</f>
        <v>包</v>
      </c>
      <c r="G787" s="6" t="s">
        <v>125</v>
      </c>
    </row>
    <row r="788" spans="1:7">
      <c r="A788" s="6"/>
      <c r="B788" s="5">
        <v>46120</v>
      </c>
      <c r="C788" s="7" t="s">
        <v>58</v>
      </c>
      <c r="D788" s="8" t="str">
        <f>IFERROR(VLOOKUP(C788,产品数据!$B:$D,2,FALSE),"")</f>
        <v>200克/包</v>
      </c>
      <c r="E788" s="6">
        <v>2</v>
      </c>
      <c r="F788" s="8" t="str">
        <f>IFERROR(VLOOKUP(C788,产品数据!$B:$D,3,FALSE),"")</f>
        <v>包</v>
      </c>
      <c r="G788" s="6" t="s">
        <v>125</v>
      </c>
    </row>
    <row r="789" spans="1:7">
      <c r="A789" s="6"/>
      <c r="B789" s="5">
        <v>46120</v>
      </c>
      <c r="C789" s="7" t="s">
        <v>45</v>
      </c>
      <c r="D789" s="8" t="str">
        <f>IFERROR(VLOOKUP(C789,产品数据!$B:$D,2,FALSE),"")</f>
        <v>1.9kg/瓶</v>
      </c>
      <c r="E789" s="6">
        <v>2</v>
      </c>
      <c r="F789" s="8" t="str">
        <f>IFERROR(VLOOKUP(C789,产品数据!$B:$D,3,FALSE),"")</f>
        <v>瓶</v>
      </c>
      <c r="G789" s="6" t="s">
        <v>125</v>
      </c>
    </row>
    <row r="790" spans="1:7">
      <c r="A790" s="6"/>
      <c r="B790" s="5">
        <v>46120</v>
      </c>
      <c r="C790" s="7" t="s">
        <v>50</v>
      </c>
      <c r="D790" s="8" t="str">
        <f>IFERROR(VLOOKUP(C790,产品数据!$B:$D,2,FALSE),"")</f>
        <v>2kg/包*6包/箱</v>
      </c>
      <c r="E790" s="6">
        <v>1</v>
      </c>
      <c r="F790" s="8" t="str">
        <f>IFERROR(VLOOKUP(C790,产品数据!$B:$D,3,FALSE),"")</f>
        <v>包</v>
      </c>
      <c r="G790" s="6" t="s">
        <v>125</v>
      </c>
    </row>
    <row r="791" spans="1:7">
      <c r="A791" s="6"/>
      <c r="B791" s="5">
        <v>46120</v>
      </c>
      <c r="C791" s="7" t="s">
        <v>54</v>
      </c>
      <c r="D791" s="8" t="str">
        <f>IFERROR(VLOOKUP(C791,产品数据!$B:$D,2,FALSE),"")</f>
        <v>1kg*6瓶/箱</v>
      </c>
      <c r="E791" s="6">
        <v>1</v>
      </c>
      <c r="F791" s="8" t="str">
        <f>IFERROR(VLOOKUP(C791,产品数据!$B:$D,3,FALSE),"")</f>
        <v>瓶</v>
      </c>
      <c r="G791" s="6" t="s">
        <v>125</v>
      </c>
    </row>
    <row r="792" spans="1:7">
      <c r="A792" s="6"/>
      <c r="B792" s="5">
        <v>46120</v>
      </c>
      <c r="C792" s="7" t="s">
        <v>52</v>
      </c>
      <c r="D792" s="8" t="str">
        <f>IFERROR(VLOOKUP(C792,产品数据!$B:$D,2,FALSE),"")</f>
        <v>705ml/瓶</v>
      </c>
      <c r="E792" s="6">
        <v>1</v>
      </c>
      <c r="F792" s="8" t="str">
        <f>IFERROR(VLOOKUP(C792,产品数据!$B:$D,3,FALSE),"")</f>
        <v>瓶</v>
      </c>
      <c r="G792" s="6" t="s">
        <v>125</v>
      </c>
    </row>
    <row r="793" spans="1:7">
      <c r="A793" s="6"/>
      <c r="B793" s="5">
        <v>46120</v>
      </c>
      <c r="C793" s="7" t="s">
        <v>42</v>
      </c>
      <c r="D793" s="8" t="str">
        <f>IFERROR(VLOOKUP(C793,产品数据!$B:$D,2,FALSE),"")</f>
        <v>1.68L*6壶</v>
      </c>
      <c r="E793" s="6">
        <v>1</v>
      </c>
      <c r="F793" s="8" t="str">
        <f>IFERROR(VLOOKUP(C793,产品数据!$B:$D,3,FALSE),"")</f>
        <v>壶</v>
      </c>
      <c r="G793" s="6" t="s">
        <v>125</v>
      </c>
    </row>
    <row r="794" spans="1:7">
      <c r="A794" s="6"/>
      <c r="B794" s="5">
        <v>46120</v>
      </c>
      <c r="C794" s="7" t="s">
        <v>96</v>
      </c>
      <c r="D794" s="8" t="str">
        <f>IFERROR(VLOOKUP(C794,产品数据!$B:$D,2,FALSE),"")</f>
        <v>10千克/袋</v>
      </c>
      <c r="E794" s="6">
        <v>3</v>
      </c>
      <c r="F794" s="8" t="str">
        <f>IFERROR(VLOOKUP(C794,产品数据!$B:$D,3,FALSE),"")</f>
        <v>袋</v>
      </c>
      <c r="G794" s="6" t="s">
        <v>127</v>
      </c>
    </row>
    <row r="795" spans="1:7">
      <c r="A795" s="6"/>
      <c r="B795" s="5">
        <v>46121</v>
      </c>
      <c r="C795" s="7" t="s">
        <v>41</v>
      </c>
      <c r="D795" s="8" t="str">
        <f>IFERROR(VLOOKUP(C795,产品数据!$B:$D,2,FALSE),"")</f>
        <v>5l/*4桶/箱</v>
      </c>
      <c r="E795" s="6">
        <v>4</v>
      </c>
      <c r="F795" s="8" t="str">
        <f>IFERROR(VLOOKUP(C795,产品数据!$B:$D,3,FALSE),"")</f>
        <v>桶</v>
      </c>
      <c r="G795" s="6" t="s">
        <v>125</v>
      </c>
    </row>
    <row r="796" spans="1:7">
      <c r="A796" s="6"/>
      <c r="B796" s="5">
        <v>46121</v>
      </c>
      <c r="C796" s="7" t="s">
        <v>44</v>
      </c>
      <c r="D796" s="8" t="str">
        <f>IFERROR(VLOOKUP(C796,产品数据!$B:$D,2,FALSE),"")</f>
        <v>1.9升/瓶*6瓶/箱</v>
      </c>
      <c r="E796" s="6">
        <v>1</v>
      </c>
      <c r="F796" s="8" t="str">
        <f>IFERROR(VLOOKUP(C796,产品数据!$B:$D,3,FALSE),"")</f>
        <v>瓶</v>
      </c>
      <c r="G796" s="6" t="s">
        <v>125</v>
      </c>
    </row>
    <row r="797" spans="1:7">
      <c r="A797" s="6"/>
      <c r="B797" s="5">
        <v>46121</v>
      </c>
      <c r="C797" s="7" t="s">
        <v>43</v>
      </c>
      <c r="D797" s="8" t="str">
        <f>IFERROR(VLOOKUP(C797,产品数据!$B:$D,2,FALSE),"")</f>
        <v>1.9升/瓶*6瓶/箱</v>
      </c>
      <c r="E797" s="6">
        <v>1</v>
      </c>
      <c r="F797" s="8" t="str">
        <f>IFERROR(VLOOKUP(C797,产品数据!$B:$D,3,FALSE),"")</f>
        <v>瓶</v>
      </c>
      <c r="G797" s="6" t="s">
        <v>125</v>
      </c>
    </row>
    <row r="798" spans="1:7">
      <c r="A798" s="6"/>
      <c r="B798" s="5">
        <v>46121</v>
      </c>
      <c r="C798" s="7" t="s">
        <v>42</v>
      </c>
      <c r="D798" s="8" t="str">
        <f>IFERROR(VLOOKUP(C798,产品数据!$B:$D,2,FALSE),"")</f>
        <v>1.68L*6壶</v>
      </c>
      <c r="E798" s="6">
        <v>1</v>
      </c>
      <c r="F798" s="8" t="str">
        <f>IFERROR(VLOOKUP(C798,产品数据!$B:$D,3,FALSE),"")</f>
        <v>壶</v>
      </c>
      <c r="G798" s="6" t="s">
        <v>125</v>
      </c>
    </row>
    <row r="799" spans="1:7">
      <c r="A799" s="6"/>
      <c r="B799" s="5">
        <v>46121</v>
      </c>
      <c r="C799" s="7" t="s">
        <v>54</v>
      </c>
      <c r="D799" s="8" t="str">
        <f>IFERROR(VLOOKUP(C799,产品数据!$B:$D,2,FALSE),"")</f>
        <v>1kg*6瓶/箱</v>
      </c>
      <c r="E799" s="6">
        <v>1</v>
      </c>
      <c r="F799" s="8" t="str">
        <f>IFERROR(VLOOKUP(C799,产品数据!$B:$D,3,FALSE),"")</f>
        <v>瓶</v>
      </c>
      <c r="G799" s="6" t="s">
        <v>125</v>
      </c>
    </row>
    <row r="800" spans="1:7">
      <c r="A800" s="6"/>
      <c r="B800" s="5">
        <v>46121</v>
      </c>
      <c r="C800" s="7" t="s">
        <v>52</v>
      </c>
      <c r="D800" s="8" t="str">
        <f>IFERROR(VLOOKUP(C800,产品数据!$B:$D,2,FALSE),"")</f>
        <v>705ml/瓶</v>
      </c>
      <c r="E800" s="6">
        <v>1</v>
      </c>
      <c r="F800" s="8" t="str">
        <f>IFERROR(VLOOKUP(C800,产品数据!$B:$D,3,FALSE),"")</f>
        <v>瓶</v>
      </c>
      <c r="G800" s="6" t="s">
        <v>125</v>
      </c>
    </row>
    <row r="801" spans="1:7">
      <c r="A801" s="6"/>
      <c r="B801" s="5">
        <v>46121</v>
      </c>
      <c r="C801" s="7" t="s">
        <v>57</v>
      </c>
      <c r="D801" s="8" t="str">
        <f>IFERROR(VLOOKUP(C801,产品数据!$B:$D,2,FALSE),"")</f>
        <v>400g*25包/箱</v>
      </c>
      <c r="E801" s="6">
        <v>2</v>
      </c>
      <c r="F801" s="8" t="str">
        <f>IFERROR(VLOOKUP(C801,产品数据!$B:$D,3,FALSE),"")</f>
        <v>包</v>
      </c>
      <c r="G801" s="6" t="s">
        <v>125</v>
      </c>
    </row>
    <row r="802" spans="1:7">
      <c r="A802" s="6"/>
      <c r="B802" s="5">
        <v>46121</v>
      </c>
      <c r="C802" s="7" t="s">
        <v>63</v>
      </c>
      <c r="D802" s="8" t="str">
        <f>IFERROR(VLOOKUP(C802,产品数据!$B:$D,2,FALSE),"")</f>
        <v>280g/包</v>
      </c>
      <c r="E802" s="6">
        <v>5</v>
      </c>
      <c r="F802" s="8" t="str">
        <f>IFERROR(VLOOKUP(C802,产品数据!$B:$D,3,FALSE),"")</f>
        <v>包</v>
      </c>
      <c r="G802" s="6" t="s">
        <v>125</v>
      </c>
    </row>
    <row r="803" spans="1:7">
      <c r="A803" s="6"/>
      <c r="B803" s="5">
        <v>46121</v>
      </c>
      <c r="C803" s="7" t="s">
        <v>100</v>
      </c>
      <c r="D803" s="8" t="str">
        <f>IFERROR(VLOOKUP(C803,产品数据!$B:$D,2,FALSE),"")</f>
        <v>5kg/包</v>
      </c>
      <c r="E803" s="6">
        <v>5</v>
      </c>
      <c r="F803" s="8" t="str">
        <f>IFERROR(VLOOKUP(C803,产品数据!$B:$D,3,FALSE),"")</f>
        <v>包</v>
      </c>
      <c r="G803" s="6" t="s">
        <v>128</v>
      </c>
    </row>
    <row r="804" spans="1:7">
      <c r="A804" s="6"/>
      <c r="B804" s="5">
        <v>46121</v>
      </c>
      <c r="C804" s="7" t="s">
        <v>56</v>
      </c>
      <c r="D804" s="8" t="str">
        <f>IFERROR(VLOOKUP(C804,产品数据!$B:$D,2,FALSE),"")</f>
        <v>178g*50包/箱</v>
      </c>
      <c r="E804" s="6">
        <v>5</v>
      </c>
      <c r="F804" s="8" t="str">
        <f>IFERROR(VLOOKUP(C804,产品数据!$B:$D,3,FALSE),"")</f>
        <v>包</v>
      </c>
      <c r="G804" s="6" t="s">
        <v>127</v>
      </c>
    </row>
    <row r="805" spans="1:7">
      <c r="A805" s="6"/>
      <c r="B805" s="5">
        <v>46121</v>
      </c>
      <c r="C805" s="7" t="s">
        <v>96</v>
      </c>
      <c r="D805" s="8" t="str">
        <f>IFERROR(VLOOKUP(C805,产品数据!$B:$D,2,FALSE),"")</f>
        <v>10千克/袋</v>
      </c>
      <c r="E805" s="6">
        <v>3</v>
      </c>
      <c r="F805" s="8" t="str">
        <f>IFERROR(VLOOKUP(C805,产品数据!$B:$D,3,FALSE),"")</f>
        <v>袋</v>
      </c>
      <c r="G805" s="6" t="s">
        <v>127</v>
      </c>
    </row>
    <row r="806" spans="1:7">
      <c r="A806" s="6"/>
      <c r="B806" s="5">
        <v>46122</v>
      </c>
      <c r="C806" s="7" t="s">
        <v>41</v>
      </c>
      <c r="D806" s="8" t="str">
        <f>IFERROR(VLOOKUP(C806,产品数据!$B:$D,2,FALSE),"")</f>
        <v>5l/*4桶/箱</v>
      </c>
      <c r="E806" s="6">
        <v>4</v>
      </c>
      <c r="F806" s="8" t="str">
        <f>IFERROR(VLOOKUP(C806,产品数据!$B:$D,3,FALSE),"")</f>
        <v>桶</v>
      </c>
      <c r="G806" s="6" t="s">
        <v>125</v>
      </c>
    </row>
    <row r="807" spans="1:7">
      <c r="A807" s="6"/>
      <c r="B807" s="5">
        <v>46122</v>
      </c>
      <c r="C807" s="7" t="s">
        <v>63</v>
      </c>
      <c r="D807" s="8" t="str">
        <f>IFERROR(VLOOKUP(C807,产品数据!$B:$D,2,FALSE),"")</f>
        <v>280g/包</v>
      </c>
      <c r="E807" s="6">
        <v>9</v>
      </c>
      <c r="F807" s="8" t="str">
        <f>IFERROR(VLOOKUP(C807,产品数据!$B:$D,3,FALSE),"")</f>
        <v>包</v>
      </c>
      <c r="G807" s="6" t="s">
        <v>125</v>
      </c>
    </row>
    <row r="808" spans="1:7">
      <c r="A808" s="6"/>
      <c r="B808" s="5">
        <v>46122</v>
      </c>
      <c r="C808" s="7" t="s">
        <v>61</v>
      </c>
      <c r="D808" s="8" t="str">
        <f>IFERROR(VLOOKUP(C808,产品数据!$B:$D,2,FALSE),"")</f>
        <v>2.5kg/包</v>
      </c>
      <c r="E808" s="6">
        <v>1</v>
      </c>
      <c r="F808" s="8" t="str">
        <f>IFERROR(VLOOKUP(C808,产品数据!$B:$D,3,FALSE),"")</f>
        <v>包</v>
      </c>
      <c r="G808" s="6" t="s">
        <v>125</v>
      </c>
    </row>
    <row r="809" spans="1:7">
      <c r="A809" s="6"/>
      <c r="B809" s="5">
        <v>46122</v>
      </c>
      <c r="C809" s="7" t="s">
        <v>57</v>
      </c>
      <c r="D809" s="8" t="str">
        <f>IFERROR(VLOOKUP(C809,产品数据!$B:$D,2,FALSE),"")</f>
        <v>400g*25包/箱</v>
      </c>
      <c r="E809" s="6">
        <v>2</v>
      </c>
      <c r="F809" s="8" t="str">
        <f>IFERROR(VLOOKUP(C809,产品数据!$B:$D,3,FALSE),"")</f>
        <v>包</v>
      </c>
      <c r="G809" s="6" t="s">
        <v>125</v>
      </c>
    </row>
    <row r="810" spans="1:7">
      <c r="A810" s="6"/>
      <c r="B810" s="5">
        <v>46122</v>
      </c>
      <c r="C810" s="7" t="s">
        <v>44</v>
      </c>
      <c r="D810" s="8" t="str">
        <f>IFERROR(VLOOKUP(C810,产品数据!$B:$D,2,FALSE),"")</f>
        <v>1.9升/瓶*6瓶/箱</v>
      </c>
      <c r="E810" s="6">
        <v>1</v>
      </c>
      <c r="F810" s="8" t="str">
        <f>IFERROR(VLOOKUP(C810,产品数据!$B:$D,3,FALSE),"")</f>
        <v>瓶</v>
      </c>
      <c r="G810" s="6" t="s">
        <v>125</v>
      </c>
    </row>
    <row r="811" spans="1:7">
      <c r="A811" s="6"/>
      <c r="B811" s="5">
        <v>46122</v>
      </c>
      <c r="C811" s="7" t="s">
        <v>43</v>
      </c>
      <c r="D811" s="8" t="str">
        <f>IFERROR(VLOOKUP(C811,产品数据!$B:$D,2,FALSE),"")</f>
        <v>1.9升/瓶*6瓶/箱</v>
      </c>
      <c r="E811" s="6">
        <v>1</v>
      </c>
      <c r="F811" s="8" t="str">
        <f>IFERROR(VLOOKUP(C811,产品数据!$B:$D,3,FALSE),"")</f>
        <v>瓶</v>
      </c>
      <c r="G811" s="6" t="s">
        <v>125</v>
      </c>
    </row>
    <row r="812" spans="1:7">
      <c r="A812" s="6"/>
      <c r="B812" s="5">
        <v>46122</v>
      </c>
      <c r="C812" s="7" t="s">
        <v>54</v>
      </c>
      <c r="D812" s="8" t="str">
        <f>IFERROR(VLOOKUP(C812,产品数据!$B:$D,2,FALSE),"")</f>
        <v>1kg*6瓶/箱</v>
      </c>
      <c r="E812" s="6">
        <v>1</v>
      </c>
      <c r="F812" s="8" t="str">
        <f>IFERROR(VLOOKUP(C812,产品数据!$B:$D,3,FALSE),"")</f>
        <v>瓶</v>
      </c>
      <c r="G812" s="6" t="s">
        <v>125</v>
      </c>
    </row>
    <row r="813" spans="1:7">
      <c r="A813" s="6"/>
      <c r="B813" s="5">
        <v>46122</v>
      </c>
      <c r="C813" s="7" t="s">
        <v>52</v>
      </c>
      <c r="D813" s="8" t="str">
        <f>IFERROR(VLOOKUP(C813,产品数据!$B:$D,2,FALSE),"")</f>
        <v>705ml/瓶</v>
      </c>
      <c r="E813" s="6">
        <v>1</v>
      </c>
      <c r="F813" s="8" t="str">
        <f>IFERROR(VLOOKUP(C813,产品数据!$B:$D,3,FALSE),"")</f>
        <v>瓶</v>
      </c>
      <c r="G813" s="6" t="s">
        <v>125</v>
      </c>
    </row>
    <row r="814" spans="1:7">
      <c r="A814" s="6"/>
      <c r="B814" s="5">
        <v>46122</v>
      </c>
      <c r="C814" s="7" t="s">
        <v>42</v>
      </c>
      <c r="D814" s="8" t="str">
        <f>IFERROR(VLOOKUP(C814,产品数据!$B:$D,2,FALSE),"")</f>
        <v>1.68L*6壶</v>
      </c>
      <c r="E814" s="6">
        <v>1</v>
      </c>
      <c r="F814" s="8" t="str">
        <f>IFERROR(VLOOKUP(C814,产品数据!$B:$D,3,FALSE),"")</f>
        <v>壶</v>
      </c>
      <c r="G814" s="6" t="s">
        <v>125</v>
      </c>
    </row>
    <row r="815" spans="1:7">
      <c r="A815" s="6"/>
      <c r="B815" s="5">
        <v>46122</v>
      </c>
      <c r="C815" s="7" t="s">
        <v>97</v>
      </c>
      <c r="D815" s="8" t="str">
        <f>IFERROR(VLOOKUP(C815,产品数据!$B:$D,2,FALSE),"")</f>
        <v>2.5L*6桶/箱</v>
      </c>
      <c r="E815" s="6">
        <v>1</v>
      </c>
      <c r="F815" s="8" t="str">
        <f>IFERROR(VLOOKUP(C815,产品数据!$B:$D,3,FALSE),"")</f>
        <v>桶</v>
      </c>
      <c r="G815" s="6" t="s">
        <v>125</v>
      </c>
    </row>
    <row r="816" spans="1:7">
      <c r="A816" s="6"/>
      <c r="B816" s="5">
        <v>46122</v>
      </c>
      <c r="C816" s="7" t="s">
        <v>96</v>
      </c>
      <c r="D816" s="8" t="str">
        <f>IFERROR(VLOOKUP(C816,产品数据!$B:$D,2,FALSE),"")</f>
        <v>10千克/袋</v>
      </c>
      <c r="E816" s="6">
        <v>6</v>
      </c>
      <c r="F816" s="8" t="str">
        <f>IFERROR(VLOOKUP(C816,产品数据!$B:$D,3,FALSE),"")</f>
        <v>袋</v>
      </c>
      <c r="G816" s="6" t="s">
        <v>127</v>
      </c>
    </row>
    <row r="817" spans="1:7">
      <c r="A817" s="6"/>
      <c r="B817" s="5">
        <v>46125</v>
      </c>
      <c r="C817" s="7" t="s">
        <v>41</v>
      </c>
      <c r="D817" s="8" t="str">
        <f>IFERROR(VLOOKUP(C817,产品数据!$B:$D,2,FALSE),"")</f>
        <v>5l/*4桶/箱</v>
      </c>
      <c r="E817" s="6">
        <v>4</v>
      </c>
      <c r="F817" s="8" t="str">
        <f>IFERROR(VLOOKUP(C817,产品数据!$B:$D,3,FALSE),"")</f>
        <v>桶</v>
      </c>
      <c r="G817" s="6" t="s">
        <v>125</v>
      </c>
    </row>
    <row r="818" spans="1:7">
      <c r="A818" s="6"/>
      <c r="B818" s="5">
        <v>46125</v>
      </c>
      <c r="C818" s="7" t="s">
        <v>44</v>
      </c>
      <c r="D818" s="8" t="str">
        <f>IFERROR(VLOOKUP(C818,产品数据!$B:$D,2,FALSE),"")</f>
        <v>1.9升/瓶*6瓶/箱</v>
      </c>
      <c r="E818" s="6">
        <v>1</v>
      </c>
      <c r="F818" s="8" t="str">
        <f>IFERROR(VLOOKUP(C818,产品数据!$B:$D,3,FALSE),"")</f>
        <v>瓶</v>
      </c>
      <c r="G818" s="6" t="s">
        <v>125</v>
      </c>
    </row>
    <row r="819" spans="1:7">
      <c r="A819" s="6"/>
      <c r="B819" s="5">
        <v>46125</v>
      </c>
      <c r="C819" s="7" t="s">
        <v>42</v>
      </c>
      <c r="D819" s="8" t="str">
        <f>IFERROR(VLOOKUP(C819,产品数据!$B:$D,2,FALSE),"")</f>
        <v>1.68L*6壶</v>
      </c>
      <c r="E819" s="6">
        <v>1</v>
      </c>
      <c r="F819" s="8" t="str">
        <f>IFERROR(VLOOKUP(C819,产品数据!$B:$D,3,FALSE),"")</f>
        <v>壶</v>
      </c>
      <c r="G819" s="6" t="s">
        <v>125</v>
      </c>
    </row>
    <row r="820" spans="1:7">
      <c r="A820" s="6"/>
      <c r="B820" s="5">
        <v>46125</v>
      </c>
      <c r="C820" s="7" t="s">
        <v>104</v>
      </c>
      <c r="D820" s="8" t="str">
        <f>IFERROR(VLOOKUP(C820,产品数据!$B:$D,2,FALSE),"")</f>
        <v>500ml*6瓶/箱</v>
      </c>
      <c r="E820" s="6">
        <v>2</v>
      </c>
      <c r="F820" s="8" t="str">
        <f>IFERROR(VLOOKUP(C820,产品数据!$B:$D,3,FALSE),"")</f>
        <v>瓶</v>
      </c>
      <c r="G820" s="6" t="s">
        <v>125</v>
      </c>
    </row>
    <row r="821" spans="1:7">
      <c r="A821" s="6"/>
      <c r="B821" s="5">
        <v>46125</v>
      </c>
      <c r="C821" s="7" t="s">
        <v>52</v>
      </c>
      <c r="D821" s="8" t="str">
        <f>IFERROR(VLOOKUP(C821,产品数据!$B:$D,2,FALSE),"")</f>
        <v>705ml/瓶</v>
      </c>
      <c r="E821" s="6">
        <v>1</v>
      </c>
      <c r="F821" s="8" t="str">
        <f>IFERROR(VLOOKUP(C821,产品数据!$B:$D,3,FALSE),"")</f>
        <v>瓶</v>
      </c>
      <c r="G821" s="6" t="s">
        <v>125</v>
      </c>
    </row>
    <row r="822" spans="1:7">
      <c r="A822" s="6"/>
      <c r="B822" s="5">
        <v>46125</v>
      </c>
      <c r="C822" s="7" t="s">
        <v>54</v>
      </c>
      <c r="D822" s="8" t="str">
        <f>IFERROR(VLOOKUP(C822,产品数据!$B:$D,2,FALSE),"")</f>
        <v>1kg*6瓶/箱</v>
      </c>
      <c r="E822" s="6">
        <v>1</v>
      </c>
      <c r="F822" s="8" t="str">
        <f>IFERROR(VLOOKUP(C822,产品数据!$B:$D,3,FALSE),"")</f>
        <v>瓶</v>
      </c>
      <c r="G822" s="6" t="s">
        <v>125</v>
      </c>
    </row>
    <row r="823" spans="1:7">
      <c r="A823" s="6"/>
      <c r="B823" s="5">
        <v>46125</v>
      </c>
      <c r="C823" s="7" t="s">
        <v>98</v>
      </c>
      <c r="D823" s="8" t="str">
        <f>IFERROR(VLOOKUP(C823,产品数据!$B:$D,2,FALSE),"")</f>
        <v>360g/包</v>
      </c>
      <c r="E823" s="6">
        <v>2</v>
      </c>
      <c r="F823" s="8" t="str">
        <f>IFERROR(VLOOKUP(C823,产品数据!$B:$D,3,FALSE),"")</f>
        <v>包</v>
      </c>
      <c r="G823" s="6" t="s">
        <v>125</v>
      </c>
    </row>
    <row r="824" spans="1:7">
      <c r="A824" s="6"/>
      <c r="B824" s="5">
        <v>46125</v>
      </c>
      <c r="C824" s="7" t="s">
        <v>58</v>
      </c>
      <c r="D824" s="8" t="str">
        <f>IFERROR(VLOOKUP(C824,产品数据!$B:$D,2,FALSE),"")</f>
        <v>200克/包</v>
      </c>
      <c r="E824" s="6">
        <v>2</v>
      </c>
      <c r="F824" s="8" t="str">
        <f>IFERROR(VLOOKUP(C824,产品数据!$B:$D,3,FALSE),"")</f>
        <v>包</v>
      </c>
      <c r="G824" s="6" t="s">
        <v>125</v>
      </c>
    </row>
    <row r="825" spans="1:7">
      <c r="A825" s="6"/>
      <c r="B825" s="5">
        <v>46125</v>
      </c>
      <c r="C825" s="7" t="s">
        <v>63</v>
      </c>
      <c r="D825" s="8" t="str">
        <f>IFERROR(VLOOKUP(C825,产品数据!$B:$D,2,FALSE),"")</f>
        <v>280g/包</v>
      </c>
      <c r="E825" s="6">
        <v>5</v>
      </c>
      <c r="F825" s="8" t="str">
        <f>IFERROR(VLOOKUP(C825,产品数据!$B:$D,3,FALSE),"")</f>
        <v>包</v>
      </c>
      <c r="G825" s="6" t="s">
        <v>125</v>
      </c>
    </row>
    <row r="826" spans="1:7">
      <c r="A826" s="6"/>
      <c r="B826" s="5">
        <v>46125</v>
      </c>
      <c r="C826" s="7" t="s">
        <v>50</v>
      </c>
      <c r="D826" s="8" t="str">
        <f>IFERROR(VLOOKUP(C826,产品数据!$B:$D,2,FALSE),"")</f>
        <v>2kg/包*6包/箱</v>
      </c>
      <c r="E826" s="6">
        <v>1</v>
      </c>
      <c r="F826" s="8" t="str">
        <f>IFERROR(VLOOKUP(C826,产品数据!$B:$D,3,FALSE),"")</f>
        <v>包</v>
      </c>
      <c r="G826" s="6" t="s">
        <v>125</v>
      </c>
    </row>
    <row r="827" spans="1:7">
      <c r="A827" s="6"/>
      <c r="B827" s="5">
        <v>46125</v>
      </c>
      <c r="C827" s="7" t="s">
        <v>57</v>
      </c>
      <c r="D827" s="8" t="str">
        <f>IFERROR(VLOOKUP(C827,产品数据!$B:$D,2,FALSE),"")</f>
        <v>400g*25包/箱</v>
      </c>
      <c r="E827" s="6">
        <v>2</v>
      </c>
      <c r="F827" s="8" t="str">
        <f>IFERROR(VLOOKUP(C827,产品数据!$B:$D,3,FALSE),"")</f>
        <v>包</v>
      </c>
      <c r="G827" s="6" t="s">
        <v>125</v>
      </c>
    </row>
    <row r="828" spans="1:7">
      <c r="A828" s="6"/>
      <c r="B828" s="5">
        <v>46125</v>
      </c>
      <c r="C828" s="7" t="s">
        <v>100</v>
      </c>
      <c r="D828" s="8" t="str">
        <f>IFERROR(VLOOKUP(C828,产品数据!$B:$D,2,FALSE),"")</f>
        <v>5kg/包</v>
      </c>
      <c r="E828" s="6">
        <v>5</v>
      </c>
      <c r="F828" s="8" t="str">
        <f>IFERROR(VLOOKUP(C828,产品数据!$B:$D,3,FALSE),"")</f>
        <v>包</v>
      </c>
      <c r="G828" s="6" t="s">
        <v>128</v>
      </c>
    </row>
    <row r="829" spans="1:7">
      <c r="A829" s="6"/>
      <c r="B829" s="5">
        <v>46125</v>
      </c>
      <c r="C829" s="7" t="s">
        <v>44</v>
      </c>
      <c r="D829" s="8" t="str">
        <f>IFERROR(VLOOKUP(C829,产品数据!$B:$D,2,FALSE),"")</f>
        <v>1.9升/瓶*6瓶/箱</v>
      </c>
      <c r="E829" s="6">
        <v>1</v>
      </c>
      <c r="F829" s="8" t="str">
        <f>IFERROR(VLOOKUP(C829,产品数据!$B:$D,3,FALSE),"")</f>
        <v>瓶</v>
      </c>
      <c r="G829" s="6" t="s">
        <v>128</v>
      </c>
    </row>
    <row r="830" spans="1:7">
      <c r="A830" s="6"/>
      <c r="B830" s="5">
        <v>46125</v>
      </c>
      <c r="C830" s="7" t="s">
        <v>57</v>
      </c>
      <c r="D830" s="8" t="str">
        <f>IFERROR(VLOOKUP(C830,产品数据!$B:$D,2,FALSE),"")</f>
        <v>400g*25包/箱</v>
      </c>
      <c r="E830" s="6">
        <v>1</v>
      </c>
      <c r="F830" s="8" t="str">
        <f>IFERROR(VLOOKUP(C830,产品数据!$B:$D,3,FALSE),"")</f>
        <v>包</v>
      </c>
      <c r="G830" s="6" t="s">
        <v>128</v>
      </c>
    </row>
    <row r="831" spans="1:7">
      <c r="A831" s="6"/>
      <c r="B831" s="5">
        <v>46125</v>
      </c>
      <c r="C831" s="7" t="s">
        <v>54</v>
      </c>
      <c r="D831" s="8" t="str">
        <f>IFERROR(VLOOKUP(C831,产品数据!$B:$D,2,FALSE),"")</f>
        <v>1kg*6瓶/箱</v>
      </c>
      <c r="E831" s="6">
        <v>1</v>
      </c>
      <c r="F831" s="8" t="str">
        <f>IFERROR(VLOOKUP(C831,产品数据!$B:$D,3,FALSE),"")</f>
        <v>瓶</v>
      </c>
      <c r="G831" s="6" t="s">
        <v>128</v>
      </c>
    </row>
    <row r="832" spans="1:7">
      <c r="A832" s="6"/>
      <c r="B832" s="5">
        <v>46125</v>
      </c>
      <c r="C832" s="7" t="s">
        <v>63</v>
      </c>
      <c r="D832" s="8" t="str">
        <f>IFERROR(VLOOKUP(C832,产品数据!$B:$D,2,FALSE),"")</f>
        <v>280g/包</v>
      </c>
      <c r="E832" s="6">
        <v>2</v>
      </c>
      <c r="F832" s="8" t="str">
        <f>IFERROR(VLOOKUP(C832,产品数据!$B:$D,3,FALSE),"")</f>
        <v>包</v>
      </c>
      <c r="G832" s="6" t="s">
        <v>128</v>
      </c>
    </row>
    <row r="833" spans="1:7">
      <c r="A833" s="6"/>
      <c r="B833" s="5">
        <v>46125</v>
      </c>
      <c r="C833" s="7" t="s">
        <v>41</v>
      </c>
      <c r="D833" s="8" t="str">
        <f>IFERROR(VLOOKUP(C833,产品数据!$B:$D,2,FALSE),"")</f>
        <v>5l/*4桶/箱</v>
      </c>
      <c r="E833" s="6">
        <v>1</v>
      </c>
      <c r="F833" s="8" t="str">
        <f>IFERROR(VLOOKUP(C833,产品数据!$B:$D,3,FALSE),"")</f>
        <v>桶</v>
      </c>
      <c r="G833" s="6" t="s">
        <v>128</v>
      </c>
    </row>
    <row r="834" spans="1:7">
      <c r="A834" s="6"/>
      <c r="B834" s="5">
        <v>46125</v>
      </c>
      <c r="C834" s="7" t="s">
        <v>42</v>
      </c>
      <c r="D834" s="8" t="str">
        <f>IFERROR(VLOOKUP(C834,产品数据!$B:$D,2,FALSE),"")</f>
        <v>1.68L*6壶</v>
      </c>
      <c r="E834" s="6">
        <v>1</v>
      </c>
      <c r="F834" s="8" t="str">
        <f>IFERROR(VLOOKUP(C834,产品数据!$B:$D,3,FALSE),"")</f>
        <v>壶</v>
      </c>
      <c r="G834" s="6" t="s">
        <v>129</v>
      </c>
    </row>
    <row r="835" spans="1:7">
      <c r="A835" s="6"/>
      <c r="B835" s="5">
        <v>46125</v>
      </c>
      <c r="C835" s="7" t="s">
        <v>41</v>
      </c>
      <c r="D835" s="8" t="str">
        <f>IFERROR(VLOOKUP(C835,产品数据!$B:$D,2,FALSE),"")</f>
        <v>5l/*4桶/箱</v>
      </c>
      <c r="E835" s="6">
        <v>1</v>
      </c>
      <c r="F835" s="8" t="str">
        <f>IFERROR(VLOOKUP(C835,产品数据!$B:$D,3,FALSE),"")</f>
        <v>桶</v>
      </c>
      <c r="G835" s="6" t="s">
        <v>129</v>
      </c>
    </row>
    <row r="836" spans="1:7">
      <c r="A836" s="6"/>
      <c r="B836" s="5">
        <v>46125</v>
      </c>
      <c r="C836" s="7" t="s">
        <v>56</v>
      </c>
      <c r="D836" s="8" t="str">
        <f>IFERROR(VLOOKUP(C836,产品数据!$B:$D,2,FALSE),"")</f>
        <v>178g*50包/箱</v>
      </c>
      <c r="E836" s="6">
        <v>5</v>
      </c>
      <c r="F836" s="8" t="str">
        <f>IFERROR(VLOOKUP(C836,产品数据!$B:$D,3,FALSE),"")</f>
        <v>包</v>
      </c>
      <c r="G836" s="6" t="s">
        <v>129</v>
      </c>
    </row>
    <row r="837" spans="1:7">
      <c r="A837" s="6"/>
      <c r="B837" s="5">
        <v>46125</v>
      </c>
      <c r="C837" s="7" t="s">
        <v>49</v>
      </c>
      <c r="D837" s="8" t="str">
        <f>IFERROR(VLOOKUP(C837,产品数据!$B:$D,2,FALSE),"")</f>
        <v>180g/包</v>
      </c>
      <c r="E837" s="6">
        <v>1</v>
      </c>
      <c r="F837" s="8" t="str">
        <f>IFERROR(VLOOKUP(C837,产品数据!$B:$D,3,FALSE),"")</f>
        <v>包</v>
      </c>
      <c r="G837" s="6" t="s">
        <v>129</v>
      </c>
    </row>
    <row r="838" spans="1:7">
      <c r="A838" s="6"/>
      <c r="B838" s="5">
        <v>46125</v>
      </c>
      <c r="C838" s="7" t="s">
        <v>96</v>
      </c>
      <c r="D838" s="8" t="str">
        <f>IFERROR(VLOOKUP(C838,产品数据!$B:$D,2,FALSE),"")</f>
        <v>10千克/袋</v>
      </c>
      <c r="E838" s="6">
        <v>3</v>
      </c>
      <c r="F838" s="8" t="str">
        <f>IFERROR(VLOOKUP(C838,产品数据!$B:$D,3,FALSE),"")</f>
        <v>袋</v>
      </c>
      <c r="G838" s="6" t="s">
        <v>127</v>
      </c>
    </row>
    <row r="839" spans="1:7">
      <c r="A839" s="6"/>
      <c r="B839" s="5">
        <v>46126</v>
      </c>
      <c r="C839" s="7" t="s">
        <v>41</v>
      </c>
      <c r="D839" s="8" t="str">
        <f>IFERROR(VLOOKUP(C839,产品数据!$B:$D,2,FALSE),"")</f>
        <v>5l/*4桶/箱</v>
      </c>
      <c r="E839" s="6">
        <v>4</v>
      </c>
      <c r="F839" s="8" t="str">
        <f>IFERROR(VLOOKUP(C839,产品数据!$B:$D,3,FALSE),"")</f>
        <v>桶</v>
      </c>
      <c r="G839" s="6" t="s">
        <v>125</v>
      </c>
    </row>
    <row r="840" spans="1:7">
      <c r="A840" s="6"/>
      <c r="B840" s="5">
        <v>46126</v>
      </c>
      <c r="C840" s="7" t="s">
        <v>56</v>
      </c>
      <c r="D840" s="8" t="str">
        <f>IFERROR(VLOOKUP(C840,产品数据!$B:$D,2,FALSE),"")</f>
        <v>178g*50包/箱</v>
      </c>
      <c r="E840" s="6">
        <v>6</v>
      </c>
      <c r="F840" s="8" t="str">
        <f>IFERROR(VLOOKUP(C840,产品数据!$B:$D,3,FALSE),"")</f>
        <v>包</v>
      </c>
      <c r="G840" s="6" t="s">
        <v>125</v>
      </c>
    </row>
    <row r="841" spans="1:7">
      <c r="A841" s="6"/>
      <c r="B841" s="5">
        <v>46126</v>
      </c>
      <c r="C841" s="7" t="s">
        <v>57</v>
      </c>
      <c r="D841" s="8" t="str">
        <f>IFERROR(VLOOKUP(C841,产品数据!$B:$D,2,FALSE),"")</f>
        <v>400g*25包/箱</v>
      </c>
      <c r="E841" s="6">
        <v>2</v>
      </c>
      <c r="F841" s="8" t="str">
        <f>IFERROR(VLOOKUP(C841,产品数据!$B:$D,3,FALSE),"")</f>
        <v>包</v>
      </c>
      <c r="G841" s="6" t="s">
        <v>125</v>
      </c>
    </row>
    <row r="842" spans="1:7">
      <c r="A842" s="6"/>
      <c r="B842" s="5">
        <v>46126</v>
      </c>
      <c r="C842" s="7" t="s">
        <v>48</v>
      </c>
      <c r="D842" s="8" t="str">
        <f>IFERROR(VLOOKUP(C842,产品数据!$B:$D,2,FALSE),"")</f>
        <v>500克/瓶*24瓶/箱</v>
      </c>
      <c r="E842" s="6">
        <v>2</v>
      </c>
      <c r="F842" s="8" t="str">
        <f>IFERROR(VLOOKUP(C842,产品数据!$B:$D,3,FALSE),"")</f>
        <v>瓶</v>
      </c>
      <c r="G842" s="6" t="s">
        <v>125</v>
      </c>
    </row>
    <row r="843" spans="1:7">
      <c r="A843" s="6"/>
      <c r="B843" s="5">
        <v>46126</v>
      </c>
      <c r="C843" s="7" t="s">
        <v>47</v>
      </c>
      <c r="D843" s="8" t="str">
        <f>IFERROR(VLOOKUP(C843,产品数据!$B:$D,2,FALSE),"")</f>
        <v>500克/瓶*24瓶/箱</v>
      </c>
      <c r="E843" s="6">
        <v>2</v>
      </c>
      <c r="F843" s="8" t="str">
        <f>IFERROR(VLOOKUP(C843,产品数据!$B:$D,3,FALSE),"")</f>
        <v>瓶</v>
      </c>
      <c r="G843" s="6" t="s">
        <v>125</v>
      </c>
    </row>
    <row r="844" spans="1:7">
      <c r="A844" s="6"/>
      <c r="B844" s="5">
        <v>46126</v>
      </c>
      <c r="C844" s="7" t="s">
        <v>44</v>
      </c>
      <c r="D844" s="8" t="str">
        <f>IFERROR(VLOOKUP(C844,产品数据!$B:$D,2,FALSE),"")</f>
        <v>1.9升/瓶*6瓶/箱</v>
      </c>
      <c r="E844" s="6">
        <v>1</v>
      </c>
      <c r="F844" s="8" t="str">
        <f>IFERROR(VLOOKUP(C844,产品数据!$B:$D,3,FALSE),"")</f>
        <v>瓶</v>
      </c>
      <c r="G844" s="6" t="s">
        <v>125</v>
      </c>
    </row>
    <row r="845" spans="1:7">
      <c r="A845" s="6"/>
      <c r="B845" s="5">
        <v>46126</v>
      </c>
      <c r="C845" s="7" t="s">
        <v>104</v>
      </c>
      <c r="D845" s="8" t="str">
        <f>IFERROR(VLOOKUP(C845,产品数据!$B:$D,2,FALSE),"")</f>
        <v>500ml*6瓶/箱</v>
      </c>
      <c r="E845" s="6">
        <v>2</v>
      </c>
      <c r="F845" s="8" t="str">
        <f>IFERROR(VLOOKUP(C845,产品数据!$B:$D,3,FALSE),"")</f>
        <v>瓶</v>
      </c>
      <c r="G845" s="6" t="s">
        <v>125</v>
      </c>
    </row>
    <row r="846" spans="1:7">
      <c r="A846" s="6"/>
      <c r="B846" s="5">
        <v>46126</v>
      </c>
      <c r="C846" s="7" t="s">
        <v>54</v>
      </c>
      <c r="D846" s="8" t="str">
        <f>IFERROR(VLOOKUP(C846,产品数据!$B:$D,2,FALSE),"")</f>
        <v>1kg*6瓶/箱</v>
      </c>
      <c r="E846" s="6">
        <v>1</v>
      </c>
      <c r="F846" s="8" t="str">
        <f>IFERROR(VLOOKUP(C846,产品数据!$B:$D,3,FALSE),"")</f>
        <v>瓶</v>
      </c>
      <c r="G846" s="6" t="s">
        <v>125</v>
      </c>
    </row>
    <row r="847" spans="1:7">
      <c r="A847" s="6"/>
      <c r="B847" s="5">
        <v>46126</v>
      </c>
      <c r="C847" s="7" t="s">
        <v>52</v>
      </c>
      <c r="D847" s="8" t="str">
        <f>IFERROR(VLOOKUP(C847,产品数据!$B:$D,2,FALSE),"")</f>
        <v>705ml/瓶</v>
      </c>
      <c r="E847" s="6">
        <v>1</v>
      </c>
      <c r="F847" s="8" t="str">
        <f>IFERROR(VLOOKUP(C847,产品数据!$B:$D,3,FALSE),"")</f>
        <v>瓶</v>
      </c>
      <c r="G847" s="6" t="s">
        <v>125</v>
      </c>
    </row>
    <row r="848" spans="1:7">
      <c r="A848" s="6"/>
      <c r="B848" s="5">
        <v>46126</v>
      </c>
      <c r="C848" s="7" t="s">
        <v>41</v>
      </c>
      <c r="D848" s="8" t="str">
        <f>IFERROR(VLOOKUP(C848,产品数据!$B:$D,2,FALSE),"")</f>
        <v>5l/*4桶/箱</v>
      </c>
      <c r="E848" s="6">
        <v>2</v>
      </c>
      <c r="F848" s="8" t="str">
        <f>IFERROR(VLOOKUP(C848,产品数据!$B:$D,3,FALSE),"")</f>
        <v>桶</v>
      </c>
      <c r="G848" s="6" t="s">
        <v>126</v>
      </c>
    </row>
    <row r="849" spans="1:7">
      <c r="A849" s="6"/>
      <c r="B849" s="5">
        <v>46126</v>
      </c>
      <c r="C849" s="7" t="s">
        <v>57</v>
      </c>
      <c r="D849" s="8" t="str">
        <f>IFERROR(VLOOKUP(C849,产品数据!$B:$D,2,FALSE),"")</f>
        <v>400g*25包/箱</v>
      </c>
      <c r="E849" s="6">
        <v>2</v>
      </c>
      <c r="F849" s="8" t="str">
        <f>IFERROR(VLOOKUP(C849,产品数据!$B:$D,3,FALSE),"")</f>
        <v>包</v>
      </c>
      <c r="G849" s="6" t="s">
        <v>126</v>
      </c>
    </row>
    <row r="850" spans="1:7">
      <c r="A850" s="6"/>
      <c r="B850" s="5">
        <v>46126</v>
      </c>
      <c r="C850" s="7" t="s">
        <v>63</v>
      </c>
      <c r="D850" s="8" t="str">
        <f>IFERROR(VLOOKUP(C850,产品数据!$B:$D,2,FALSE),"")</f>
        <v>280g/包</v>
      </c>
      <c r="E850" s="6">
        <v>3</v>
      </c>
      <c r="F850" s="8" t="str">
        <f>IFERROR(VLOOKUP(C850,产品数据!$B:$D,3,FALSE),"")</f>
        <v>包</v>
      </c>
      <c r="G850" s="6" t="s">
        <v>126</v>
      </c>
    </row>
    <row r="851" spans="1:7">
      <c r="A851" s="6"/>
      <c r="B851" s="5">
        <v>46126</v>
      </c>
      <c r="C851" s="7" t="s">
        <v>42</v>
      </c>
      <c r="D851" s="8" t="str">
        <f>IFERROR(VLOOKUP(C851,产品数据!$B:$D,2,FALSE),"")</f>
        <v>1.68L*6壶</v>
      </c>
      <c r="E851" s="6">
        <v>1</v>
      </c>
      <c r="F851" s="8" t="str">
        <f>IFERROR(VLOOKUP(C851,产品数据!$B:$D,3,FALSE),"")</f>
        <v>壶</v>
      </c>
      <c r="G851" s="6" t="s">
        <v>126</v>
      </c>
    </row>
    <row r="852" spans="1:7">
      <c r="A852" s="6"/>
      <c r="B852" s="5">
        <v>46126</v>
      </c>
      <c r="C852" s="7" t="s">
        <v>104</v>
      </c>
      <c r="D852" s="8" t="str">
        <f>IFERROR(VLOOKUP(C852,产品数据!$B:$D,2,FALSE),"")</f>
        <v>500ml*6瓶/箱</v>
      </c>
      <c r="E852" s="6">
        <v>1</v>
      </c>
      <c r="F852" s="8" t="str">
        <f>IFERROR(VLOOKUP(C852,产品数据!$B:$D,3,FALSE),"")</f>
        <v>瓶</v>
      </c>
      <c r="G852" s="6" t="s">
        <v>126</v>
      </c>
    </row>
    <row r="853" spans="1:7">
      <c r="A853" s="6"/>
      <c r="B853" s="5">
        <v>46126</v>
      </c>
      <c r="C853" s="7" t="s">
        <v>96</v>
      </c>
      <c r="D853" s="8" t="str">
        <f>IFERROR(VLOOKUP(C853,产品数据!$B:$D,2,FALSE),"")</f>
        <v>10千克/袋</v>
      </c>
      <c r="E853" s="6">
        <v>4</v>
      </c>
      <c r="F853" s="8" t="str">
        <f>IFERROR(VLOOKUP(C853,产品数据!$B:$D,3,FALSE),"")</f>
        <v>袋</v>
      </c>
      <c r="G853" s="6" t="s">
        <v>127</v>
      </c>
    </row>
    <row r="854" spans="1:7">
      <c r="A854" s="6"/>
      <c r="B854" s="5">
        <v>46126</v>
      </c>
      <c r="C854" s="7" t="s">
        <v>100</v>
      </c>
      <c r="D854" s="8" t="str">
        <f>IFERROR(VLOOKUP(C854,产品数据!$B:$D,2,FALSE),"")</f>
        <v>5kg/包</v>
      </c>
      <c r="E854" s="6">
        <v>5</v>
      </c>
      <c r="F854" s="8" t="str">
        <f>IFERROR(VLOOKUP(C854,产品数据!$B:$D,3,FALSE),"")</f>
        <v>包</v>
      </c>
      <c r="G854" s="6" t="s">
        <v>128</v>
      </c>
    </row>
    <row r="855" spans="1:7">
      <c r="A855" s="6"/>
      <c r="B855" s="5">
        <v>46127</v>
      </c>
      <c r="C855" s="7" t="s">
        <v>41</v>
      </c>
      <c r="D855" s="8" t="str">
        <f>IFERROR(VLOOKUP(C855,产品数据!$B:$D,2,FALSE),"")</f>
        <v>5l/*4桶/箱</v>
      </c>
      <c r="E855" s="6">
        <v>4</v>
      </c>
      <c r="F855" s="8" t="str">
        <f>IFERROR(VLOOKUP(C855,产品数据!$B:$D,3,FALSE),"")</f>
        <v>桶</v>
      </c>
      <c r="G855" s="6" t="s">
        <v>125</v>
      </c>
    </row>
    <row r="856" spans="1:7">
      <c r="A856" s="6"/>
      <c r="B856" s="5">
        <v>46127</v>
      </c>
      <c r="C856" s="7" t="s">
        <v>43</v>
      </c>
      <c r="D856" s="8" t="str">
        <f>IFERROR(VLOOKUP(C856,产品数据!$B:$D,2,FALSE),"")</f>
        <v>1.9升/瓶*6瓶/箱</v>
      </c>
      <c r="E856" s="6">
        <v>1</v>
      </c>
      <c r="F856" s="8" t="str">
        <f>IFERROR(VLOOKUP(C856,产品数据!$B:$D,3,FALSE),"")</f>
        <v>瓶</v>
      </c>
      <c r="G856" s="6" t="s">
        <v>125</v>
      </c>
    </row>
    <row r="857" spans="1:7">
      <c r="A857" s="6"/>
      <c r="B857" s="5">
        <v>46127</v>
      </c>
      <c r="C857" s="7" t="s">
        <v>44</v>
      </c>
      <c r="D857" s="8" t="str">
        <f>IFERROR(VLOOKUP(C857,产品数据!$B:$D,2,FALSE),"")</f>
        <v>1.9升/瓶*6瓶/箱</v>
      </c>
      <c r="E857" s="6">
        <v>1</v>
      </c>
      <c r="F857" s="8" t="str">
        <f>IFERROR(VLOOKUP(C857,产品数据!$B:$D,3,FALSE),"")</f>
        <v>瓶</v>
      </c>
      <c r="G857" s="6" t="s">
        <v>125</v>
      </c>
    </row>
    <row r="858" spans="1:7">
      <c r="A858" s="6"/>
      <c r="B858" s="5">
        <v>46127</v>
      </c>
      <c r="C858" s="7" t="s">
        <v>42</v>
      </c>
      <c r="D858" s="8" t="str">
        <f>IFERROR(VLOOKUP(C858,产品数据!$B:$D,2,FALSE),"")</f>
        <v>1.68L*6壶</v>
      </c>
      <c r="E858" s="6">
        <v>1</v>
      </c>
      <c r="F858" s="8" t="str">
        <f>IFERROR(VLOOKUP(C858,产品数据!$B:$D,3,FALSE),"")</f>
        <v>壶</v>
      </c>
      <c r="G858" s="6" t="s">
        <v>125</v>
      </c>
    </row>
    <row r="859" spans="1:7">
      <c r="A859" s="6"/>
      <c r="B859" s="5">
        <v>46127</v>
      </c>
      <c r="C859" s="7" t="s">
        <v>57</v>
      </c>
      <c r="D859" s="8" t="str">
        <f>IFERROR(VLOOKUP(C859,产品数据!$B:$D,2,FALSE),"")</f>
        <v>400g*25包/箱</v>
      </c>
      <c r="E859" s="6">
        <v>2</v>
      </c>
      <c r="F859" s="8" t="str">
        <f>IFERROR(VLOOKUP(C859,产品数据!$B:$D,3,FALSE),"")</f>
        <v>包</v>
      </c>
      <c r="G859" s="6" t="s">
        <v>125</v>
      </c>
    </row>
    <row r="860" spans="1:7">
      <c r="A860" s="6"/>
      <c r="B860" s="5">
        <v>46127</v>
      </c>
      <c r="C860" s="7" t="s">
        <v>54</v>
      </c>
      <c r="D860" s="8" t="str">
        <f>IFERROR(VLOOKUP(C860,产品数据!$B:$D,2,FALSE),"")</f>
        <v>1kg*6瓶/箱</v>
      </c>
      <c r="E860" s="6">
        <v>1</v>
      </c>
      <c r="F860" s="8" t="str">
        <f>IFERROR(VLOOKUP(C860,产品数据!$B:$D,3,FALSE),"")</f>
        <v>瓶</v>
      </c>
      <c r="G860" s="6" t="s">
        <v>125</v>
      </c>
    </row>
    <row r="861" spans="1:7">
      <c r="A861" s="6"/>
      <c r="B861" s="5">
        <v>46127</v>
      </c>
      <c r="C861" s="7" t="s">
        <v>52</v>
      </c>
      <c r="D861" s="8" t="str">
        <f>IFERROR(VLOOKUP(C861,产品数据!$B:$D,2,FALSE),"")</f>
        <v>705ml/瓶</v>
      </c>
      <c r="E861" s="6">
        <v>1</v>
      </c>
      <c r="F861" s="8" t="str">
        <f>IFERROR(VLOOKUP(C861,产品数据!$B:$D,3,FALSE),"")</f>
        <v>瓶</v>
      </c>
      <c r="G861" s="6" t="s">
        <v>125</v>
      </c>
    </row>
    <row r="862" spans="1:7">
      <c r="A862" s="6"/>
      <c r="B862" s="5">
        <v>46127</v>
      </c>
      <c r="C862" s="7" t="s">
        <v>104</v>
      </c>
      <c r="D862" s="8" t="str">
        <f>IFERROR(VLOOKUP(C862,产品数据!$B:$D,2,FALSE),"")</f>
        <v>500ml*6瓶/箱</v>
      </c>
      <c r="E862" s="6">
        <v>5</v>
      </c>
      <c r="F862" s="8" t="str">
        <f>IFERROR(VLOOKUP(C862,产品数据!$B:$D,3,FALSE),"")</f>
        <v>瓶</v>
      </c>
      <c r="G862" s="6" t="s">
        <v>125</v>
      </c>
    </row>
    <row r="863" spans="1:7">
      <c r="A863" s="6"/>
      <c r="B863" s="5">
        <v>46127</v>
      </c>
      <c r="C863" s="7" t="s">
        <v>63</v>
      </c>
      <c r="D863" s="8" t="str">
        <f>IFERROR(VLOOKUP(C863,产品数据!$B:$D,2,FALSE),"")</f>
        <v>280g/包</v>
      </c>
      <c r="E863" s="6">
        <v>10</v>
      </c>
      <c r="F863" s="8" t="str">
        <f>IFERROR(VLOOKUP(C863,产品数据!$B:$D,3,FALSE),"")</f>
        <v>包</v>
      </c>
      <c r="G863" s="6" t="s">
        <v>125</v>
      </c>
    </row>
    <row r="864" spans="1:7">
      <c r="A864" s="6"/>
      <c r="B864" s="5">
        <v>46127</v>
      </c>
      <c r="C864" s="7" t="s">
        <v>96</v>
      </c>
      <c r="D864" s="8" t="str">
        <f>IFERROR(VLOOKUP(C864,产品数据!$B:$D,2,FALSE),"")</f>
        <v>10千克/袋</v>
      </c>
      <c r="E864" s="6">
        <v>3</v>
      </c>
      <c r="F864" s="8" t="str">
        <f>IFERROR(VLOOKUP(C864,产品数据!$B:$D,3,FALSE),"")</f>
        <v>袋</v>
      </c>
      <c r="G864" s="6" t="s">
        <v>127</v>
      </c>
    </row>
    <row r="865" spans="1:7">
      <c r="A865" s="6"/>
      <c r="B865" s="5">
        <v>46127</v>
      </c>
      <c r="C865" s="7" t="s">
        <v>100</v>
      </c>
      <c r="D865" s="8" t="str">
        <f>IFERROR(VLOOKUP(C865,产品数据!$B:$D,2,FALSE),"")</f>
        <v>5kg/包</v>
      </c>
      <c r="E865" s="6">
        <v>5</v>
      </c>
      <c r="F865" s="8" t="str">
        <f>IFERROR(VLOOKUP(C865,产品数据!$B:$D,3,FALSE),"")</f>
        <v>包</v>
      </c>
      <c r="G865" s="6" t="s">
        <v>128</v>
      </c>
    </row>
    <row r="866" spans="1:7">
      <c r="A866" s="6"/>
      <c r="B866" s="5">
        <v>46128</v>
      </c>
      <c r="C866" s="7" t="s">
        <v>41</v>
      </c>
      <c r="D866" s="8" t="str">
        <f>IFERROR(VLOOKUP(C866,产品数据!$B:$D,2,FALSE),"")</f>
        <v>5l/*4桶/箱</v>
      </c>
      <c r="E866" s="6">
        <v>3</v>
      </c>
      <c r="F866" s="8" t="str">
        <f>IFERROR(VLOOKUP(C866,产品数据!$B:$D,3,FALSE),"")</f>
        <v>桶</v>
      </c>
      <c r="G866" s="6" t="s">
        <v>125</v>
      </c>
    </row>
    <row r="867" spans="1:7">
      <c r="A867" s="6"/>
      <c r="B867" s="5">
        <v>46128</v>
      </c>
      <c r="C867" s="7" t="s">
        <v>42</v>
      </c>
      <c r="D867" s="8" t="str">
        <f>IFERROR(VLOOKUP(C867,产品数据!$B:$D,2,FALSE),"")</f>
        <v>1.68L*6壶</v>
      </c>
      <c r="E867" s="6">
        <v>1</v>
      </c>
      <c r="F867" s="8" t="str">
        <f>IFERROR(VLOOKUP(C867,产品数据!$B:$D,3,FALSE),"")</f>
        <v>壶</v>
      </c>
      <c r="G867" s="6" t="s">
        <v>125</v>
      </c>
    </row>
    <row r="868" spans="1:7">
      <c r="A868" s="6"/>
      <c r="B868" s="5">
        <v>46128</v>
      </c>
      <c r="C868" s="7" t="s">
        <v>44</v>
      </c>
      <c r="D868" s="8" t="str">
        <f>IFERROR(VLOOKUP(C868,产品数据!$B:$D,2,FALSE),"")</f>
        <v>1.9升/瓶*6瓶/箱</v>
      </c>
      <c r="E868" s="6">
        <v>1</v>
      </c>
      <c r="F868" s="8" t="str">
        <f>IFERROR(VLOOKUP(C868,产品数据!$B:$D,3,FALSE),"")</f>
        <v>瓶</v>
      </c>
      <c r="G868" s="6" t="s">
        <v>125</v>
      </c>
    </row>
    <row r="869" spans="1:7">
      <c r="A869" s="6"/>
      <c r="B869" s="5">
        <v>46128</v>
      </c>
      <c r="C869" s="7" t="s">
        <v>43</v>
      </c>
      <c r="D869" s="8" t="str">
        <f>IFERROR(VLOOKUP(C869,产品数据!$B:$D,2,FALSE),"")</f>
        <v>1.9升/瓶*6瓶/箱</v>
      </c>
      <c r="E869" s="6">
        <v>1</v>
      </c>
      <c r="F869" s="8" t="str">
        <f>IFERROR(VLOOKUP(C869,产品数据!$B:$D,3,FALSE),"")</f>
        <v>瓶</v>
      </c>
      <c r="G869" s="6" t="s">
        <v>125</v>
      </c>
    </row>
    <row r="870" spans="1:7">
      <c r="A870" s="6"/>
      <c r="B870" s="5">
        <v>46128</v>
      </c>
      <c r="C870" s="7" t="s">
        <v>57</v>
      </c>
      <c r="D870" s="8" t="str">
        <f>IFERROR(VLOOKUP(C870,产品数据!$B:$D,2,FALSE),"")</f>
        <v>400g*25包/箱</v>
      </c>
      <c r="E870" s="6">
        <v>2</v>
      </c>
      <c r="F870" s="8" t="str">
        <f>IFERROR(VLOOKUP(C870,产品数据!$B:$D,3,FALSE),"")</f>
        <v>包</v>
      </c>
      <c r="G870" s="6" t="s">
        <v>125</v>
      </c>
    </row>
    <row r="871" spans="1:7">
      <c r="A871" s="6"/>
      <c r="B871" s="5">
        <v>46128</v>
      </c>
      <c r="C871" s="7" t="s">
        <v>104</v>
      </c>
      <c r="D871" s="8" t="str">
        <f>IFERROR(VLOOKUP(C871,产品数据!$B:$D,2,FALSE),"")</f>
        <v>500ml*6瓶/箱</v>
      </c>
      <c r="E871" s="6">
        <v>4</v>
      </c>
      <c r="F871" s="8" t="str">
        <f>IFERROR(VLOOKUP(C871,产品数据!$B:$D,3,FALSE),"")</f>
        <v>瓶</v>
      </c>
      <c r="G871" s="6" t="s">
        <v>125</v>
      </c>
    </row>
    <row r="872" spans="1:7">
      <c r="A872" s="6"/>
      <c r="B872" s="5">
        <v>46128</v>
      </c>
      <c r="C872" s="7" t="s">
        <v>54</v>
      </c>
      <c r="D872" s="8" t="str">
        <f>IFERROR(VLOOKUP(C872,产品数据!$B:$D,2,FALSE),"")</f>
        <v>1kg*6瓶/箱</v>
      </c>
      <c r="E872" s="6">
        <v>1</v>
      </c>
      <c r="F872" s="8" t="str">
        <f>IFERROR(VLOOKUP(C872,产品数据!$B:$D,3,FALSE),"")</f>
        <v>瓶</v>
      </c>
      <c r="G872" s="6" t="s">
        <v>125</v>
      </c>
    </row>
    <row r="873" spans="1:7">
      <c r="A873" s="6"/>
      <c r="B873" s="5">
        <v>46128</v>
      </c>
      <c r="C873" s="7" t="s">
        <v>52</v>
      </c>
      <c r="D873" s="8" t="str">
        <f>IFERROR(VLOOKUP(C873,产品数据!$B:$D,2,FALSE),"")</f>
        <v>705ml/瓶</v>
      </c>
      <c r="E873" s="6">
        <v>1</v>
      </c>
      <c r="F873" s="8" t="str">
        <f>IFERROR(VLOOKUP(C873,产品数据!$B:$D,3,FALSE),"")</f>
        <v>瓶</v>
      </c>
      <c r="G873" s="6" t="s">
        <v>125</v>
      </c>
    </row>
    <row r="874" spans="1:7">
      <c r="A874" s="6"/>
      <c r="B874" s="5">
        <v>46128</v>
      </c>
      <c r="C874" s="7" t="s">
        <v>61</v>
      </c>
      <c r="D874" s="8" t="str">
        <f>IFERROR(VLOOKUP(C874,产品数据!$B:$D,2,FALSE),"")</f>
        <v>2.5kg/包</v>
      </c>
      <c r="E874" s="6">
        <v>1</v>
      </c>
      <c r="F874" s="8" t="str">
        <f>IFERROR(VLOOKUP(C874,产品数据!$B:$D,3,FALSE),"")</f>
        <v>包</v>
      </c>
      <c r="G874" s="6" t="s">
        <v>125</v>
      </c>
    </row>
    <row r="875" spans="1:7">
      <c r="A875" s="6"/>
      <c r="B875" s="5">
        <v>46128</v>
      </c>
      <c r="C875" s="7" t="s">
        <v>56</v>
      </c>
      <c r="D875" s="8" t="str">
        <f>IFERROR(VLOOKUP(C875,产品数据!$B:$D,2,FALSE),"")</f>
        <v>178g*50包/箱</v>
      </c>
      <c r="E875" s="6">
        <v>5</v>
      </c>
      <c r="F875" s="8" t="str">
        <f>IFERROR(VLOOKUP(C875,产品数据!$B:$D,3,FALSE),"")</f>
        <v>包</v>
      </c>
      <c r="G875" s="6" t="s">
        <v>127</v>
      </c>
    </row>
    <row r="876" spans="1:7">
      <c r="A876" s="6"/>
      <c r="B876" s="5">
        <v>46128</v>
      </c>
      <c r="C876" s="7" t="s">
        <v>96</v>
      </c>
      <c r="D876" s="8" t="str">
        <f>IFERROR(VLOOKUP(C876,产品数据!$B:$D,2,FALSE),"")</f>
        <v>10千克/袋</v>
      </c>
      <c r="E876" s="6">
        <v>4</v>
      </c>
      <c r="F876" s="8" t="str">
        <f>IFERROR(VLOOKUP(C876,产品数据!$B:$D,3,FALSE),"")</f>
        <v>袋</v>
      </c>
      <c r="G876" s="6" t="s">
        <v>127</v>
      </c>
    </row>
    <row r="877" spans="1:7">
      <c r="A877" s="6"/>
      <c r="B877" s="5">
        <v>46129</v>
      </c>
      <c r="C877" s="7" t="s">
        <v>41</v>
      </c>
      <c r="D877" s="8" t="str">
        <f>IFERROR(VLOOKUP(C877,产品数据!$B:$D,2,FALSE),"")</f>
        <v>5l/*4桶/箱</v>
      </c>
      <c r="E877" s="6">
        <v>8</v>
      </c>
      <c r="F877" s="8" t="str">
        <f>IFERROR(VLOOKUP(C877,产品数据!$B:$D,3,FALSE),"")</f>
        <v>桶</v>
      </c>
      <c r="G877" s="6" t="s">
        <v>125</v>
      </c>
    </row>
    <row r="878" spans="1:7">
      <c r="A878" s="6"/>
      <c r="B878" s="5">
        <v>46129</v>
      </c>
      <c r="C878" s="7" t="s">
        <v>44</v>
      </c>
      <c r="D878" s="8" t="str">
        <f>IFERROR(VLOOKUP(C878,产品数据!$B:$D,2,FALSE),"")</f>
        <v>1.9升/瓶*6瓶/箱</v>
      </c>
      <c r="E878" s="6">
        <v>1</v>
      </c>
      <c r="F878" s="8" t="str">
        <f>IFERROR(VLOOKUP(C878,产品数据!$B:$D,3,FALSE),"")</f>
        <v>瓶</v>
      </c>
      <c r="G878" s="6" t="s">
        <v>125</v>
      </c>
    </row>
    <row r="879" spans="1:7">
      <c r="A879" s="6"/>
      <c r="B879" s="5">
        <v>46129</v>
      </c>
      <c r="C879" s="7" t="s">
        <v>43</v>
      </c>
      <c r="D879" s="8" t="str">
        <f>IFERROR(VLOOKUP(C879,产品数据!$B:$D,2,FALSE),"")</f>
        <v>1.9升/瓶*6瓶/箱</v>
      </c>
      <c r="E879" s="6">
        <v>1</v>
      </c>
      <c r="F879" s="8" t="str">
        <f>IFERROR(VLOOKUP(C879,产品数据!$B:$D,3,FALSE),"")</f>
        <v>瓶</v>
      </c>
      <c r="G879" s="6" t="s">
        <v>125</v>
      </c>
    </row>
    <row r="880" spans="1:7">
      <c r="A880" s="6"/>
      <c r="B880" s="5">
        <v>46129</v>
      </c>
      <c r="C880" s="7" t="s">
        <v>52</v>
      </c>
      <c r="D880" s="8" t="str">
        <f>IFERROR(VLOOKUP(C880,产品数据!$B:$D,2,FALSE),"")</f>
        <v>705ml/瓶</v>
      </c>
      <c r="E880" s="6">
        <v>2</v>
      </c>
      <c r="F880" s="8" t="str">
        <f>IFERROR(VLOOKUP(C880,产品数据!$B:$D,3,FALSE),"")</f>
        <v>瓶</v>
      </c>
      <c r="G880" s="6" t="s">
        <v>125</v>
      </c>
    </row>
    <row r="881" spans="1:7">
      <c r="A881" s="6"/>
      <c r="B881" s="5">
        <v>46129</v>
      </c>
      <c r="C881" s="7" t="s">
        <v>54</v>
      </c>
      <c r="D881" s="8" t="str">
        <f>IFERROR(VLOOKUP(C881,产品数据!$B:$D,2,FALSE),"")</f>
        <v>1kg*6瓶/箱</v>
      </c>
      <c r="E881" s="6">
        <v>2</v>
      </c>
      <c r="F881" s="8" t="str">
        <f>IFERROR(VLOOKUP(C881,产品数据!$B:$D,3,FALSE),"")</f>
        <v>瓶</v>
      </c>
      <c r="G881" s="6" t="s">
        <v>125</v>
      </c>
    </row>
    <row r="882" spans="1:7">
      <c r="A882" s="6"/>
      <c r="B882" s="5">
        <v>46129</v>
      </c>
      <c r="C882" s="7" t="s">
        <v>57</v>
      </c>
      <c r="D882" s="8" t="str">
        <f>IFERROR(VLOOKUP(C882,产品数据!$B:$D,2,FALSE),"")</f>
        <v>400g*25包/箱</v>
      </c>
      <c r="E882" s="6">
        <v>2</v>
      </c>
      <c r="F882" s="8" t="str">
        <f>IFERROR(VLOOKUP(C882,产品数据!$B:$D,3,FALSE),"")</f>
        <v>包</v>
      </c>
      <c r="G882" s="6" t="s">
        <v>125</v>
      </c>
    </row>
    <row r="883" spans="1:7">
      <c r="A883" s="6"/>
      <c r="B883" s="5">
        <v>46129</v>
      </c>
      <c r="C883" s="7" t="s">
        <v>104</v>
      </c>
      <c r="D883" s="8" t="str">
        <f>IFERROR(VLOOKUP(C883,产品数据!$B:$D,2,FALSE),"")</f>
        <v>500ml*6瓶/箱</v>
      </c>
      <c r="E883" s="6">
        <v>8</v>
      </c>
      <c r="F883" s="8" t="str">
        <f>IFERROR(VLOOKUP(C883,产品数据!$B:$D,3,FALSE),"")</f>
        <v>瓶</v>
      </c>
      <c r="G883" s="6" t="s">
        <v>125</v>
      </c>
    </row>
    <row r="884" spans="1:7">
      <c r="A884" s="6"/>
      <c r="B884" s="5">
        <v>46129</v>
      </c>
      <c r="C884" s="7" t="s">
        <v>45</v>
      </c>
      <c r="D884" s="8" t="str">
        <f>IFERROR(VLOOKUP(C884,产品数据!$B:$D,2,FALSE),"")</f>
        <v>1.9kg/瓶</v>
      </c>
      <c r="E884" s="6">
        <v>1</v>
      </c>
      <c r="F884" s="8" t="str">
        <f>IFERROR(VLOOKUP(C884,产品数据!$B:$D,3,FALSE),"")</f>
        <v>瓶</v>
      </c>
      <c r="G884" s="6" t="s">
        <v>125</v>
      </c>
    </row>
    <row r="885" spans="1:7">
      <c r="A885" s="6"/>
      <c r="B885" s="5">
        <v>46129</v>
      </c>
      <c r="C885" s="7" t="s">
        <v>56</v>
      </c>
      <c r="D885" s="8" t="str">
        <f>IFERROR(VLOOKUP(C885,产品数据!$B:$D,2,FALSE),"")</f>
        <v>178g*50包/箱</v>
      </c>
      <c r="E885" s="6">
        <v>6</v>
      </c>
      <c r="F885" s="8" t="str">
        <f>IFERROR(VLOOKUP(C885,产品数据!$B:$D,3,FALSE),"")</f>
        <v>包</v>
      </c>
      <c r="G885" s="6" t="s">
        <v>125</v>
      </c>
    </row>
    <row r="886" spans="1:7">
      <c r="A886" s="6"/>
      <c r="B886" s="5">
        <v>46129</v>
      </c>
      <c r="C886" s="7" t="s">
        <v>63</v>
      </c>
      <c r="D886" s="8" t="str">
        <f>IFERROR(VLOOKUP(C886,产品数据!$B:$D,2,FALSE),"")</f>
        <v>280g/包</v>
      </c>
      <c r="E886" s="6">
        <v>10</v>
      </c>
      <c r="F886" s="8" t="str">
        <f>IFERROR(VLOOKUP(C886,产品数据!$B:$D,3,FALSE),"")</f>
        <v>包</v>
      </c>
      <c r="G886" s="6" t="s">
        <v>125</v>
      </c>
    </row>
    <row r="887" spans="1:7">
      <c r="A887" s="6"/>
      <c r="B887" s="5">
        <v>46129</v>
      </c>
      <c r="C887" s="7" t="s">
        <v>56</v>
      </c>
      <c r="D887" s="8" t="str">
        <f>IFERROR(VLOOKUP(C887,产品数据!$B:$D,2,FALSE),"")</f>
        <v>178g*50包/箱</v>
      </c>
      <c r="E887" s="6">
        <v>5</v>
      </c>
      <c r="F887" s="8" t="str">
        <f>IFERROR(VLOOKUP(C887,产品数据!$B:$D,3,FALSE),"")</f>
        <v>包</v>
      </c>
      <c r="G887" s="6" t="s">
        <v>128</v>
      </c>
    </row>
    <row r="888" spans="1:7">
      <c r="A888" s="6"/>
      <c r="B888" s="5">
        <v>46129</v>
      </c>
      <c r="C888" s="7" t="s">
        <v>100</v>
      </c>
      <c r="D888" s="8" t="str">
        <f>IFERROR(VLOOKUP(C888,产品数据!$B:$D,2,FALSE),"")</f>
        <v>5kg/包</v>
      </c>
      <c r="E888" s="6">
        <v>5</v>
      </c>
      <c r="F888" s="8" t="str">
        <f>IFERROR(VLOOKUP(C888,产品数据!$B:$D,3,FALSE),"")</f>
        <v>包</v>
      </c>
      <c r="G888" s="6" t="s">
        <v>128</v>
      </c>
    </row>
    <row r="889" spans="1:7">
      <c r="A889" s="6"/>
      <c r="B889" s="5">
        <v>46129</v>
      </c>
      <c r="C889" s="7" t="s">
        <v>96</v>
      </c>
      <c r="D889" s="8" t="str">
        <f>IFERROR(VLOOKUP(C889,产品数据!$B:$D,2,FALSE),"")</f>
        <v>10千克/袋</v>
      </c>
      <c r="E889" s="6">
        <v>5</v>
      </c>
      <c r="F889" s="8" t="str">
        <f>IFERROR(VLOOKUP(C889,产品数据!$B:$D,3,FALSE),"")</f>
        <v>袋</v>
      </c>
      <c r="G889" s="6" t="s">
        <v>127</v>
      </c>
    </row>
    <row r="890" spans="1:7">
      <c r="A890" s="6"/>
      <c r="B890" s="5">
        <v>46132</v>
      </c>
      <c r="C890" s="7" t="s">
        <v>41</v>
      </c>
      <c r="D890" s="8" t="str">
        <f>IFERROR(VLOOKUP(C890,产品数据!$B:$D,2,FALSE),"")</f>
        <v>5l/*4桶/箱</v>
      </c>
      <c r="E890" s="6">
        <v>5</v>
      </c>
      <c r="F890" s="8" t="str">
        <f>IFERROR(VLOOKUP(C890,产品数据!$B:$D,3,FALSE),"")</f>
        <v>桶</v>
      </c>
      <c r="G890" s="6" t="s">
        <v>128</v>
      </c>
    </row>
    <row r="891" spans="1:7">
      <c r="A891" s="6"/>
      <c r="B891" s="5">
        <v>46132</v>
      </c>
      <c r="C891" s="7" t="s">
        <v>42</v>
      </c>
      <c r="D891" s="8" t="str">
        <f>IFERROR(VLOOKUP(C891,产品数据!$B:$D,2,FALSE),"")</f>
        <v>1.68L*6壶</v>
      </c>
      <c r="E891" s="6">
        <v>2</v>
      </c>
      <c r="F891" s="8" t="str">
        <f>IFERROR(VLOOKUP(C891,产品数据!$B:$D,3,FALSE),"")</f>
        <v>壶</v>
      </c>
      <c r="G891" s="6" t="s">
        <v>128</v>
      </c>
    </row>
    <row r="892" spans="1:7">
      <c r="A892" s="6"/>
      <c r="B892" s="5">
        <v>46132</v>
      </c>
      <c r="C892" s="7" t="s">
        <v>44</v>
      </c>
      <c r="D892" s="8" t="str">
        <f>IFERROR(VLOOKUP(C892,产品数据!$B:$D,2,FALSE),"")</f>
        <v>1.9升/瓶*6瓶/箱</v>
      </c>
      <c r="E892" s="6">
        <v>1</v>
      </c>
      <c r="F892" s="8" t="str">
        <f>IFERROR(VLOOKUP(C892,产品数据!$B:$D,3,FALSE),"")</f>
        <v>瓶</v>
      </c>
      <c r="G892" s="6" t="s">
        <v>128</v>
      </c>
    </row>
    <row r="893" spans="1:7">
      <c r="A893" s="6"/>
      <c r="B893" s="5">
        <v>46132</v>
      </c>
      <c r="C893" s="7" t="s">
        <v>43</v>
      </c>
      <c r="D893" s="8" t="str">
        <f>IFERROR(VLOOKUP(C893,产品数据!$B:$D,2,FALSE),"")</f>
        <v>1.9升/瓶*6瓶/箱</v>
      </c>
      <c r="E893" s="6">
        <v>1</v>
      </c>
      <c r="F893" s="8" t="str">
        <f>IFERROR(VLOOKUP(C893,产品数据!$B:$D,3,FALSE),"")</f>
        <v>瓶</v>
      </c>
      <c r="G893" s="6" t="s">
        <v>128</v>
      </c>
    </row>
    <row r="894" spans="1:7">
      <c r="A894" s="6"/>
      <c r="B894" s="5">
        <v>46132</v>
      </c>
      <c r="C894" s="7" t="s">
        <v>54</v>
      </c>
      <c r="D894" s="8" t="str">
        <f>IFERROR(VLOOKUP(C894,产品数据!$B:$D,2,FALSE),"")</f>
        <v>1kg*6瓶/箱</v>
      </c>
      <c r="E894" s="6">
        <v>2</v>
      </c>
      <c r="F894" s="8" t="str">
        <f>IFERROR(VLOOKUP(C894,产品数据!$B:$D,3,FALSE),"")</f>
        <v>瓶</v>
      </c>
      <c r="G894" s="6" t="s">
        <v>128</v>
      </c>
    </row>
    <row r="895" spans="1:7">
      <c r="A895" s="6"/>
      <c r="B895" s="5">
        <v>46132</v>
      </c>
      <c r="C895" s="7" t="s">
        <v>52</v>
      </c>
      <c r="D895" s="8" t="str">
        <f>IFERROR(VLOOKUP(C895,产品数据!$B:$D,2,FALSE),"")</f>
        <v>705ml/瓶</v>
      </c>
      <c r="E895" s="6">
        <v>2</v>
      </c>
      <c r="F895" s="8" t="str">
        <f>IFERROR(VLOOKUP(C895,产品数据!$B:$D,3,FALSE),"")</f>
        <v>瓶</v>
      </c>
      <c r="G895" s="6" t="s">
        <v>128</v>
      </c>
    </row>
    <row r="896" spans="1:7">
      <c r="A896" s="6"/>
      <c r="B896" s="5">
        <v>46132</v>
      </c>
      <c r="C896" s="7" t="s">
        <v>104</v>
      </c>
      <c r="D896" s="8" t="str">
        <f>IFERROR(VLOOKUP(C896,产品数据!$B:$D,2,FALSE),"")</f>
        <v>500ml*6瓶/箱</v>
      </c>
      <c r="E896" s="6">
        <v>5</v>
      </c>
      <c r="F896" s="8" t="str">
        <f>IFERROR(VLOOKUP(C896,产品数据!$B:$D,3,FALSE),"")</f>
        <v>瓶</v>
      </c>
      <c r="G896" s="6" t="s">
        <v>128</v>
      </c>
    </row>
    <row r="897" spans="1:7">
      <c r="A897" s="6"/>
      <c r="B897" s="5">
        <v>46132</v>
      </c>
      <c r="C897" s="7" t="s">
        <v>63</v>
      </c>
      <c r="D897" s="8" t="str">
        <f>IFERROR(VLOOKUP(C897,产品数据!$B:$D,2,FALSE),"")</f>
        <v>280g/包</v>
      </c>
      <c r="E897" s="6">
        <v>5</v>
      </c>
      <c r="F897" s="8" t="str">
        <f>IFERROR(VLOOKUP(C897,产品数据!$B:$D,3,FALSE),"")</f>
        <v>包</v>
      </c>
      <c r="G897" s="6" t="s">
        <v>128</v>
      </c>
    </row>
    <row r="898" spans="1:7">
      <c r="A898" s="6"/>
      <c r="B898" s="5">
        <v>46132</v>
      </c>
      <c r="C898" s="7" t="s">
        <v>56</v>
      </c>
      <c r="D898" s="8" t="str">
        <f>IFERROR(VLOOKUP(C898,产品数据!$B:$D,2,FALSE),"")</f>
        <v>178g*50包/箱</v>
      </c>
      <c r="E898" s="6">
        <v>5</v>
      </c>
      <c r="F898" s="8" t="str">
        <f>IFERROR(VLOOKUP(C898,产品数据!$B:$D,3,FALSE),"")</f>
        <v>包</v>
      </c>
      <c r="G898" s="6" t="s">
        <v>128</v>
      </c>
    </row>
    <row r="899" spans="1:7">
      <c r="A899" s="6"/>
      <c r="B899" s="5">
        <v>46132</v>
      </c>
      <c r="C899" s="7" t="s">
        <v>57</v>
      </c>
      <c r="D899" s="8" t="str">
        <f>IFERROR(VLOOKUP(C899,产品数据!$B:$D,2,FALSE),"")</f>
        <v>400g*25包/箱</v>
      </c>
      <c r="E899" s="6">
        <v>2</v>
      </c>
      <c r="F899" s="8" t="str">
        <f>IFERROR(VLOOKUP(C899,产品数据!$B:$D,3,FALSE),"")</f>
        <v>包</v>
      </c>
      <c r="G899" s="6" t="s">
        <v>128</v>
      </c>
    </row>
    <row r="900" spans="1:7">
      <c r="A900" s="6"/>
      <c r="B900" s="5">
        <v>46132</v>
      </c>
      <c r="C900" s="7" t="s">
        <v>61</v>
      </c>
      <c r="D900" s="8" t="str">
        <f>IFERROR(VLOOKUP(C900,产品数据!$B:$D,2,FALSE),"")</f>
        <v>2.5kg/包</v>
      </c>
      <c r="E900" s="6">
        <v>1</v>
      </c>
      <c r="F900" s="8" t="str">
        <f>IFERROR(VLOOKUP(C900,产品数据!$B:$D,3,FALSE),"")</f>
        <v>包</v>
      </c>
      <c r="G900" s="6" t="s">
        <v>128</v>
      </c>
    </row>
    <row r="901" spans="1:7">
      <c r="A901" s="6"/>
      <c r="B901" s="5">
        <v>46132</v>
      </c>
      <c r="C901" s="7" t="s">
        <v>96</v>
      </c>
      <c r="D901" s="8" t="str">
        <f>IFERROR(VLOOKUP(C901,产品数据!$B:$D,2,FALSE),"")</f>
        <v>10千克/袋</v>
      </c>
      <c r="E901" s="6">
        <v>4</v>
      </c>
      <c r="F901" s="8" t="str">
        <f>IFERROR(VLOOKUP(C901,产品数据!$B:$D,3,FALSE),"")</f>
        <v>袋</v>
      </c>
      <c r="G901" s="6" t="s">
        <v>127</v>
      </c>
    </row>
    <row r="902" spans="1:7">
      <c r="A902" s="6"/>
      <c r="B902" s="5">
        <v>46133</v>
      </c>
      <c r="C902" s="7" t="s">
        <v>41</v>
      </c>
      <c r="D902" s="8" t="str">
        <f>IFERROR(VLOOKUP(C902,产品数据!$B:$D,2,FALSE),"")</f>
        <v>5l/*4桶/箱</v>
      </c>
      <c r="E902" s="6">
        <v>4</v>
      </c>
      <c r="F902" s="8" t="str">
        <f>IFERROR(VLOOKUP(C902,产品数据!$B:$D,3,FALSE),"")</f>
        <v>桶</v>
      </c>
      <c r="G902" s="6" t="s">
        <v>125</v>
      </c>
    </row>
    <row r="903" spans="1:7">
      <c r="A903" s="6"/>
      <c r="B903" s="5">
        <v>46133</v>
      </c>
      <c r="C903" s="7" t="s">
        <v>45</v>
      </c>
      <c r="D903" s="8" t="str">
        <f>IFERROR(VLOOKUP(C903,产品数据!$B:$D,2,FALSE),"")</f>
        <v>1.9kg/瓶</v>
      </c>
      <c r="E903" s="6">
        <v>1</v>
      </c>
      <c r="F903" s="8" t="str">
        <f>IFERROR(VLOOKUP(C903,产品数据!$B:$D,3,FALSE),"")</f>
        <v>瓶</v>
      </c>
      <c r="G903" s="6" t="s">
        <v>125</v>
      </c>
    </row>
    <row r="904" spans="1:7">
      <c r="A904" s="6"/>
      <c r="B904" s="5">
        <v>46133</v>
      </c>
      <c r="C904" s="7" t="s">
        <v>54</v>
      </c>
      <c r="D904" s="8" t="str">
        <f>IFERROR(VLOOKUP(C904,产品数据!$B:$D,2,FALSE),"")</f>
        <v>1kg*6瓶/箱</v>
      </c>
      <c r="E904" s="6">
        <v>1</v>
      </c>
      <c r="F904" s="8" t="str">
        <f>IFERROR(VLOOKUP(C904,产品数据!$B:$D,3,FALSE),"")</f>
        <v>瓶</v>
      </c>
      <c r="G904" s="6" t="s">
        <v>125</v>
      </c>
    </row>
    <row r="905" spans="1:7">
      <c r="A905" s="6"/>
      <c r="B905" s="5">
        <v>46133</v>
      </c>
      <c r="C905" s="7" t="s">
        <v>52</v>
      </c>
      <c r="D905" s="8" t="str">
        <f>IFERROR(VLOOKUP(C905,产品数据!$B:$D,2,FALSE),"")</f>
        <v>705ml/瓶</v>
      </c>
      <c r="E905" s="6">
        <v>1</v>
      </c>
      <c r="F905" s="8" t="str">
        <f>IFERROR(VLOOKUP(C905,产品数据!$B:$D,3,FALSE),"")</f>
        <v>瓶</v>
      </c>
      <c r="G905" s="6" t="s">
        <v>125</v>
      </c>
    </row>
    <row r="906" spans="1:7">
      <c r="A906" s="6"/>
      <c r="B906" s="5">
        <v>46133</v>
      </c>
      <c r="C906" s="7" t="s">
        <v>57</v>
      </c>
      <c r="D906" s="8" t="str">
        <f>IFERROR(VLOOKUP(C906,产品数据!$B:$D,2,FALSE),"")</f>
        <v>400g*25包/箱</v>
      </c>
      <c r="E906" s="6">
        <v>2</v>
      </c>
      <c r="F906" s="8" t="str">
        <f>IFERROR(VLOOKUP(C906,产品数据!$B:$D,3,FALSE),"")</f>
        <v>包</v>
      </c>
      <c r="G906" s="6" t="s">
        <v>125</v>
      </c>
    </row>
    <row r="907" spans="1:7">
      <c r="A907" s="6"/>
      <c r="B907" s="5">
        <v>46133</v>
      </c>
      <c r="C907" s="7" t="s">
        <v>42</v>
      </c>
      <c r="D907" s="8" t="str">
        <f>IFERROR(VLOOKUP(C907,产品数据!$B:$D,2,FALSE),"")</f>
        <v>1.68L*6壶</v>
      </c>
      <c r="E907" s="6">
        <v>1</v>
      </c>
      <c r="F907" s="8" t="str">
        <f>IFERROR(VLOOKUP(C907,产品数据!$B:$D,3,FALSE),"")</f>
        <v>壶</v>
      </c>
      <c r="G907" s="6" t="s">
        <v>125</v>
      </c>
    </row>
    <row r="908" spans="1:7">
      <c r="A908" s="6"/>
      <c r="B908" s="5">
        <v>46133</v>
      </c>
      <c r="C908" s="7" t="s">
        <v>63</v>
      </c>
      <c r="D908" s="8" t="str">
        <f>IFERROR(VLOOKUP(C908,产品数据!$B:$D,2,FALSE),"")</f>
        <v>280g/包</v>
      </c>
      <c r="E908" s="6">
        <v>10</v>
      </c>
      <c r="F908" s="8" t="str">
        <f>IFERROR(VLOOKUP(C908,产品数据!$B:$D,3,FALSE),"")</f>
        <v>包</v>
      </c>
      <c r="G908" s="6" t="s">
        <v>125</v>
      </c>
    </row>
    <row r="909" spans="1:7">
      <c r="A909" s="6"/>
      <c r="B909" s="5">
        <v>46133</v>
      </c>
      <c r="C909" s="7" t="s">
        <v>59</v>
      </c>
      <c r="D909" s="8" t="str">
        <f>IFERROR(VLOOKUP(C909,产品数据!$B:$D,2,FALSE),"")</f>
        <v>102克/包</v>
      </c>
      <c r="E909" s="6">
        <v>2</v>
      </c>
      <c r="F909" s="8" t="str">
        <f>IFERROR(VLOOKUP(C909,产品数据!$B:$D,3,FALSE),"")</f>
        <v>包</v>
      </c>
      <c r="G909" s="6" t="s">
        <v>125</v>
      </c>
    </row>
    <row r="910" spans="1:7">
      <c r="A910" s="6"/>
      <c r="B910" s="5">
        <v>46133</v>
      </c>
      <c r="C910" s="7" t="s">
        <v>41</v>
      </c>
      <c r="D910" s="8" t="str">
        <f>IFERROR(VLOOKUP(C910,产品数据!$B:$D,2,FALSE),"")</f>
        <v>5l/*4桶/箱</v>
      </c>
      <c r="E910" s="6">
        <v>2</v>
      </c>
      <c r="F910" s="8" t="str">
        <f>IFERROR(VLOOKUP(C910,产品数据!$B:$D,3,FALSE),"")</f>
        <v>桶</v>
      </c>
      <c r="G910" s="6" t="s">
        <v>126</v>
      </c>
    </row>
    <row r="911" spans="1:7">
      <c r="A911" s="6"/>
      <c r="B911" s="5">
        <v>46133</v>
      </c>
      <c r="C911" s="7" t="s">
        <v>57</v>
      </c>
      <c r="D911" s="8" t="str">
        <f>IFERROR(VLOOKUP(C911,产品数据!$B:$D,2,FALSE),"")</f>
        <v>400g*25包/箱</v>
      </c>
      <c r="E911" s="6">
        <v>2</v>
      </c>
      <c r="F911" s="8" t="str">
        <f>IFERROR(VLOOKUP(C911,产品数据!$B:$D,3,FALSE),"")</f>
        <v>包</v>
      </c>
      <c r="G911" s="6" t="s">
        <v>126</v>
      </c>
    </row>
    <row r="912" spans="1:7">
      <c r="A912" s="6"/>
      <c r="B912" s="5">
        <v>46133</v>
      </c>
      <c r="C912" s="7" t="s">
        <v>52</v>
      </c>
      <c r="D912" s="8" t="str">
        <f>IFERROR(VLOOKUP(C912,产品数据!$B:$D,2,FALSE),"")</f>
        <v>705ml/瓶</v>
      </c>
      <c r="E912" s="6">
        <v>1</v>
      </c>
      <c r="F912" s="8" t="str">
        <f>IFERROR(VLOOKUP(C912,产品数据!$B:$D,3,FALSE),"")</f>
        <v>瓶</v>
      </c>
      <c r="G912" s="6" t="s">
        <v>126</v>
      </c>
    </row>
    <row r="913" spans="1:7">
      <c r="A913" s="6"/>
      <c r="B913" s="5">
        <v>46133</v>
      </c>
      <c r="C913" s="7" t="s">
        <v>54</v>
      </c>
      <c r="D913" s="8" t="str">
        <f>IFERROR(VLOOKUP(C913,产品数据!$B:$D,2,FALSE),"")</f>
        <v>1kg*6瓶/箱</v>
      </c>
      <c r="E913" s="6">
        <v>1</v>
      </c>
      <c r="F913" s="8" t="str">
        <f>IFERROR(VLOOKUP(C913,产品数据!$B:$D,3,FALSE),"")</f>
        <v>瓶</v>
      </c>
      <c r="G913" s="6" t="s">
        <v>126</v>
      </c>
    </row>
    <row r="914" spans="1:7">
      <c r="A914" s="6"/>
      <c r="B914" s="5">
        <v>46133</v>
      </c>
      <c r="C914" s="7" t="s">
        <v>96</v>
      </c>
      <c r="D914" s="8" t="str">
        <f>IFERROR(VLOOKUP(C914,产品数据!$B:$D,2,FALSE),"")</f>
        <v>10千克/袋</v>
      </c>
      <c r="E914" s="6">
        <v>3</v>
      </c>
      <c r="F914" s="8" t="str">
        <f>IFERROR(VLOOKUP(C914,产品数据!$B:$D,3,FALSE),"")</f>
        <v>袋</v>
      </c>
      <c r="G914" s="6" t="s">
        <v>127</v>
      </c>
    </row>
    <row r="915" spans="1:7">
      <c r="A915" s="6"/>
      <c r="B915" s="5">
        <v>46133</v>
      </c>
      <c r="C915" s="7" t="s">
        <v>100</v>
      </c>
      <c r="D915" s="8" t="str">
        <f>IFERROR(VLOOKUP(C915,产品数据!$B:$D,2,FALSE),"")</f>
        <v>5kg/包</v>
      </c>
      <c r="E915" s="6">
        <v>5</v>
      </c>
      <c r="F915" s="8" t="str">
        <f>IFERROR(VLOOKUP(C915,产品数据!$B:$D,3,FALSE),"")</f>
        <v>包</v>
      </c>
      <c r="G915" s="6" t="s">
        <v>128</v>
      </c>
    </row>
    <row r="916" spans="1:7">
      <c r="A916" s="6"/>
      <c r="B916" s="5">
        <v>46134</v>
      </c>
      <c r="C916" s="7" t="s">
        <v>41</v>
      </c>
      <c r="D916" s="8" t="str">
        <f>IFERROR(VLOOKUP(C916,产品数据!$B:$D,2,FALSE),"")</f>
        <v>5l/*4桶/箱</v>
      </c>
      <c r="E916" s="6">
        <v>4</v>
      </c>
      <c r="F916" s="8" t="str">
        <f>IFERROR(VLOOKUP(C916,产品数据!$B:$D,3,FALSE),"")</f>
        <v>桶</v>
      </c>
      <c r="G916" s="6" t="s">
        <v>125</v>
      </c>
    </row>
    <row r="917" spans="1:7">
      <c r="A917" s="6"/>
      <c r="B917" s="5">
        <v>46134</v>
      </c>
      <c r="C917" s="7" t="s">
        <v>54</v>
      </c>
      <c r="D917" s="8" t="str">
        <f>IFERROR(VLOOKUP(C917,产品数据!$B:$D,2,FALSE),"")</f>
        <v>1kg*6瓶/箱</v>
      </c>
      <c r="E917" s="6">
        <v>1</v>
      </c>
      <c r="F917" s="8" t="str">
        <f>IFERROR(VLOOKUP(C917,产品数据!$B:$D,3,FALSE),"")</f>
        <v>瓶</v>
      </c>
      <c r="G917" s="6" t="s">
        <v>125</v>
      </c>
    </row>
    <row r="918" spans="1:7">
      <c r="A918" s="6"/>
      <c r="B918" s="5">
        <v>46134</v>
      </c>
      <c r="C918" s="7" t="s">
        <v>52</v>
      </c>
      <c r="D918" s="8" t="str">
        <f>IFERROR(VLOOKUP(C918,产品数据!$B:$D,2,FALSE),"")</f>
        <v>705ml/瓶</v>
      </c>
      <c r="E918" s="6">
        <v>1</v>
      </c>
      <c r="F918" s="8" t="str">
        <f>IFERROR(VLOOKUP(C918,产品数据!$B:$D,3,FALSE),"")</f>
        <v>瓶</v>
      </c>
      <c r="G918" s="6" t="s">
        <v>125</v>
      </c>
    </row>
    <row r="919" spans="1:7">
      <c r="A919" s="6"/>
      <c r="B919" s="5">
        <v>46134</v>
      </c>
      <c r="C919" s="7" t="s">
        <v>104</v>
      </c>
      <c r="D919" s="8" t="str">
        <f>IFERROR(VLOOKUP(C919,产品数据!$B:$D,2,FALSE),"")</f>
        <v>500ml*6瓶/箱</v>
      </c>
      <c r="E919" s="6">
        <v>4</v>
      </c>
      <c r="F919" s="8" t="str">
        <f>IFERROR(VLOOKUP(C919,产品数据!$B:$D,3,FALSE),"")</f>
        <v>瓶</v>
      </c>
      <c r="G919" s="6" t="s">
        <v>125</v>
      </c>
    </row>
    <row r="920" spans="1:7">
      <c r="A920" s="6"/>
      <c r="B920" s="5">
        <v>46134</v>
      </c>
      <c r="C920" s="7" t="s">
        <v>63</v>
      </c>
      <c r="D920" s="8" t="str">
        <f>IFERROR(VLOOKUP(C920,产品数据!$B:$D,2,FALSE),"")</f>
        <v>280g/包</v>
      </c>
      <c r="E920" s="6">
        <v>6</v>
      </c>
      <c r="F920" s="8" t="str">
        <f>IFERROR(VLOOKUP(C920,产品数据!$B:$D,3,FALSE),"")</f>
        <v>包</v>
      </c>
      <c r="G920" s="6" t="s">
        <v>125</v>
      </c>
    </row>
    <row r="921" spans="1:7">
      <c r="A921" s="6"/>
      <c r="B921" s="5">
        <v>46134</v>
      </c>
      <c r="C921" s="7" t="s">
        <v>56</v>
      </c>
      <c r="D921" s="8" t="str">
        <f>IFERROR(VLOOKUP(C921,产品数据!$B:$D,2,FALSE),"")</f>
        <v>178g*50包/箱</v>
      </c>
      <c r="E921" s="6">
        <v>5</v>
      </c>
      <c r="F921" s="8" t="str">
        <f>IFERROR(VLOOKUP(C921,产品数据!$B:$D,3,FALSE),"")</f>
        <v>包</v>
      </c>
      <c r="G921" s="6" t="s">
        <v>125</v>
      </c>
    </row>
    <row r="922" spans="1:7">
      <c r="A922" s="6"/>
      <c r="B922" s="5">
        <v>46134</v>
      </c>
      <c r="C922" s="7" t="s">
        <v>57</v>
      </c>
      <c r="D922" s="8" t="str">
        <f>IFERROR(VLOOKUP(C922,产品数据!$B:$D,2,FALSE),"")</f>
        <v>400g*25包/箱</v>
      </c>
      <c r="E922" s="6">
        <v>2</v>
      </c>
      <c r="F922" s="8" t="str">
        <f>IFERROR(VLOOKUP(C922,产品数据!$B:$D,3,FALSE),"")</f>
        <v>包</v>
      </c>
      <c r="G922" s="6" t="s">
        <v>125</v>
      </c>
    </row>
    <row r="923" spans="1:7">
      <c r="A923" s="6"/>
      <c r="B923" s="5">
        <v>46134</v>
      </c>
      <c r="C923" s="7" t="s">
        <v>61</v>
      </c>
      <c r="D923" s="8" t="str">
        <f>IFERROR(VLOOKUP(C923,产品数据!$B:$D,2,FALSE),"")</f>
        <v>2.5kg/包</v>
      </c>
      <c r="E923" s="6">
        <v>2</v>
      </c>
      <c r="F923" s="8" t="str">
        <f>IFERROR(VLOOKUP(C923,产品数据!$B:$D,3,FALSE),"")</f>
        <v>包</v>
      </c>
      <c r="G923" s="6" t="s">
        <v>125</v>
      </c>
    </row>
    <row r="924" spans="1:7">
      <c r="A924" s="6"/>
      <c r="B924" s="5">
        <v>46134</v>
      </c>
      <c r="C924" s="7" t="s">
        <v>46</v>
      </c>
      <c r="D924" s="8" t="str">
        <f>IFERROR(VLOOKUP(C924,产品数据!$B:$D,2,FALSE),"")</f>
        <v>340g/瓶</v>
      </c>
      <c r="E924" s="6">
        <v>2</v>
      </c>
      <c r="F924" s="8" t="str">
        <f>IFERROR(VLOOKUP(C924,产品数据!$B:$D,3,FALSE),"")</f>
        <v>瓶</v>
      </c>
      <c r="G924" s="6" t="s">
        <v>125</v>
      </c>
    </row>
    <row r="925" spans="1:7">
      <c r="A925" s="6"/>
      <c r="B925" s="5">
        <v>46134</v>
      </c>
      <c r="C925" s="7" t="s">
        <v>96</v>
      </c>
      <c r="D925" s="8" t="str">
        <f>IFERROR(VLOOKUP(C925,产品数据!$B:$D,2,FALSE),"")</f>
        <v>10千克/袋</v>
      </c>
      <c r="E925" s="6">
        <v>4</v>
      </c>
      <c r="F925" s="8" t="str">
        <f>IFERROR(VLOOKUP(C925,产品数据!$B:$D,3,FALSE),"")</f>
        <v>袋</v>
      </c>
      <c r="G925" s="6" t="s">
        <v>127</v>
      </c>
    </row>
    <row r="926" spans="1:7">
      <c r="A926" s="6"/>
      <c r="B926" s="5">
        <v>46134</v>
      </c>
      <c r="C926" s="7" t="s">
        <v>56</v>
      </c>
      <c r="D926" s="8" t="str">
        <f>IFERROR(VLOOKUP(C926,产品数据!$B:$D,2,FALSE),"")</f>
        <v>178g*50包/箱</v>
      </c>
      <c r="E926" s="6">
        <v>5</v>
      </c>
      <c r="F926" s="8" t="str">
        <f>IFERROR(VLOOKUP(C926,产品数据!$B:$D,3,FALSE),"")</f>
        <v>包</v>
      </c>
      <c r="G926" s="6" t="s">
        <v>127</v>
      </c>
    </row>
    <row r="927" spans="1:7">
      <c r="A927" s="6"/>
      <c r="B927" s="5">
        <v>46134</v>
      </c>
      <c r="C927" s="7" t="s">
        <v>49</v>
      </c>
      <c r="D927" s="8" t="str">
        <f>IFERROR(VLOOKUP(C927,产品数据!$B:$D,2,FALSE),"")</f>
        <v>180g/包</v>
      </c>
      <c r="E927" s="6">
        <v>1</v>
      </c>
      <c r="F927" s="8" t="str">
        <f>IFERROR(VLOOKUP(C927,产品数据!$B:$D,3,FALSE),"")</f>
        <v>包</v>
      </c>
      <c r="G927" s="6" t="s">
        <v>127</v>
      </c>
    </row>
    <row r="928" spans="1:7">
      <c r="A928" s="6"/>
      <c r="B928" s="5">
        <v>46134</v>
      </c>
      <c r="C928" s="7" t="s">
        <v>100</v>
      </c>
      <c r="D928" s="8" t="str">
        <f>IFERROR(VLOOKUP(C928,产品数据!$B:$D,2,FALSE),"")</f>
        <v>5kg/包</v>
      </c>
      <c r="E928" s="6">
        <v>5</v>
      </c>
      <c r="F928" s="8" t="str">
        <f>IFERROR(VLOOKUP(C928,产品数据!$B:$D,3,FALSE),"")</f>
        <v>包</v>
      </c>
      <c r="G928" s="6" t="s">
        <v>128</v>
      </c>
    </row>
    <row r="929" spans="1:7">
      <c r="A929" s="6"/>
      <c r="B929" s="5">
        <v>46135</v>
      </c>
      <c r="C929" s="7" t="s">
        <v>41</v>
      </c>
      <c r="D929" s="8" t="str">
        <f>IFERROR(VLOOKUP(C929,产品数据!$B:$D,2,FALSE),"")</f>
        <v>5l/*4桶/箱</v>
      </c>
      <c r="E929" s="6">
        <v>4</v>
      </c>
      <c r="F929" s="8" t="str">
        <f>IFERROR(VLOOKUP(C929,产品数据!$B:$D,3,FALSE),"")</f>
        <v>桶</v>
      </c>
      <c r="G929" s="6" t="s">
        <v>125</v>
      </c>
    </row>
    <row r="930" spans="1:7">
      <c r="A930" s="6"/>
      <c r="B930" s="5">
        <v>46135</v>
      </c>
      <c r="C930" s="7" t="s">
        <v>44</v>
      </c>
      <c r="D930" s="8" t="str">
        <f>IFERROR(VLOOKUP(C930,产品数据!$B:$D,2,FALSE),"")</f>
        <v>1.9升/瓶*6瓶/箱</v>
      </c>
      <c r="E930" s="6">
        <v>1</v>
      </c>
      <c r="F930" s="8" t="str">
        <f>IFERROR(VLOOKUP(C930,产品数据!$B:$D,3,FALSE),"")</f>
        <v>瓶</v>
      </c>
      <c r="G930" s="6" t="s">
        <v>125</v>
      </c>
    </row>
    <row r="931" spans="1:7">
      <c r="A931" s="6"/>
      <c r="B931" s="5">
        <v>46135</v>
      </c>
      <c r="C931" s="7" t="s">
        <v>42</v>
      </c>
      <c r="D931" s="8" t="str">
        <f>IFERROR(VLOOKUP(C931,产品数据!$B:$D,2,FALSE),"")</f>
        <v>1.68L*6壶</v>
      </c>
      <c r="E931" s="6">
        <v>1</v>
      </c>
      <c r="F931" s="8" t="str">
        <f>IFERROR(VLOOKUP(C931,产品数据!$B:$D,3,FALSE),"")</f>
        <v>壶</v>
      </c>
      <c r="G931" s="6" t="s">
        <v>125</v>
      </c>
    </row>
    <row r="932" spans="1:7">
      <c r="A932" s="6"/>
      <c r="B932" s="5">
        <v>46135</v>
      </c>
      <c r="C932" s="7" t="s">
        <v>57</v>
      </c>
      <c r="D932" s="8" t="str">
        <f>IFERROR(VLOOKUP(C932,产品数据!$B:$D,2,FALSE),"")</f>
        <v>400g*25包/箱</v>
      </c>
      <c r="E932" s="6">
        <v>2</v>
      </c>
      <c r="F932" s="8" t="str">
        <f>IFERROR(VLOOKUP(C932,产品数据!$B:$D,3,FALSE),"")</f>
        <v>包</v>
      </c>
      <c r="G932" s="6" t="s">
        <v>125</v>
      </c>
    </row>
    <row r="933" spans="1:7">
      <c r="A933" s="6"/>
      <c r="B933" s="5">
        <v>46135</v>
      </c>
      <c r="C933" s="7" t="s">
        <v>54</v>
      </c>
      <c r="D933" s="8" t="str">
        <f>IFERROR(VLOOKUP(C933,产品数据!$B:$D,2,FALSE),"")</f>
        <v>1kg*6瓶/箱</v>
      </c>
      <c r="E933" s="6">
        <v>1</v>
      </c>
      <c r="F933" s="8" t="str">
        <f>IFERROR(VLOOKUP(C933,产品数据!$B:$D,3,FALSE),"")</f>
        <v>瓶</v>
      </c>
      <c r="G933" s="6" t="s">
        <v>125</v>
      </c>
    </row>
    <row r="934" spans="1:7">
      <c r="A934" s="6"/>
      <c r="B934" s="5">
        <v>46135</v>
      </c>
      <c r="C934" s="7" t="s">
        <v>52</v>
      </c>
      <c r="D934" s="8" t="str">
        <f>IFERROR(VLOOKUP(C934,产品数据!$B:$D,2,FALSE),"")</f>
        <v>705ml/瓶</v>
      </c>
      <c r="E934" s="6">
        <v>1</v>
      </c>
      <c r="F934" s="8" t="str">
        <f>IFERROR(VLOOKUP(C934,产品数据!$B:$D,3,FALSE),"")</f>
        <v>瓶</v>
      </c>
      <c r="G934" s="6" t="s">
        <v>125</v>
      </c>
    </row>
    <row r="935" spans="1:7">
      <c r="A935" s="6"/>
      <c r="B935" s="5">
        <v>46135</v>
      </c>
      <c r="C935" s="7" t="s">
        <v>104</v>
      </c>
      <c r="D935" s="8" t="str">
        <f>IFERROR(VLOOKUP(C935,产品数据!$B:$D,2,FALSE),"")</f>
        <v>500ml*6瓶/箱</v>
      </c>
      <c r="E935" s="6">
        <v>2</v>
      </c>
      <c r="F935" s="8" t="str">
        <f>IFERROR(VLOOKUP(C935,产品数据!$B:$D,3,FALSE),"")</f>
        <v>瓶</v>
      </c>
      <c r="G935" s="6" t="s">
        <v>125</v>
      </c>
    </row>
    <row r="936" spans="1:7">
      <c r="A936" s="6"/>
      <c r="B936" s="5">
        <v>46135</v>
      </c>
      <c r="C936" s="7" t="s">
        <v>48</v>
      </c>
      <c r="D936" s="8" t="str">
        <f>IFERROR(VLOOKUP(C936,产品数据!$B:$D,2,FALSE),"")</f>
        <v>500克/瓶*24瓶/箱</v>
      </c>
      <c r="E936" s="6">
        <v>1</v>
      </c>
      <c r="F936" s="8" t="str">
        <f>IFERROR(VLOOKUP(C936,产品数据!$B:$D,3,FALSE),"")</f>
        <v>瓶</v>
      </c>
      <c r="G936" s="6" t="s">
        <v>125</v>
      </c>
    </row>
    <row r="937" spans="1:7">
      <c r="A937" s="6"/>
      <c r="B937" s="5">
        <v>46135</v>
      </c>
      <c r="C937" s="7" t="s">
        <v>63</v>
      </c>
      <c r="D937" s="8" t="str">
        <f>IFERROR(VLOOKUP(C937,产品数据!$B:$D,2,FALSE),"")</f>
        <v>280g/包</v>
      </c>
      <c r="E937" s="6">
        <v>5</v>
      </c>
      <c r="F937" s="8" t="str">
        <f>IFERROR(VLOOKUP(C937,产品数据!$B:$D,3,FALSE),"")</f>
        <v>包</v>
      </c>
      <c r="G937" s="6" t="s">
        <v>125</v>
      </c>
    </row>
    <row r="938" spans="1:7">
      <c r="A938" s="6"/>
      <c r="B938" s="5">
        <v>46135</v>
      </c>
      <c r="C938" s="7" t="s">
        <v>52</v>
      </c>
      <c r="D938" s="8" t="str">
        <f>IFERROR(VLOOKUP(C938,产品数据!$B:$D,2,FALSE),"")</f>
        <v>705ml/瓶</v>
      </c>
      <c r="E938" s="6">
        <v>1</v>
      </c>
      <c r="F938" s="8" t="str">
        <f>IFERROR(VLOOKUP(C938,产品数据!$B:$D,3,FALSE),"")</f>
        <v>瓶</v>
      </c>
      <c r="G938" s="6" t="s">
        <v>128</v>
      </c>
    </row>
    <row r="939" spans="1:7">
      <c r="A939" s="6"/>
      <c r="B939" s="5">
        <v>46135</v>
      </c>
      <c r="C939" s="7" t="s">
        <v>54</v>
      </c>
      <c r="D939" s="8" t="str">
        <f>IFERROR(VLOOKUP(C939,产品数据!$B:$D,2,FALSE),"")</f>
        <v>1kg*6瓶/箱</v>
      </c>
      <c r="E939" s="6">
        <v>1</v>
      </c>
      <c r="F939" s="8" t="str">
        <f>IFERROR(VLOOKUP(C939,产品数据!$B:$D,3,FALSE),"")</f>
        <v>瓶</v>
      </c>
      <c r="G939" s="6" t="s">
        <v>128</v>
      </c>
    </row>
    <row r="940" spans="1:7">
      <c r="A940" s="6"/>
      <c r="B940" s="5">
        <v>46135</v>
      </c>
      <c r="C940" s="7" t="s">
        <v>107</v>
      </c>
      <c r="D940" s="8" t="str">
        <f>IFERROR(VLOOKUP(C940,产品数据!$B:$D,2,FALSE),"")</f>
        <v>1.43L/壶*6壶/箱</v>
      </c>
      <c r="E940" s="6">
        <v>1</v>
      </c>
      <c r="F940" s="8" t="str">
        <f>IFERROR(VLOOKUP(C940,产品数据!$B:$D,3,FALSE),"")</f>
        <v>壶</v>
      </c>
      <c r="G940" s="6" t="s">
        <v>128</v>
      </c>
    </row>
    <row r="941" spans="1:7">
      <c r="A941" s="6"/>
      <c r="B941" s="5">
        <v>46135</v>
      </c>
      <c r="C941" s="7" t="s">
        <v>96</v>
      </c>
      <c r="D941" s="8" t="str">
        <f>IFERROR(VLOOKUP(C941,产品数据!$B:$D,2,FALSE),"")</f>
        <v>10千克/袋</v>
      </c>
      <c r="E941" s="6">
        <v>3</v>
      </c>
      <c r="F941" s="8" t="str">
        <f>IFERROR(VLOOKUP(C941,产品数据!$B:$D,3,FALSE),"")</f>
        <v>袋</v>
      </c>
      <c r="G941" s="6" t="s">
        <v>127</v>
      </c>
    </row>
    <row r="942" spans="1:7">
      <c r="A942" s="6"/>
      <c r="B942" s="5">
        <v>46136</v>
      </c>
      <c r="C942" s="7" t="s">
        <v>41</v>
      </c>
      <c r="D942" s="8" t="str">
        <f>IFERROR(VLOOKUP(C942,产品数据!$B:$D,2,FALSE),"")</f>
        <v>5l/*4桶/箱</v>
      </c>
      <c r="E942" s="6">
        <v>5</v>
      </c>
      <c r="F942" s="8" t="str">
        <f>IFERROR(VLOOKUP(C942,产品数据!$B:$D,3,FALSE),"")</f>
        <v>桶</v>
      </c>
      <c r="G942" s="6" t="s">
        <v>125</v>
      </c>
    </row>
    <row r="943" spans="1:7">
      <c r="A943" s="6"/>
      <c r="B943" s="5">
        <v>46136</v>
      </c>
      <c r="C943" s="7" t="s">
        <v>43</v>
      </c>
      <c r="D943" s="8" t="str">
        <f>IFERROR(VLOOKUP(C943,产品数据!$B:$D,2,FALSE),"")</f>
        <v>1.9升/瓶*6瓶/箱</v>
      </c>
      <c r="E943" s="6">
        <v>2</v>
      </c>
      <c r="F943" s="8" t="str">
        <f>IFERROR(VLOOKUP(C943,产品数据!$B:$D,3,FALSE),"")</f>
        <v>瓶</v>
      </c>
      <c r="G943" s="6" t="s">
        <v>125</v>
      </c>
    </row>
    <row r="944" spans="1:7">
      <c r="A944" s="6"/>
      <c r="B944" s="5">
        <v>46136</v>
      </c>
      <c r="C944" s="7" t="s">
        <v>44</v>
      </c>
      <c r="D944" s="8" t="str">
        <f>IFERROR(VLOOKUP(C944,产品数据!$B:$D,2,FALSE),"")</f>
        <v>1.9升/瓶*6瓶/箱</v>
      </c>
      <c r="E944" s="6">
        <v>1</v>
      </c>
      <c r="F944" s="8" t="str">
        <f>IFERROR(VLOOKUP(C944,产品数据!$B:$D,3,FALSE),"")</f>
        <v>瓶</v>
      </c>
      <c r="G944" s="6" t="s">
        <v>125</v>
      </c>
    </row>
    <row r="945" spans="1:7">
      <c r="A945" s="6"/>
      <c r="B945" s="5">
        <v>46136</v>
      </c>
      <c r="C945" s="7" t="s">
        <v>42</v>
      </c>
      <c r="D945" s="8" t="str">
        <f>IFERROR(VLOOKUP(C945,产品数据!$B:$D,2,FALSE),"")</f>
        <v>1.68L*6壶</v>
      </c>
      <c r="E945" s="6">
        <v>2</v>
      </c>
      <c r="F945" s="8" t="str">
        <f>IFERROR(VLOOKUP(C945,产品数据!$B:$D,3,FALSE),"")</f>
        <v>壶</v>
      </c>
      <c r="G945" s="6" t="s">
        <v>125</v>
      </c>
    </row>
    <row r="946" spans="1:7">
      <c r="A946" s="6"/>
      <c r="B946" s="5">
        <v>46136</v>
      </c>
      <c r="C946" s="7" t="s">
        <v>54</v>
      </c>
      <c r="D946" s="8" t="str">
        <f>IFERROR(VLOOKUP(C946,产品数据!$B:$D,2,FALSE),"")</f>
        <v>1kg*6瓶/箱</v>
      </c>
      <c r="E946" s="6">
        <v>1</v>
      </c>
      <c r="F946" s="8" t="str">
        <f>IFERROR(VLOOKUP(C946,产品数据!$B:$D,3,FALSE),"")</f>
        <v>瓶</v>
      </c>
      <c r="G946" s="6" t="s">
        <v>125</v>
      </c>
    </row>
    <row r="947" spans="1:7">
      <c r="A947" s="6"/>
      <c r="B947" s="5">
        <v>46136</v>
      </c>
      <c r="C947" s="7" t="s">
        <v>52</v>
      </c>
      <c r="D947" s="8" t="str">
        <f>IFERROR(VLOOKUP(C947,产品数据!$B:$D,2,FALSE),"")</f>
        <v>705ml/瓶</v>
      </c>
      <c r="E947" s="6">
        <v>1</v>
      </c>
      <c r="F947" s="8" t="str">
        <f>IFERROR(VLOOKUP(C947,产品数据!$B:$D,3,FALSE),"")</f>
        <v>瓶</v>
      </c>
      <c r="G947" s="6" t="s">
        <v>125</v>
      </c>
    </row>
    <row r="948" spans="1:7">
      <c r="A948" s="6"/>
      <c r="B948" s="5">
        <v>46136</v>
      </c>
      <c r="C948" s="7" t="s">
        <v>57</v>
      </c>
      <c r="D948" s="8" t="str">
        <f>IFERROR(VLOOKUP(C948,产品数据!$B:$D,2,FALSE),"")</f>
        <v>400g*25包/箱</v>
      </c>
      <c r="E948" s="6">
        <v>2</v>
      </c>
      <c r="F948" s="8" t="str">
        <f>IFERROR(VLOOKUP(C948,产品数据!$B:$D,3,FALSE),"")</f>
        <v>包</v>
      </c>
      <c r="G948" s="6" t="s">
        <v>125</v>
      </c>
    </row>
    <row r="949" spans="1:7">
      <c r="A949" s="6"/>
      <c r="B949" s="5">
        <v>46136</v>
      </c>
      <c r="C949" s="7" t="s">
        <v>104</v>
      </c>
      <c r="D949" s="8" t="str">
        <f>IFERROR(VLOOKUP(C949,产品数据!$B:$D,2,FALSE),"")</f>
        <v>500ml*6瓶/箱</v>
      </c>
      <c r="E949" s="6">
        <v>4</v>
      </c>
      <c r="F949" s="8" t="str">
        <f>IFERROR(VLOOKUP(C949,产品数据!$B:$D,3,FALSE),"")</f>
        <v>瓶</v>
      </c>
      <c r="G949" s="6" t="s">
        <v>125</v>
      </c>
    </row>
    <row r="950" spans="1:7">
      <c r="A950" s="6"/>
      <c r="B950" s="5">
        <v>46136</v>
      </c>
      <c r="C950" s="7" t="s">
        <v>63</v>
      </c>
      <c r="D950" s="8" t="str">
        <f>IFERROR(VLOOKUP(C950,产品数据!$B:$D,2,FALSE),"")</f>
        <v>280g/包</v>
      </c>
      <c r="E950" s="6">
        <v>5</v>
      </c>
      <c r="F950" s="8" t="str">
        <f>IFERROR(VLOOKUP(C950,产品数据!$B:$D,3,FALSE),"")</f>
        <v>包</v>
      </c>
      <c r="G950" s="6" t="s">
        <v>125</v>
      </c>
    </row>
    <row r="951" spans="1:7">
      <c r="A951" s="6"/>
      <c r="B951" s="5">
        <v>46136</v>
      </c>
      <c r="C951" s="7" t="s">
        <v>61</v>
      </c>
      <c r="D951" s="8" t="str">
        <f>IFERROR(VLOOKUP(C951,产品数据!$B:$D,2,FALSE),"")</f>
        <v>2.5kg/包</v>
      </c>
      <c r="E951" s="6">
        <v>1</v>
      </c>
      <c r="F951" s="8" t="str">
        <f>IFERROR(VLOOKUP(C951,产品数据!$B:$D,3,FALSE),"")</f>
        <v>包</v>
      </c>
      <c r="G951" s="6" t="s">
        <v>125</v>
      </c>
    </row>
    <row r="952" spans="1:7">
      <c r="A952" s="6"/>
      <c r="B952" s="5">
        <v>46136</v>
      </c>
      <c r="C952" s="7" t="s">
        <v>100</v>
      </c>
      <c r="D952" s="8" t="str">
        <f>IFERROR(VLOOKUP(C952,产品数据!$B:$D,2,FALSE),"")</f>
        <v>5kg/包</v>
      </c>
      <c r="E952" s="6">
        <v>5</v>
      </c>
      <c r="F952" s="8" t="str">
        <f>IFERROR(VLOOKUP(C952,产品数据!$B:$D,3,FALSE),"")</f>
        <v>包</v>
      </c>
      <c r="G952" s="6" t="s">
        <v>128</v>
      </c>
    </row>
    <row r="953" spans="1:7">
      <c r="A953" s="6"/>
      <c r="B953" s="5">
        <v>46136</v>
      </c>
      <c r="C953" s="7" t="s">
        <v>96</v>
      </c>
      <c r="D953" s="8" t="str">
        <f>IFERROR(VLOOKUP(C953,产品数据!$B:$D,2,FALSE),"")</f>
        <v>10千克/袋</v>
      </c>
      <c r="E953" s="6">
        <v>2</v>
      </c>
      <c r="F953" s="8" t="str">
        <f>IFERROR(VLOOKUP(C953,产品数据!$B:$D,3,FALSE),"")</f>
        <v>袋</v>
      </c>
      <c r="G953" s="6" t="s">
        <v>127</v>
      </c>
    </row>
    <row r="954" spans="1:7">
      <c r="A954" s="6"/>
      <c r="B954" s="5">
        <v>46139</v>
      </c>
      <c r="C954" s="7" t="s">
        <v>41</v>
      </c>
      <c r="D954" s="8" t="str">
        <f>IFERROR(VLOOKUP(C954,产品数据!$B:$D,2,FALSE),"")</f>
        <v>5l/*4桶/箱</v>
      </c>
      <c r="E954" s="6">
        <v>4</v>
      </c>
      <c r="F954" s="8" t="str">
        <f>IFERROR(VLOOKUP(C954,产品数据!$B:$D,3,FALSE),"")</f>
        <v>桶</v>
      </c>
      <c r="G954" s="6" t="s">
        <v>125</v>
      </c>
    </row>
    <row r="955" spans="1:7">
      <c r="A955" s="6"/>
      <c r="B955" s="5">
        <v>46139</v>
      </c>
      <c r="C955" s="7" t="s">
        <v>45</v>
      </c>
      <c r="D955" s="8" t="str">
        <f>IFERROR(VLOOKUP(C955,产品数据!$B:$D,2,FALSE),"")</f>
        <v>1.9kg/瓶</v>
      </c>
      <c r="E955" s="6">
        <v>1</v>
      </c>
      <c r="F955" s="8" t="str">
        <f>IFERROR(VLOOKUP(C955,产品数据!$B:$D,3,FALSE),"")</f>
        <v>瓶</v>
      </c>
      <c r="G955" s="6" t="s">
        <v>125</v>
      </c>
    </row>
    <row r="956" spans="1:7">
      <c r="A956" s="6"/>
      <c r="B956" s="5">
        <v>46139</v>
      </c>
      <c r="C956" s="7" t="s">
        <v>42</v>
      </c>
      <c r="D956" s="8" t="str">
        <f>IFERROR(VLOOKUP(C956,产品数据!$B:$D,2,FALSE),"")</f>
        <v>1.68L*6壶</v>
      </c>
      <c r="E956" s="6">
        <v>1</v>
      </c>
      <c r="F956" s="8" t="str">
        <f>IFERROR(VLOOKUP(C956,产品数据!$B:$D,3,FALSE),"")</f>
        <v>壶</v>
      </c>
      <c r="G956" s="6" t="s">
        <v>125</v>
      </c>
    </row>
    <row r="957" spans="1:7">
      <c r="A957" s="6"/>
      <c r="B957" s="5">
        <v>46139</v>
      </c>
      <c r="C957" s="7" t="s">
        <v>57</v>
      </c>
      <c r="D957" s="8" t="str">
        <f>IFERROR(VLOOKUP(C957,产品数据!$B:$D,2,FALSE),"")</f>
        <v>400g*25包/箱</v>
      </c>
      <c r="E957" s="6">
        <v>2</v>
      </c>
      <c r="F957" s="8" t="str">
        <f>IFERROR(VLOOKUP(C957,产品数据!$B:$D,3,FALSE),"")</f>
        <v>包</v>
      </c>
      <c r="G957" s="6" t="s">
        <v>125</v>
      </c>
    </row>
    <row r="958" spans="1:7">
      <c r="A958" s="6"/>
      <c r="B958" s="5">
        <v>46139</v>
      </c>
      <c r="C958" s="7" t="s">
        <v>63</v>
      </c>
      <c r="D958" s="8" t="str">
        <f>IFERROR(VLOOKUP(C958,产品数据!$B:$D,2,FALSE),"")</f>
        <v>280g/包</v>
      </c>
      <c r="E958" s="6">
        <v>10</v>
      </c>
      <c r="F958" s="8" t="str">
        <f>IFERROR(VLOOKUP(C958,产品数据!$B:$D,3,FALSE),"")</f>
        <v>包</v>
      </c>
      <c r="G958" s="6" t="s">
        <v>125</v>
      </c>
    </row>
    <row r="959" spans="1:7">
      <c r="A959" s="6"/>
      <c r="B959" s="5">
        <v>46139</v>
      </c>
      <c r="C959" s="7" t="s">
        <v>104</v>
      </c>
      <c r="D959" s="8" t="str">
        <f>IFERROR(VLOOKUP(C959,产品数据!$B:$D,2,FALSE),"")</f>
        <v>500ml*6瓶/箱</v>
      </c>
      <c r="E959" s="6">
        <v>4</v>
      </c>
      <c r="F959" s="8" t="str">
        <f>IFERROR(VLOOKUP(C959,产品数据!$B:$D,3,FALSE),"")</f>
        <v>瓶</v>
      </c>
      <c r="G959" s="6" t="s">
        <v>125</v>
      </c>
    </row>
    <row r="960" spans="1:7">
      <c r="A960" s="6"/>
      <c r="B960" s="5">
        <v>46139</v>
      </c>
      <c r="C960" s="7" t="s">
        <v>44</v>
      </c>
      <c r="D960" s="8" t="str">
        <f>IFERROR(VLOOKUP(C960,产品数据!$B:$D,2,FALSE),"")</f>
        <v>1.9升/瓶*6瓶/箱</v>
      </c>
      <c r="E960" s="6">
        <v>1</v>
      </c>
      <c r="F960" s="8" t="str">
        <f>IFERROR(VLOOKUP(C960,产品数据!$B:$D,3,FALSE),"")</f>
        <v>瓶</v>
      </c>
      <c r="G960" s="6" t="s">
        <v>129</v>
      </c>
    </row>
    <row r="961" spans="1:7">
      <c r="A961" s="6"/>
      <c r="B961" s="5">
        <v>46139</v>
      </c>
      <c r="C961" s="7" t="s">
        <v>106</v>
      </c>
      <c r="D961" s="8" t="str">
        <f>IFERROR(VLOOKUP(C961,产品数据!$B:$D,2,FALSE),"")</f>
        <v>1.9升/瓶*6瓶/箱</v>
      </c>
      <c r="E961" s="6">
        <v>1</v>
      </c>
      <c r="F961" s="8" t="str">
        <f>IFERROR(VLOOKUP(C961,产品数据!$B:$D,3,FALSE),"")</f>
        <v>瓶</v>
      </c>
      <c r="G961" s="6" t="s">
        <v>129</v>
      </c>
    </row>
    <row r="962" spans="1:7">
      <c r="A962" s="6"/>
      <c r="B962" s="5">
        <v>46139</v>
      </c>
      <c r="C962" s="7" t="s">
        <v>56</v>
      </c>
      <c r="D962" s="8" t="str">
        <f>IFERROR(VLOOKUP(C962,产品数据!$B:$D,2,FALSE),"")</f>
        <v>178g*50包/箱</v>
      </c>
      <c r="E962" s="6">
        <v>3</v>
      </c>
      <c r="F962" s="8" t="str">
        <f>IFERROR(VLOOKUP(C962,产品数据!$B:$D,3,FALSE),"")</f>
        <v>包</v>
      </c>
      <c r="G962" s="6" t="s">
        <v>129</v>
      </c>
    </row>
    <row r="963" spans="1:7">
      <c r="A963" s="6"/>
      <c r="B963" s="5">
        <v>46139</v>
      </c>
      <c r="C963" s="7" t="s">
        <v>100</v>
      </c>
      <c r="D963" s="8" t="str">
        <f>IFERROR(VLOOKUP(C963,产品数据!$B:$D,2,FALSE),"")</f>
        <v>5kg/包</v>
      </c>
      <c r="E963" s="6">
        <v>5</v>
      </c>
      <c r="F963" s="8" t="str">
        <f>IFERROR(VLOOKUP(C963,产品数据!$B:$D,3,FALSE),"")</f>
        <v>包</v>
      </c>
      <c r="G963" s="6" t="s">
        <v>128</v>
      </c>
    </row>
    <row r="964" spans="1:7">
      <c r="A964" s="6"/>
      <c r="B964" s="5">
        <v>46139</v>
      </c>
      <c r="C964" s="7" t="s">
        <v>41</v>
      </c>
      <c r="D964" s="8" t="str">
        <f>IFERROR(VLOOKUP(C964,产品数据!$B:$D,2,FALSE),"")</f>
        <v>5l/*4桶/箱</v>
      </c>
      <c r="E964" s="6">
        <v>2</v>
      </c>
      <c r="F964" s="8" t="str">
        <f>IFERROR(VLOOKUP(C964,产品数据!$B:$D,3,FALSE),"")</f>
        <v>桶</v>
      </c>
      <c r="G964" s="6" t="s">
        <v>128</v>
      </c>
    </row>
    <row r="965" spans="1:7">
      <c r="A965" s="6"/>
      <c r="B965" s="5">
        <v>46139</v>
      </c>
      <c r="C965" s="7" t="s">
        <v>96</v>
      </c>
      <c r="D965" s="8" t="str">
        <f>IFERROR(VLOOKUP(C965,产品数据!$B:$D,2,FALSE),"")</f>
        <v>10千克/袋</v>
      </c>
      <c r="E965" s="6">
        <v>3</v>
      </c>
      <c r="F965" s="8" t="str">
        <f>IFERROR(VLOOKUP(C965,产品数据!$B:$D,3,FALSE),"")</f>
        <v>袋</v>
      </c>
      <c r="G965" s="6" t="s">
        <v>127</v>
      </c>
    </row>
    <row r="966" spans="1:7">
      <c r="A966" s="6"/>
      <c r="B966" s="5">
        <v>46139</v>
      </c>
      <c r="C966" s="7" t="s">
        <v>62</v>
      </c>
      <c r="D966" s="8" t="str">
        <f>IFERROR(VLOOKUP(C966,产品数据!$B:$D,2,FALSE),"")</f>
        <v>600克/瓶</v>
      </c>
      <c r="E966" s="6">
        <v>1</v>
      </c>
      <c r="F966" s="8" t="str">
        <f>IFERROR(VLOOKUP(C966,产品数据!$B:$D,3,FALSE),"")</f>
        <v>瓶</v>
      </c>
      <c r="G966" s="6" t="s">
        <v>126</v>
      </c>
    </row>
    <row r="967" spans="1:7">
      <c r="A967" s="6"/>
      <c r="B967" s="5">
        <v>46140</v>
      </c>
      <c r="C967" s="7" t="s">
        <v>41</v>
      </c>
      <c r="D967" s="8" t="str">
        <f>IFERROR(VLOOKUP(C967,产品数据!$B:$D,2,FALSE),"")</f>
        <v>5l/*4桶/箱</v>
      </c>
      <c r="E967" s="6">
        <v>6</v>
      </c>
      <c r="F967" s="8" t="str">
        <f>IFERROR(VLOOKUP(C967,产品数据!$B:$D,3,FALSE),"")</f>
        <v>桶</v>
      </c>
      <c r="G967" s="6" t="s">
        <v>125</v>
      </c>
    </row>
    <row r="968" spans="1:7">
      <c r="A968" s="6"/>
      <c r="B968" s="5">
        <v>46140</v>
      </c>
      <c r="C968" s="7" t="s">
        <v>42</v>
      </c>
      <c r="D968" s="8" t="str">
        <f>IFERROR(VLOOKUP(C968,产品数据!$B:$D,2,FALSE),"")</f>
        <v>1.68L*6壶</v>
      </c>
      <c r="E968" s="6">
        <v>1</v>
      </c>
      <c r="F968" s="8" t="str">
        <f>IFERROR(VLOOKUP(C968,产品数据!$B:$D,3,FALSE),"")</f>
        <v>壶</v>
      </c>
      <c r="G968" s="6" t="s">
        <v>125</v>
      </c>
    </row>
    <row r="969" spans="1:7">
      <c r="A969" s="6"/>
      <c r="B969" s="5">
        <v>46140</v>
      </c>
      <c r="C969" s="7" t="s">
        <v>107</v>
      </c>
      <c r="D969" s="8" t="str">
        <f>IFERROR(VLOOKUP(C969,产品数据!$B:$D,2,FALSE),"")</f>
        <v>1.43L/壶*6壶/箱</v>
      </c>
      <c r="E969" s="6">
        <v>1</v>
      </c>
      <c r="F969" s="8" t="str">
        <f>IFERROR(VLOOKUP(C969,产品数据!$B:$D,3,FALSE),"")</f>
        <v>壶</v>
      </c>
      <c r="G969" s="6" t="s">
        <v>125</v>
      </c>
    </row>
    <row r="970" spans="1:7">
      <c r="A970" s="6"/>
      <c r="B970" s="5">
        <v>46140</v>
      </c>
      <c r="C970" s="7" t="s">
        <v>45</v>
      </c>
      <c r="D970" s="8" t="str">
        <f>IFERROR(VLOOKUP(C970,产品数据!$B:$D,2,FALSE),"")</f>
        <v>1.9kg/瓶</v>
      </c>
      <c r="E970" s="6">
        <v>1</v>
      </c>
      <c r="F970" s="8" t="str">
        <f>IFERROR(VLOOKUP(C970,产品数据!$B:$D,3,FALSE),"")</f>
        <v>瓶</v>
      </c>
      <c r="G970" s="6" t="s">
        <v>125</v>
      </c>
    </row>
    <row r="971" spans="1:7">
      <c r="A971" s="6"/>
      <c r="B971" s="5">
        <v>46140</v>
      </c>
      <c r="C971" s="7" t="s">
        <v>54</v>
      </c>
      <c r="D971" s="8" t="str">
        <f>IFERROR(VLOOKUP(C971,产品数据!$B:$D,2,FALSE),"")</f>
        <v>1kg*6瓶/箱</v>
      </c>
      <c r="E971" s="6">
        <v>1</v>
      </c>
      <c r="F971" s="8" t="str">
        <f>IFERROR(VLOOKUP(C971,产品数据!$B:$D,3,FALSE),"")</f>
        <v>瓶</v>
      </c>
      <c r="G971" s="6" t="s">
        <v>125</v>
      </c>
    </row>
    <row r="972" spans="1:7">
      <c r="A972" s="6"/>
      <c r="B972" s="5">
        <v>46140</v>
      </c>
      <c r="C972" s="7" t="s">
        <v>104</v>
      </c>
      <c r="D972" s="8" t="str">
        <f>IFERROR(VLOOKUP(C972,产品数据!$B:$D,2,FALSE),"")</f>
        <v>500ml*6瓶/箱</v>
      </c>
      <c r="E972" s="6">
        <v>5</v>
      </c>
      <c r="F972" s="8" t="str">
        <f>IFERROR(VLOOKUP(C972,产品数据!$B:$D,3,FALSE),"")</f>
        <v>瓶</v>
      </c>
      <c r="G972" s="6" t="s">
        <v>125</v>
      </c>
    </row>
    <row r="973" spans="1:7">
      <c r="A973" s="6"/>
      <c r="B973" s="5">
        <v>46140</v>
      </c>
      <c r="C973" s="7" t="s">
        <v>57</v>
      </c>
      <c r="D973" s="8" t="str">
        <f>IFERROR(VLOOKUP(C973,产品数据!$B:$D,2,FALSE),"")</f>
        <v>400g*25包/箱</v>
      </c>
      <c r="E973" s="6">
        <v>2</v>
      </c>
      <c r="F973" s="8" t="str">
        <f>IFERROR(VLOOKUP(C973,产品数据!$B:$D,3,FALSE),"")</f>
        <v>包</v>
      </c>
      <c r="G973" s="6" t="s">
        <v>125</v>
      </c>
    </row>
    <row r="974" spans="1:7">
      <c r="A974" s="6"/>
      <c r="B974" s="5">
        <v>46140</v>
      </c>
      <c r="C974" s="7" t="s">
        <v>50</v>
      </c>
      <c r="D974" s="8" t="str">
        <f>IFERROR(VLOOKUP(C974,产品数据!$B:$D,2,FALSE),"")</f>
        <v>2kg/包*6包/箱</v>
      </c>
      <c r="E974" s="6">
        <v>1</v>
      </c>
      <c r="F974" s="8" t="str">
        <f>IFERROR(VLOOKUP(C974,产品数据!$B:$D,3,FALSE),"")</f>
        <v>包</v>
      </c>
      <c r="G974" s="6" t="s">
        <v>125</v>
      </c>
    </row>
    <row r="975" spans="1:7">
      <c r="A975" s="6"/>
      <c r="B975" s="5">
        <v>46140</v>
      </c>
      <c r="C975" s="7" t="s">
        <v>52</v>
      </c>
      <c r="D975" s="8" t="str">
        <f>IFERROR(VLOOKUP(C975,产品数据!$B:$D,2,FALSE),"")</f>
        <v>705ml/瓶</v>
      </c>
      <c r="E975" s="6">
        <v>1</v>
      </c>
      <c r="F975" s="8" t="str">
        <f>IFERROR(VLOOKUP(C975,产品数据!$B:$D,3,FALSE),"")</f>
        <v>瓶</v>
      </c>
      <c r="G975" s="6" t="s">
        <v>125</v>
      </c>
    </row>
    <row r="976" spans="1:7">
      <c r="A976" s="6"/>
      <c r="B976" s="5">
        <v>46140</v>
      </c>
      <c r="C976" s="7" t="s">
        <v>96</v>
      </c>
      <c r="D976" s="8" t="str">
        <f>IFERROR(VLOOKUP(C976,产品数据!$B:$D,2,FALSE),"")</f>
        <v>10千克/袋</v>
      </c>
      <c r="E976" s="6">
        <v>3</v>
      </c>
      <c r="F976" s="8" t="str">
        <f>IFERROR(VLOOKUP(C976,产品数据!$B:$D,3,FALSE),"")</f>
        <v>袋</v>
      </c>
      <c r="G976" s="6" t="s">
        <v>127</v>
      </c>
    </row>
    <row r="977" spans="1:7">
      <c r="A977" s="6"/>
      <c r="B977" s="5">
        <v>46141</v>
      </c>
      <c r="C977" s="7" t="s">
        <v>41</v>
      </c>
      <c r="D977" s="8" t="str">
        <f>IFERROR(VLOOKUP(C977,产品数据!$B:$D,2,FALSE),"")</f>
        <v>5l/*4桶/箱</v>
      </c>
      <c r="E977" s="6">
        <v>3</v>
      </c>
      <c r="F977" s="8" t="str">
        <f>IFERROR(VLOOKUP(C977,产品数据!$B:$D,3,FALSE),"")</f>
        <v>桶</v>
      </c>
      <c r="G977" s="6" t="s">
        <v>125</v>
      </c>
    </row>
    <row r="978" spans="1:7">
      <c r="A978" s="6"/>
      <c r="B978" s="5">
        <v>46141</v>
      </c>
      <c r="C978" s="7" t="s">
        <v>44</v>
      </c>
      <c r="D978" s="8" t="str">
        <f>IFERROR(VLOOKUP(C978,产品数据!$B:$D,2,FALSE),"")</f>
        <v>1.9升/瓶*6瓶/箱</v>
      </c>
      <c r="E978" s="6">
        <v>1</v>
      </c>
      <c r="F978" s="8" t="str">
        <f>IFERROR(VLOOKUP(C978,产品数据!$B:$D,3,FALSE),"")</f>
        <v>瓶</v>
      </c>
      <c r="G978" s="6" t="s">
        <v>125</v>
      </c>
    </row>
    <row r="979" spans="1:7">
      <c r="A979" s="6"/>
      <c r="B979" s="5">
        <v>46141</v>
      </c>
      <c r="C979" s="7" t="s">
        <v>57</v>
      </c>
      <c r="D979" s="8" t="str">
        <f>IFERROR(VLOOKUP(C979,产品数据!$B:$D,2,FALSE),"")</f>
        <v>400g*25包/箱</v>
      </c>
      <c r="E979" s="6">
        <v>2</v>
      </c>
      <c r="F979" s="8" t="str">
        <f>IFERROR(VLOOKUP(C979,产品数据!$B:$D,3,FALSE),"")</f>
        <v>包</v>
      </c>
      <c r="G979" s="6" t="s">
        <v>125</v>
      </c>
    </row>
    <row r="980" spans="1:7">
      <c r="A980" s="6"/>
      <c r="B980" s="5">
        <v>46141</v>
      </c>
      <c r="C980" s="7" t="s">
        <v>104</v>
      </c>
      <c r="D980" s="8" t="str">
        <f>IFERROR(VLOOKUP(C980,产品数据!$B:$D,2,FALSE),"")</f>
        <v>500ml*6瓶/箱</v>
      </c>
      <c r="E980" s="6">
        <v>2</v>
      </c>
      <c r="F980" s="8" t="str">
        <f>IFERROR(VLOOKUP(C980,产品数据!$B:$D,3,FALSE),"")</f>
        <v>瓶</v>
      </c>
      <c r="G980" s="6" t="s">
        <v>125</v>
      </c>
    </row>
    <row r="981" spans="1:7">
      <c r="A981" s="6"/>
      <c r="B981" s="5">
        <v>46141</v>
      </c>
      <c r="C981" s="7" t="s">
        <v>63</v>
      </c>
      <c r="D981" s="8" t="str">
        <f>IFERROR(VLOOKUP(C981,产品数据!$B:$D,2,FALSE),"")</f>
        <v>280g/包</v>
      </c>
      <c r="E981" s="6">
        <v>10</v>
      </c>
      <c r="F981" s="8" t="str">
        <f>IFERROR(VLOOKUP(C981,产品数据!$B:$D,3,FALSE),"")</f>
        <v>包</v>
      </c>
      <c r="G981" s="6" t="s">
        <v>125</v>
      </c>
    </row>
    <row r="982" spans="1:7">
      <c r="A982" s="6"/>
      <c r="B982" s="5">
        <v>46141</v>
      </c>
      <c r="C982" s="7" t="s">
        <v>96</v>
      </c>
      <c r="D982" s="8" t="str">
        <f>IFERROR(VLOOKUP(C982,产品数据!$B:$D,2,FALSE),"")</f>
        <v>10千克/袋</v>
      </c>
      <c r="E982" s="6">
        <v>3</v>
      </c>
      <c r="F982" s="8" t="str">
        <f>IFERROR(VLOOKUP(C982,产品数据!$B:$D,3,FALSE),"")</f>
        <v>袋</v>
      </c>
      <c r="G982" s="6" t="s">
        <v>127</v>
      </c>
    </row>
    <row r="983" spans="1:7">
      <c r="A983" s="6"/>
      <c r="B983" s="5">
        <v>46141</v>
      </c>
      <c r="C983" s="7" t="s">
        <v>100</v>
      </c>
      <c r="D983" s="8" t="str">
        <f>IFERROR(VLOOKUP(C983,产品数据!$B:$D,2,FALSE),"")</f>
        <v>5kg/包</v>
      </c>
      <c r="E983" s="6">
        <v>5</v>
      </c>
      <c r="F983" s="8" t="str">
        <f>IFERROR(VLOOKUP(C983,产品数据!$B:$D,3,FALSE),"")</f>
        <v>包</v>
      </c>
      <c r="G983" s="6" t="s">
        <v>128</v>
      </c>
    </row>
    <row r="984" spans="1:7">
      <c r="A984" s="6"/>
      <c r="B984" s="5">
        <v>46142</v>
      </c>
      <c r="C984" s="7" t="s">
        <v>41</v>
      </c>
      <c r="D984" s="8" t="str">
        <f>IFERROR(VLOOKUP(C984,产品数据!$B:$D,2,FALSE),"")</f>
        <v>5l/*4桶/箱</v>
      </c>
      <c r="E984" s="6">
        <v>8</v>
      </c>
      <c r="F984" s="8" t="str">
        <f>IFERROR(VLOOKUP(C984,产品数据!$B:$D,3,FALSE),"")</f>
        <v>桶</v>
      </c>
      <c r="G984" s="6" t="s">
        <v>125</v>
      </c>
    </row>
    <row r="985" spans="1:7">
      <c r="A985" s="6"/>
      <c r="B985" s="5">
        <v>46142</v>
      </c>
      <c r="C985" s="7" t="s">
        <v>44</v>
      </c>
      <c r="D985" s="8" t="str">
        <f>IFERROR(VLOOKUP(C985,产品数据!$B:$D,2,FALSE),"")</f>
        <v>1.9升/瓶*6瓶/箱</v>
      </c>
      <c r="E985" s="6">
        <v>2</v>
      </c>
      <c r="F985" s="8" t="str">
        <f>IFERROR(VLOOKUP(C985,产品数据!$B:$D,3,FALSE),"")</f>
        <v>瓶</v>
      </c>
      <c r="G985" s="6" t="s">
        <v>125</v>
      </c>
    </row>
    <row r="986" spans="1:7">
      <c r="A986" s="6"/>
      <c r="B986" s="5">
        <v>46142</v>
      </c>
      <c r="C986" s="7" t="s">
        <v>107</v>
      </c>
      <c r="D986" s="8" t="str">
        <f>IFERROR(VLOOKUP(C986,产品数据!$B:$D,2,FALSE),"")</f>
        <v>1.43L/壶*6壶/箱</v>
      </c>
      <c r="E986" s="6">
        <v>4</v>
      </c>
      <c r="F986" s="8" t="str">
        <f>IFERROR(VLOOKUP(C986,产品数据!$B:$D,3,FALSE),"")</f>
        <v>壶</v>
      </c>
      <c r="G986" s="6" t="s">
        <v>125</v>
      </c>
    </row>
    <row r="987" spans="1:7">
      <c r="A987" s="6"/>
      <c r="B987" s="5">
        <v>46142</v>
      </c>
      <c r="C987" s="7" t="s">
        <v>54</v>
      </c>
      <c r="D987" s="8" t="str">
        <f>IFERROR(VLOOKUP(C987,产品数据!$B:$D,2,FALSE),"")</f>
        <v>1kg*6瓶/箱</v>
      </c>
      <c r="E987" s="6">
        <v>3</v>
      </c>
      <c r="F987" s="8" t="str">
        <f>IFERROR(VLOOKUP(C987,产品数据!$B:$D,3,FALSE),"")</f>
        <v>瓶</v>
      </c>
      <c r="G987" s="6" t="s">
        <v>125</v>
      </c>
    </row>
    <row r="988" spans="1:7">
      <c r="A988" s="6"/>
      <c r="B988" s="5">
        <v>46142</v>
      </c>
      <c r="C988" s="7" t="s">
        <v>52</v>
      </c>
      <c r="D988" s="8" t="str">
        <f>IFERROR(VLOOKUP(C988,产品数据!$B:$D,2,FALSE),"")</f>
        <v>705ml/瓶</v>
      </c>
      <c r="E988" s="6">
        <v>3</v>
      </c>
      <c r="F988" s="8" t="str">
        <f>IFERROR(VLOOKUP(C988,产品数据!$B:$D,3,FALSE),"")</f>
        <v>瓶</v>
      </c>
      <c r="G988" s="6" t="s">
        <v>125</v>
      </c>
    </row>
    <row r="989" spans="1:7">
      <c r="A989" s="6"/>
      <c r="B989" s="5">
        <v>46142</v>
      </c>
      <c r="C989" s="7" t="s">
        <v>57</v>
      </c>
      <c r="D989" s="8" t="str">
        <f>IFERROR(VLOOKUP(C989,产品数据!$B:$D,2,FALSE),"")</f>
        <v>400g*25包/箱</v>
      </c>
      <c r="E989" s="6">
        <v>2</v>
      </c>
      <c r="F989" s="8" t="str">
        <f>IFERROR(VLOOKUP(C989,产品数据!$B:$D,3,FALSE),"")</f>
        <v>包</v>
      </c>
      <c r="G989" s="6" t="s">
        <v>125</v>
      </c>
    </row>
    <row r="990" spans="1:7">
      <c r="A990" s="6"/>
      <c r="B990" s="5">
        <v>46142</v>
      </c>
      <c r="C990" s="7" t="s">
        <v>104</v>
      </c>
      <c r="D990" s="8" t="str">
        <f>IFERROR(VLOOKUP(C990,产品数据!$B:$D,2,FALSE),"")</f>
        <v>500ml*6瓶/箱</v>
      </c>
      <c r="E990" s="6">
        <v>10</v>
      </c>
      <c r="F990" s="8" t="str">
        <f>IFERROR(VLOOKUP(C990,产品数据!$B:$D,3,FALSE),"")</f>
        <v>瓶</v>
      </c>
      <c r="G990" s="6" t="s">
        <v>125</v>
      </c>
    </row>
    <row r="991" spans="1:7">
      <c r="A991" s="6"/>
      <c r="B991" s="5">
        <v>46142</v>
      </c>
      <c r="C991" s="7" t="s">
        <v>56</v>
      </c>
      <c r="D991" s="8" t="str">
        <f>IFERROR(VLOOKUP(C991,产品数据!$B:$D,2,FALSE),"")</f>
        <v>178g*50包/箱</v>
      </c>
      <c r="E991" s="6">
        <v>6</v>
      </c>
      <c r="F991" s="8" t="str">
        <f>IFERROR(VLOOKUP(C991,产品数据!$B:$D,3,FALSE),"")</f>
        <v>包</v>
      </c>
      <c r="G991" s="6" t="s">
        <v>125</v>
      </c>
    </row>
    <row r="992" spans="1:7">
      <c r="A992" s="6"/>
      <c r="B992" s="5">
        <v>46142</v>
      </c>
      <c r="C992" s="7" t="s">
        <v>63</v>
      </c>
      <c r="D992" s="8" t="str">
        <f>IFERROR(VLOOKUP(C992,产品数据!$B:$D,2,FALSE),"")</f>
        <v>280g/包</v>
      </c>
      <c r="E992" s="6">
        <v>10</v>
      </c>
      <c r="F992" s="8" t="str">
        <f>IFERROR(VLOOKUP(C992,产品数据!$B:$D,3,FALSE),"")</f>
        <v>包</v>
      </c>
      <c r="G992" s="6" t="s">
        <v>125</v>
      </c>
    </row>
    <row r="993" spans="1:7">
      <c r="A993" s="6"/>
      <c r="B993" s="5">
        <v>46142</v>
      </c>
      <c r="C993" s="7" t="s">
        <v>59</v>
      </c>
      <c r="D993" s="8" t="str">
        <f>IFERROR(VLOOKUP(C993,产品数据!$B:$D,2,FALSE),"")</f>
        <v>102克/包</v>
      </c>
      <c r="E993" s="6">
        <v>2</v>
      </c>
      <c r="F993" s="8" t="str">
        <f>IFERROR(VLOOKUP(C993,产品数据!$B:$D,3,FALSE),"")</f>
        <v>包</v>
      </c>
      <c r="G993" s="6" t="s">
        <v>125</v>
      </c>
    </row>
    <row r="994" spans="1:7">
      <c r="A994" s="6"/>
      <c r="B994" s="5">
        <v>46142</v>
      </c>
      <c r="C994" s="7" t="s">
        <v>48</v>
      </c>
      <c r="D994" s="8" t="str">
        <f>IFERROR(VLOOKUP(C994,产品数据!$B:$D,2,FALSE),"")</f>
        <v>500克/瓶*24瓶/箱</v>
      </c>
      <c r="E994" s="6">
        <v>2</v>
      </c>
      <c r="F994" s="8" t="str">
        <f>IFERROR(VLOOKUP(C994,产品数据!$B:$D,3,FALSE),"")</f>
        <v>瓶</v>
      </c>
      <c r="G994" s="6" t="s">
        <v>125</v>
      </c>
    </row>
    <row r="995" spans="1:7">
      <c r="A995" s="6"/>
      <c r="B995" s="5">
        <v>46142</v>
      </c>
      <c r="C995" s="7" t="s">
        <v>100</v>
      </c>
      <c r="D995" s="8" t="str">
        <f>IFERROR(VLOOKUP(C995,产品数据!$B:$D,2,FALSE),"")</f>
        <v>5kg/包</v>
      </c>
      <c r="E995" s="6">
        <v>5</v>
      </c>
      <c r="F995" s="8" t="str">
        <f>IFERROR(VLOOKUP(C995,产品数据!$B:$D,3,FALSE),"")</f>
        <v>包</v>
      </c>
      <c r="G995" s="6" t="s">
        <v>128</v>
      </c>
    </row>
    <row r="996" spans="1:7">
      <c r="A996" s="6"/>
      <c r="B996" s="5">
        <v>46142</v>
      </c>
      <c r="C996" s="7" t="s">
        <v>57</v>
      </c>
      <c r="D996" s="8" t="str">
        <f>IFERROR(VLOOKUP(C996,产品数据!$B:$D,2,FALSE),"")</f>
        <v>400g*25包/箱</v>
      </c>
      <c r="E996" s="6">
        <v>1</v>
      </c>
      <c r="F996" s="8" t="str">
        <f>IFERROR(VLOOKUP(C996,产品数据!$B:$D,3,FALSE),"")</f>
        <v>包</v>
      </c>
      <c r="G996" s="6" t="s">
        <v>128</v>
      </c>
    </row>
    <row r="997" spans="1:7">
      <c r="A997" s="6"/>
      <c r="B997" s="5">
        <v>46142</v>
      </c>
      <c r="C997" s="7" t="s">
        <v>96</v>
      </c>
      <c r="D997" s="8" t="str">
        <f>IFERROR(VLOOKUP(C997,产品数据!$B:$D,2,FALSE),"")</f>
        <v>10千克/袋</v>
      </c>
      <c r="E997" s="6">
        <v>9</v>
      </c>
      <c r="F997" s="8" t="str">
        <f>IFERROR(VLOOKUP(C997,产品数据!$B:$D,3,FALSE),"")</f>
        <v>袋</v>
      </c>
      <c r="G997" s="6" t="s">
        <v>127</v>
      </c>
    </row>
    <row r="998" spans="1:7">
      <c r="A998" s="6"/>
      <c r="B998" s="5">
        <v>46142</v>
      </c>
      <c r="C998" s="7" t="s">
        <v>106</v>
      </c>
      <c r="D998" s="8" t="str">
        <f>IFERROR(VLOOKUP(C998,产品数据!$B:$D,2,FALSE),"")</f>
        <v>1.9升/瓶*6瓶/箱</v>
      </c>
      <c r="E998" s="6">
        <v>1</v>
      </c>
      <c r="F998" s="8" t="str">
        <f>IFERROR(VLOOKUP(C998,产品数据!$B:$D,3,FALSE),"")</f>
        <v>瓶</v>
      </c>
      <c r="G998" s="6" t="s">
        <v>127</v>
      </c>
    </row>
    <row r="999" spans="1:7">
      <c r="A999" s="6"/>
      <c r="B999" s="5">
        <v>46142</v>
      </c>
      <c r="C999" s="7" t="s">
        <v>56</v>
      </c>
      <c r="D999" s="8" t="str">
        <f>IFERROR(VLOOKUP(C999,产品数据!$B:$D,2,FALSE),"")</f>
        <v>178g*50包/箱</v>
      </c>
      <c r="E999" s="6">
        <v>5</v>
      </c>
      <c r="F999" s="8" t="str">
        <f>IFERROR(VLOOKUP(C999,产品数据!$B:$D,3,FALSE),"")</f>
        <v>包</v>
      </c>
      <c r="G999" s="6" t="s">
        <v>127</v>
      </c>
    </row>
    <row r="1000" spans="1:7">
      <c r="A1000" s="6"/>
      <c r="B1000" s="5">
        <v>46148</v>
      </c>
      <c r="C1000" s="7" t="s">
        <v>41</v>
      </c>
      <c r="D1000" s="8" t="str">
        <f>IFERROR(VLOOKUP(C1000,产品数据!$B:$D,2,FALSE),"")</f>
        <v>5l/*4桶/箱</v>
      </c>
      <c r="E1000" s="6">
        <v>3</v>
      </c>
      <c r="F1000" s="8" t="str">
        <f>IFERROR(VLOOKUP(C1000,产品数据!$B:$D,3,FALSE),"")</f>
        <v>桶</v>
      </c>
      <c r="G1000" s="6" t="s">
        <v>125</v>
      </c>
    </row>
    <row r="1001" spans="1:7">
      <c r="A1001" s="6"/>
      <c r="B1001" s="5">
        <v>46148</v>
      </c>
      <c r="C1001" s="7" t="s">
        <v>44</v>
      </c>
      <c r="D1001" s="8" t="str">
        <f>IFERROR(VLOOKUP(C1001,产品数据!$B:$D,2,FALSE),"")</f>
        <v>1.9升/瓶*6瓶/箱</v>
      </c>
      <c r="E1001" s="6">
        <v>1</v>
      </c>
      <c r="F1001" s="8" t="str">
        <f>IFERROR(VLOOKUP(C1001,产品数据!$B:$D,3,FALSE),"")</f>
        <v>瓶</v>
      </c>
      <c r="G1001" s="6" t="s">
        <v>125</v>
      </c>
    </row>
    <row r="1002" spans="1:7">
      <c r="A1002" s="6"/>
      <c r="B1002" s="5">
        <v>46148</v>
      </c>
      <c r="C1002" s="7" t="s">
        <v>106</v>
      </c>
      <c r="D1002" s="8" t="str">
        <f>IFERROR(VLOOKUP(C1002,产品数据!$B:$D,2,FALSE),"")</f>
        <v>1.9升/瓶*6瓶/箱</v>
      </c>
      <c r="E1002" s="6">
        <v>1</v>
      </c>
      <c r="F1002" s="8" t="str">
        <f>IFERROR(VLOOKUP(C1002,产品数据!$B:$D,3,FALSE),"")</f>
        <v>瓶</v>
      </c>
      <c r="G1002" s="6" t="s">
        <v>125</v>
      </c>
    </row>
    <row r="1003" spans="1:7">
      <c r="A1003" s="6"/>
      <c r="B1003" s="5">
        <v>46148</v>
      </c>
      <c r="C1003" s="7" t="s">
        <v>107</v>
      </c>
      <c r="D1003" s="8" t="str">
        <f>IFERROR(VLOOKUP(C1003,产品数据!$B:$D,2,FALSE),"")</f>
        <v>1.43L/壶*6壶/箱</v>
      </c>
      <c r="E1003" s="6">
        <v>1</v>
      </c>
      <c r="F1003" s="8" t="str">
        <f>IFERROR(VLOOKUP(C1003,产品数据!$B:$D,3,FALSE),"")</f>
        <v>壶</v>
      </c>
      <c r="G1003" s="6" t="s">
        <v>125</v>
      </c>
    </row>
    <row r="1004" spans="1:7">
      <c r="A1004" s="6"/>
      <c r="B1004" s="5">
        <v>46148</v>
      </c>
      <c r="C1004" s="7" t="s">
        <v>54</v>
      </c>
      <c r="D1004" s="8" t="str">
        <f>IFERROR(VLOOKUP(C1004,产品数据!$B:$D,2,FALSE),"")</f>
        <v>1kg*6瓶/箱</v>
      </c>
      <c r="E1004" s="6">
        <v>1</v>
      </c>
      <c r="F1004" s="8" t="str">
        <f>IFERROR(VLOOKUP(C1004,产品数据!$B:$D,3,FALSE),"")</f>
        <v>瓶</v>
      </c>
      <c r="G1004" s="6" t="s">
        <v>125</v>
      </c>
    </row>
    <row r="1005" spans="1:7">
      <c r="A1005" s="6"/>
      <c r="B1005" s="5">
        <v>46148</v>
      </c>
      <c r="C1005" s="7" t="s">
        <v>52</v>
      </c>
      <c r="D1005" s="8" t="str">
        <f>IFERROR(VLOOKUP(C1005,产品数据!$B:$D,2,FALSE),"")</f>
        <v>705ml/瓶</v>
      </c>
      <c r="E1005" s="6">
        <v>1</v>
      </c>
      <c r="F1005" s="8" t="str">
        <f>IFERROR(VLOOKUP(C1005,产品数据!$B:$D,3,FALSE),"")</f>
        <v>瓶</v>
      </c>
      <c r="G1005" s="6" t="s">
        <v>125</v>
      </c>
    </row>
    <row r="1006" spans="1:7">
      <c r="A1006" s="6"/>
      <c r="B1006" s="5">
        <v>46148</v>
      </c>
      <c r="C1006" s="7" t="s">
        <v>57</v>
      </c>
      <c r="D1006" s="8" t="str">
        <f>IFERROR(VLOOKUP(C1006,产品数据!$B:$D,2,FALSE),"")</f>
        <v>400g*25包/箱</v>
      </c>
      <c r="E1006" s="6">
        <v>2</v>
      </c>
      <c r="F1006" s="8" t="str">
        <f>IFERROR(VLOOKUP(C1006,产品数据!$B:$D,3,FALSE),"")</f>
        <v>包</v>
      </c>
      <c r="G1006" s="6" t="s">
        <v>125</v>
      </c>
    </row>
    <row r="1007" spans="1:7">
      <c r="A1007" s="6"/>
      <c r="B1007" s="5">
        <v>46148</v>
      </c>
      <c r="C1007" s="7" t="s">
        <v>104</v>
      </c>
      <c r="D1007" s="8" t="str">
        <f>IFERROR(VLOOKUP(C1007,产品数据!$B:$D,2,FALSE),"")</f>
        <v>500ml*6瓶/箱</v>
      </c>
      <c r="E1007" s="6">
        <v>4</v>
      </c>
      <c r="F1007" s="8" t="str">
        <f>IFERROR(VLOOKUP(C1007,产品数据!$B:$D,3,FALSE),"")</f>
        <v>瓶</v>
      </c>
      <c r="G1007" s="6" t="s">
        <v>125</v>
      </c>
    </row>
    <row r="1008" spans="1:7">
      <c r="A1008" s="6"/>
      <c r="B1008" s="5">
        <v>46148</v>
      </c>
      <c r="C1008" s="7" t="s">
        <v>63</v>
      </c>
      <c r="D1008" s="8" t="str">
        <f>IFERROR(VLOOKUP(C1008,产品数据!$B:$D,2,FALSE),"")</f>
        <v>280g/包</v>
      </c>
      <c r="E1008" s="6">
        <v>10</v>
      </c>
      <c r="F1008" s="8" t="str">
        <f>IFERROR(VLOOKUP(C1008,产品数据!$B:$D,3,FALSE),"")</f>
        <v>包</v>
      </c>
      <c r="G1008" s="6" t="s">
        <v>125</v>
      </c>
    </row>
    <row r="1009" spans="1:7">
      <c r="A1009" s="6"/>
      <c r="B1009" s="5">
        <v>46148</v>
      </c>
      <c r="C1009" s="7" t="s">
        <v>56</v>
      </c>
      <c r="D1009" s="8" t="str">
        <f>IFERROR(VLOOKUP(C1009,产品数据!$B:$D,2,FALSE),"")</f>
        <v>178g*50包/箱</v>
      </c>
      <c r="E1009" s="6">
        <v>5</v>
      </c>
      <c r="F1009" s="8" t="str">
        <f>IFERROR(VLOOKUP(C1009,产品数据!$B:$D,3,FALSE),"")</f>
        <v>包</v>
      </c>
      <c r="G1009" s="6" t="s">
        <v>125</v>
      </c>
    </row>
    <row r="1010" spans="1:7">
      <c r="A1010" s="6"/>
      <c r="B1010" s="5">
        <v>46148</v>
      </c>
      <c r="C1010" s="7" t="s">
        <v>61</v>
      </c>
      <c r="D1010" s="8" t="str">
        <f>IFERROR(VLOOKUP(C1010,产品数据!$B:$D,2,FALSE),"")</f>
        <v>2.5kg/包</v>
      </c>
      <c r="E1010" s="6">
        <v>1</v>
      </c>
      <c r="F1010" s="8" t="str">
        <f>IFERROR(VLOOKUP(C1010,产品数据!$B:$D,3,FALSE),"")</f>
        <v>包</v>
      </c>
      <c r="G1010" s="6" t="s">
        <v>125</v>
      </c>
    </row>
    <row r="1011" spans="1:7">
      <c r="A1011" s="6"/>
      <c r="B1011" s="5">
        <v>46148</v>
      </c>
      <c r="C1011" s="7" t="s">
        <v>107</v>
      </c>
      <c r="D1011" s="8" t="str">
        <f>IFERROR(VLOOKUP(C1011,产品数据!$B:$D,2,FALSE),"")</f>
        <v>1.43L/壶*6壶/箱</v>
      </c>
      <c r="E1011" s="6">
        <v>1</v>
      </c>
      <c r="F1011" s="8" t="str">
        <f>IFERROR(VLOOKUP(C1011,产品数据!$B:$D,3,FALSE),"")</f>
        <v>壶</v>
      </c>
      <c r="G1011" s="6" t="s">
        <v>128</v>
      </c>
    </row>
    <row r="1012" spans="1:7">
      <c r="A1012" s="6"/>
      <c r="B1012" s="5">
        <v>46148</v>
      </c>
      <c r="C1012" s="7" t="s">
        <v>55</v>
      </c>
      <c r="D1012" s="8" t="str">
        <f>IFERROR(VLOOKUP(C1012,产品数据!$B:$D,2,FALSE),"")</f>
        <v>1升*12瓶/箱</v>
      </c>
      <c r="E1012" s="6">
        <v>1</v>
      </c>
      <c r="F1012" s="8" t="str">
        <f>IFERROR(VLOOKUP(C1012,产品数据!$B:$D,3,FALSE),"")</f>
        <v>瓶</v>
      </c>
      <c r="G1012" s="6" t="s">
        <v>128</v>
      </c>
    </row>
    <row r="1013" spans="1:7">
      <c r="A1013" s="6"/>
      <c r="B1013" s="5">
        <v>46148</v>
      </c>
      <c r="C1013" s="7" t="s">
        <v>54</v>
      </c>
      <c r="D1013" s="8" t="str">
        <f>IFERROR(VLOOKUP(C1013,产品数据!$B:$D,2,FALSE),"")</f>
        <v>1kg*6瓶/箱</v>
      </c>
      <c r="E1013" s="6">
        <v>1</v>
      </c>
      <c r="F1013" s="8" t="str">
        <f>IFERROR(VLOOKUP(C1013,产品数据!$B:$D,3,FALSE),"")</f>
        <v>瓶</v>
      </c>
      <c r="G1013" s="6" t="s">
        <v>128</v>
      </c>
    </row>
    <row r="1014" spans="1:7">
      <c r="A1014" s="6"/>
      <c r="B1014" s="5">
        <v>46148</v>
      </c>
      <c r="C1014" s="7" t="s">
        <v>57</v>
      </c>
      <c r="D1014" s="8" t="str">
        <f>IFERROR(VLOOKUP(C1014,产品数据!$B:$D,2,FALSE),"")</f>
        <v>400g*25包/箱</v>
      </c>
      <c r="E1014" s="6">
        <v>1</v>
      </c>
      <c r="F1014" s="8" t="str">
        <f>IFERROR(VLOOKUP(C1014,产品数据!$B:$D,3,FALSE),"")</f>
        <v>包</v>
      </c>
      <c r="G1014" s="6" t="s">
        <v>128</v>
      </c>
    </row>
    <row r="1015" spans="1:7">
      <c r="A1015" s="6"/>
      <c r="B1015" s="5">
        <v>46148</v>
      </c>
      <c r="C1015" s="7" t="s">
        <v>44</v>
      </c>
      <c r="D1015" s="8" t="str">
        <f>IFERROR(VLOOKUP(C1015,产品数据!$B:$D,2,FALSE),"")</f>
        <v>1.9升/瓶*6瓶/箱</v>
      </c>
      <c r="E1015" s="6">
        <v>1</v>
      </c>
      <c r="F1015" s="8" t="str">
        <f>IFERROR(VLOOKUP(C1015,产品数据!$B:$D,3,FALSE),"")</f>
        <v>瓶</v>
      </c>
      <c r="G1015" s="6" t="s">
        <v>128</v>
      </c>
    </row>
    <row r="1016" spans="1:7">
      <c r="A1016" s="6"/>
      <c r="B1016" s="5">
        <v>46148</v>
      </c>
      <c r="C1016" s="7" t="s">
        <v>96</v>
      </c>
      <c r="D1016" s="8" t="str">
        <f>IFERROR(VLOOKUP(C1016,产品数据!$B:$D,2,FALSE),"")</f>
        <v>10千克/袋</v>
      </c>
      <c r="E1016" s="6">
        <v>3</v>
      </c>
      <c r="F1016" s="8" t="str">
        <f>IFERROR(VLOOKUP(C1016,产品数据!$B:$D,3,FALSE),"")</f>
        <v>袋</v>
      </c>
      <c r="G1016" s="6" t="s">
        <v>127</v>
      </c>
    </row>
    <row r="1017" spans="1:7">
      <c r="A1017" s="6"/>
      <c r="B1017" s="5">
        <v>46149</v>
      </c>
      <c r="C1017" s="7" t="s">
        <v>41</v>
      </c>
      <c r="D1017" s="8" t="str">
        <f>IFERROR(VLOOKUP(C1017,产品数据!$B:$D,2,FALSE),"")</f>
        <v>5l/*4桶/箱</v>
      </c>
      <c r="E1017" s="6">
        <v>4</v>
      </c>
      <c r="F1017" s="8" t="str">
        <f>IFERROR(VLOOKUP(C1017,产品数据!$B:$D,3,FALSE),"")</f>
        <v>桶</v>
      </c>
      <c r="G1017" s="6" t="s">
        <v>125</v>
      </c>
    </row>
    <row r="1018" spans="1:7">
      <c r="A1018" s="6"/>
      <c r="B1018" s="5">
        <v>46149</v>
      </c>
      <c r="C1018" s="7" t="s">
        <v>107</v>
      </c>
      <c r="D1018" s="8" t="str">
        <f>IFERROR(VLOOKUP(C1018,产品数据!$B:$D,2,FALSE),"")</f>
        <v>1.43L/壶*6壶/箱</v>
      </c>
      <c r="E1018" s="6">
        <v>1</v>
      </c>
      <c r="F1018" s="8" t="str">
        <f>IFERROR(VLOOKUP(C1018,产品数据!$B:$D,3,FALSE),"")</f>
        <v>壶</v>
      </c>
      <c r="G1018" s="6" t="s">
        <v>125</v>
      </c>
    </row>
    <row r="1019" spans="1:7">
      <c r="A1019" s="6"/>
      <c r="B1019" s="5">
        <v>46149</v>
      </c>
      <c r="C1019" s="7" t="s">
        <v>57</v>
      </c>
      <c r="D1019" s="8" t="str">
        <f>IFERROR(VLOOKUP(C1019,产品数据!$B:$D,2,FALSE),"")</f>
        <v>400g*25包/箱</v>
      </c>
      <c r="E1019" s="6">
        <v>2</v>
      </c>
      <c r="F1019" s="8" t="str">
        <f>IFERROR(VLOOKUP(C1019,产品数据!$B:$D,3,FALSE),"")</f>
        <v>包</v>
      </c>
      <c r="G1019" s="6" t="s">
        <v>125</v>
      </c>
    </row>
    <row r="1020" spans="1:7">
      <c r="A1020" s="6"/>
      <c r="B1020" s="5">
        <v>46149</v>
      </c>
      <c r="C1020" s="7" t="s">
        <v>50</v>
      </c>
      <c r="D1020" s="8" t="str">
        <f>IFERROR(VLOOKUP(C1020,产品数据!$B:$D,2,FALSE),"")</f>
        <v>2kg/包*6包/箱</v>
      </c>
      <c r="E1020" s="6">
        <v>2</v>
      </c>
      <c r="F1020" s="8" t="str">
        <f>IFERROR(VLOOKUP(C1020,产品数据!$B:$D,3,FALSE),"")</f>
        <v>包</v>
      </c>
      <c r="G1020" s="6" t="s">
        <v>125</v>
      </c>
    </row>
    <row r="1021" spans="1:7">
      <c r="A1021" s="6"/>
      <c r="B1021" s="5">
        <v>46149</v>
      </c>
      <c r="C1021" s="7" t="s">
        <v>59</v>
      </c>
      <c r="D1021" s="8" t="str">
        <f>IFERROR(VLOOKUP(C1021,产品数据!$B:$D,2,FALSE),"")</f>
        <v>102克/包</v>
      </c>
      <c r="E1021" s="6">
        <v>2</v>
      </c>
      <c r="F1021" s="8" t="str">
        <f>IFERROR(VLOOKUP(C1021,产品数据!$B:$D,3,FALSE),"")</f>
        <v>包</v>
      </c>
      <c r="G1021" s="6" t="s">
        <v>125</v>
      </c>
    </row>
    <row r="1022" spans="1:7">
      <c r="A1022" s="6"/>
      <c r="B1022" s="5">
        <v>46149</v>
      </c>
      <c r="C1022" s="7" t="s">
        <v>58</v>
      </c>
      <c r="D1022" s="8" t="str">
        <f>IFERROR(VLOOKUP(C1022,产品数据!$B:$D,2,FALSE),"")</f>
        <v>200克/包</v>
      </c>
      <c r="E1022" s="6">
        <v>2</v>
      </c>
      <c r="F1022" s="8" t="str">
        <f>IFERROR(VLOOKUP(C1022,产品数据!$B:$D,3,FALSE),"")</f>
        <v>包</v>
      </c>
      <c r="G1022" s="6" t="s">
        <v>125</v>
      </c>
    </row>
    <row r="1023" spans="1:7">
      <c r="A1023" s="6"/>
      <c r="B1023" s="5">
        <v>46149</v>
      </c>
      <c r="C1023" s="7" t="s">
        <v>61</v>
      </c>
      <c r="D1023" s="8" t="str">
        <f>IFERROR(VLOOKUP(C1023,产品数据!$B:$D,2,FALSE),"")</f>
        <v>2.5kg/包</v>
      </c>
      <c r="E1023" s="6">
        <v>1</v>
      </c>
      <c r="F1023" s="8" t="str">
        <f>IFERROR(VLOOKUP(C1023,产品数据!$B:$D,3,FALSE),"")</f>
        <v>包</v>
      </c>
      <c r="G1023" s="6" t="s">
        <v>125</v>
      </c>
    </row>
    <row r="1024" spans="1:7">
      <c r="A1024" s="6"/>
      <c r="B1024" s="5">
        <v>46149</v>
      </c>
      <c r="C1024" s="7" t="s">
        <v>41</v>
      </c>
      <c r="D1024" s="8" t="str">
        <f>IFERROR(VLOOKUP(C1024,产品数据!$B:$D,2,FALSE),"")</f>
        <v>5l/*4桶/箱</v>
      </c>
      <c r="E1024" s="6">
        <v>2</v>
      </c>
      <c r="F1024" s="8" t="str">
        <f>IFERROR(VLOOKUP(C1024,产品数据!$B:$D,3,FALSE),"")</f>
        <v>桶</v>
      </c>
      <c r="G1024" s="6" t="s">
        <v>126</v>
      </c>
    </row>
    <row r="1025" spans="1:7">
      <c r="A1025" s="6"/>
      <c r="B1025" s="5">
        <v>46149</v>
      </c>
      <c r="C1025" s="7" t="s">
        <v>57</v>
      </c>
      <c r="D1025" s="8" t="str">
        <f>IFERROR(VLOOKUP(C1025,产品数据!$B:$D,2,FALSE),"")</f>
        <v>400g*25包/箱</v>
      </c>
      <c r="E1025" s="6">
        <v>2</v>
      </c>
      <c r="F1025" s="8" t="str">
        <f>IFERROR(VLOOKUP(C1025,产品数据!$B:$D,3,FALSE),"")</f>
        <v>包</v>
      </c>
      <c r="G1025" s="6" t="s">
        <v>126</v>
      </c>
    </row>
    <row r="1026" spans="1:7">
      <c r="A1026" s="6"/>
      <c r="B1026" s="5">
        <v>46149</v>
      </c>
      <c r="C1026" s="7" t="s">
        <v>63</v>
      </c>
      <c r="D1026" s="8" t="str">
        <f>IFERROR(VLOOKUP(C1026,产品数据!$B:$D,2,FALSE),"")</f>
        <v>280g/包</v>
      </c>
      <c r="E1026" s="6">
        <v>2</v>
      </c>
      <c r="F1026" s="8" t="str">
        <f>IFERROR(VLOOKUP(C1026,产品数据!$B:$D,3,FALSE),"")</f>
        <v>包</v>
      </c>
      <c r="G1026" s="6" t="s">
        <v>126</v>
      </c>
    </row>
    <row r="1027" spans="1:7">
      <c r="A1027" s="6"/>
      <c r="B1027" s="5">
        <v>46149</v>
      </c>
      <c r="C1027" s="7" t="s">
        <v>104</v>
      </c>
      <c r="D1027" s="8" t="str">
        <f>IFERROR(VLOOKUP(C1027,产品数据!$B:$D,2,FALSE),"")</f>
        <v>500ml*6瓶/箱</v>
      </c>
      <c r="E1027" s="6">
        <v>2</v>
      </c>
      <c r="F1027" s="8" t="str">
        <f>IFERROR(VLOOKUP(C1027,产品数据!$B:$D,3,FALSE),"")</f>
        <v>瓶</v>
      </c>
      <c r="G1027" s="6" t="s">
        <v>126</v>
      </c>
    </row>
    <row r="1028" spans="1:7">
      <c r="A1028" s="6"/>
      <c r="B1028" s="5">
        <v>46149</v>
      </c>
      <c r="C1028" s="7" t="s">
        <v>96</v>
      </c>
      <c r="D1028" s="8" t="str">
        <f>IFERROR(VLOOKUP(C1028,产品数据!$B:$D,2,FALSE),"")</f>
        <v>10千克/袋</v>
      </c>
      <c r="E1028" s="6">
        <v>3</v>
      </c>
      <c r="F1028" s="8" t="str">
        <f>IFERROR(VLOOKUP(C1028,产品数据!$B:$D,3,FALSE),"")</f>
        <v>袋</v>
      </c>
      <c r="G1028" s="6" t="s">
        <v>127</v>
      </c>
    </row>
    <row r="1029" spans="1:7">
      <c r="A1029" s="6"/>
      <c r="B1029" s="5">
        <v>46149</v>
      </c>
      <c r="C1029" s="7" t="s">
        <v>100</v>
      </c>
      <c r="D1029" s="8" t="str">
        <f>IFERROR(VLOOKUP(C1029,产品数据!$B:$D,2,FALSE),"")</f>
        <v>5kg/包</v>
      </c>
      <c r="E1029" s="6">
        <v>5</v>
      </c>
      <c r="F1029" s="8" t="str">
        <f>IFERROR(VLOOKUP(C1029,产品数据!$B:$D,3,FALSE),"")</f>
        <v>包</v>
      </c>
      <c r="G1029" s="6" t="s">
        <v>128</v>
      </c>
    </row>
    <row r="1030" spans="1:7">
      <c r="A1030" s="6"/>
      <c r="B1030" s="5">
        <v>46150</v>
      </c>
      <c r="C1030" s="7" t="s">
        <v>41</v>
      </c>
      <c r="D1030" s="8" t="str">
        <f>IFERROR(VLOOKUP(C1030,产品数据!$B:$D,2,FALSE),"")</f>
        <v>5l/*4桶/箱</v>
      </c>
      <c r="E1030" s="6">
        <v>3</v>
      </c>
      <c r="F1030" s="8" t="str">
        <f>IFERROR(VLOOKUP(C1030,产品数据!$B:$D,3,FALSE),"")</f>
        <v>桶</v>
      </c>
      <c r="G1030" s="6" t="s">
        <v>125</v>
      </c>
    </row>
    <row r="1031" spans="1:7">
      <c r="A1031" s="6"/>
      <c r="B1031" s="5">
        <v>46150</v>
      </c>
      <c r="C1031" s="7" t="s">
        <v>106</v>
      </c>
      <c r="D1031" s="8" t="str">
        <f>IFERROR(VLOOKUP(C1031,产品数据!$B:$D,2,FALSE),"")</f>
        <v>1.9升/瓶*6瓶/箱</v>
      </c>
      <c r="E1031" s="6">
        <v>1</v>
      </c>
      <c r="F1031" s="8" t="str">
        <f>IFERROR(VLOOKUP(C1031,产品数据!$B:$D,3,FALSE),"")</f>
        <v>瓶</v>
      </c>
      <c r="G1031" s="6" t="s">
        <v>125</v>
      </c>
    </row>
    <row r="1032" spans="1:7">
      <c r="A1032" s="6"/>
      <c r="B1032" s="5">
        <v>46150</v>
      </c>
      <c r="C1032" s="7" t="s">
        <v>44</v>
      </c>
      <c r="D1032" s="8" t="str">
        <f>IFERROR(VLOOKUP(C1032,产品数据!$B:$D,2,FALSE),"")</f>
        <v>1.9升/瓶*6瓶/箱</v>
      </c>
      <c r="E1032" s="6">
        <v>1</v>
      </c>
      <c r="F1032" s="8" t="str">
        <f>IFERROR(VLOOKUP(C1032,产品数据!$B:$D,3,FALSE),"")</f>
        <v>瓶</v>
      </c>
      <c r="G1032" s="6" t="s">
        <v>125</v>
      </c>
    </row>
    <row r="1033" spans="1:7">
      <c r="A1033" s="6"/>
      <c r="B1033" s="5">
        <v>46150</v>
      </c>
      <c r="C1033" s="7" t="s">
        <v>107</v>
      </c>
      <c r="D1033" s="8" t="str">
        <f>IFERROR(VLOOKUP(C1033,产品数据!$B:$D,2,FALSE),"")</f>
        <v>1.43L/壶*6壶/箱</v>
      </c>
      <c r="E1033" s="6">
        <v>1</v>
      </c>
      <c r="F1033" s="8" t="str">
        <f>IFERROR(VLOOKUP(C1033,产品数据!$B:$D,3,FALSE),"")</f>
        <v>壶</v>
      </c>
      <c r="G1033" s="6" t="s">
        <v>125</v>
      </c>
    </row>
    <row r="1034" spans="1:7">
      <c r="A1034" s="6"/>
      <c r="B1034" s="5">
        <v>46150</v>
      </c>
      <c r="C1034" s="7" t="s">
        <v>104</v>
      </c>
      <c r="D1034" s="8" t="str">
        <f>IFERROR(VLOOKUP(C1034,产品数据!$B:$D,2,FALSE),"")</f>
        <v>500ml*6瓶/箱</v>
      </c>
      <c r="E1034" s="6">
        <v>2</v>
      </c>
      <c r="F1034" s="8" t="str">
        <f>IFERROR(VLOOKUP(C1034,产品数据!$B:$D,3,FALSE),"")</f>
        <v>瓶</v>
      </c>
      <c r="G1034" s="6" t="s">
        <v>125</v>
      </c>
    </row>
    <row r="1035" spans="1:7">
      <c r="A1035" s="6"/>
      <c r="B1035" s="5">
        <v>46150</v>
      </c>
      <c r="C1035" s="7" t="s">
        <v>52</v>
      </c>
      <c r="D1035" s="8" t="str">
        <f>IFERROR(VLOOKUP(C1035,产品数据!$B:$D,2,FALSE),"")</f>
        <v>705ml/瓶</v>
      </c>
      <c r="E1035" s="6">
        <v>1</v>
      </c>
      <c r="F1035" s="8" t="str">
        <f>IFERROR(VLOOKUP(C1035,产品数据!$B:$D,3,FALSE),"")</f>
        <v>瓶</v>
      </c>
      <c r="G1035" s="6" t="s">
        <v>125</v>
      </c>
    </row>
    <row r="1036" spans="1:7">
      <c r="A1036" s="6"/>
      <c r="B1036" s="5">
        <v>46150</v>
      </c>
      <c r="C1036" s="7" t="s">
        <v>54</v>
      </c>
      <c r="D1036" s="8" t="str">
        <f>IFERROR(VLOOKUP(C1036,产品数据!$B:$D,2,FALSE),"")</f>
        <v>1kg*6瓶/箱</v>
      </c>
      <c r="E1036" s="6">
        <v>1</v>
      </c>
      <c r="F1036" s="8" t="str">
        <f>IFERROR(VLOOKUP(C1036,产品数据!$B:$D,3,FALSE),"")</f>
        <v>瓶</v>
      </c>
      <c r="G1036" s="6" t="s">
        <v>125</v>
      </c>
    </row>
    <row r="1037" spans="1:7">
      <c r="A1037" s="6"/>
      <c r="B1037" s="5">
        <v>46150</v>
      </c>
      <c r="C1037" s="7" t="s">
        <v>57</v>
      </c>
      <c r="D1037" s="8" t="str">
        <f>IFERROR(VLOOKUP(C1037,产品数据!$B:$D,2,FALSE),"")</f>
        <v>400g*25包/箱</v>
      </c>
      <c r="E1037" s="6">
        <v>2</v>
      </c>
      <c r="F1037" s="8" t="str">
        <f>IFERROR(VLOOKUP(C1037,产品数据!$B:$D,3,FALSE),"")</f>
        <v>包</v>
      </c>
      <c r="G1037" s="6" t="s">
        <v>125</v>
      </c>
    </row>
    <row r="1038" spans="1:7">
      <c r="A1038" s="6"/>
      <c r="B1038" s="5">
        <v>46150</v>
      </c>
      <c r="C1038" s="7" t="s">
        <v>63</v>
      </c>
      <c r="D1038" s="8" t="str">
        <f>IFERROR(VLOOKUP(C1038,产品数据!$B:$D,2,FALSE),"")</f>
        <v>280g/包</v>
      </c>
      <c r="E1038" s="6">
        <v>5</v>
      </c>
      <c r="F1038" s="8" t="str">
        <f>IFERROR(VLOOKUP(C1038,产品数据!$B:$D,3,FALSE),"")</f>
        <v>包</v>
      </c>
      <c r="G1038" s="6" t="s">
        <v>125</v>
      </c>
    </row>
    <row r="1039" spans="1:7">
      <c r="A1039" s="6"/>
      <c r="B1039" s="5">
        <v>46150</v>
      </c>
      <c r="C1039" s="7" t="s">
        <v>41</v>
      </c>
      <c r="D1039" s="8" t="str">
        <f>IFERROR(VLOOKUP(C1039,产品数据!$B:$D,2,FALSE),"")</f>
        <v>5l/*4桶/箱</v>
      </c>
      <c r="E1039" s="6">
        <v>1</v>
      </c>
      <c r="F1039" s="8" t="str">
        <f>IFERROR(VLOOKUP(C1039,产品数据!$B:$D,3,FALSE),"")</f>
        <v>桶</v>
      </c>
      <c r="G1039" s="6" t="s">
        <v>129</v>
      </c>
    </row>
    <row r="1040" spans="1:7">
      <c r="A1040" s="6"/>
      <c r="B1040" s="5">
        <v>46150</v>
      </c>
      <c r="C1040" s="7" t="s">
        <v>63</v>
      </c>
      <c r="D1040" s="8" t="str">
        <f>IFERROR(VLOOKUP(C1040,产品数据!$B:$D,2,FALSE),"")</f>
        <v>280g/包</v>
      </c>
      <c r="E1040" s="6">
        <v>1</v>
      </c>
      <c r="F1040" s="8" t="str">
        <f>IFERROR(VLOOKUP(C1040,产品数据!$B:$D,3,FALSE),"")</f>
        <v>包</v>
      </c>
      <c r="G1040" s="6" t="s">
        <v>129</v>
      </c>
    </row>
    <row r="1041" spans="1:7">
      <c r="A1041" s="6"/>
      <c r="B1041" s="5">
        <v>46150</v>
      </c>
      <c r="C1041" s="7" t="s">
        <v>57</v>
      </c>
      <c r="D1041" s="8" t="str">
        <f>IFERROR(VLOOKUP(C1041,产品数据!$B:$D,2,FALSE),"")</f>
        <v>400g*25包/箱</v>
      </c>
      <c r="E1041" s="6">
        <v>1</v>
      </c>
      <c r="F1041" s="8" t="str">
        <f>IFERROR(VLOOKUP(C1041,产品数据!$B:$D,3,FALSE),"")</f>
        <v>包</v>
      </c>
      <c r="G1041" s="6" t="s">
        <v>129</v>
      </c>
    </row>
    <row r="1042" spans="1:7">
      <c r="A1042" s="6"/>
      <c r="B1042" s="5">
        <v>46150</v>
      </c>
      <c r="C1042" s="7" t="s">
        <v>59</v>
      </c>
      <c r="D1042" s="8" t="str">
        <f>IFERROR(VLOOKUP(C1042,产品数据!$B:$D,2,FALSE),"")</f>
        <v>102克/包</v>
      </c>
      <c r="E1042" s="6">
        <v>1</v>
      </c>
      <c r="F1042" s="8" t="str">
        <f>IFERROR(VLOOKUP(C1042,产品数据!$B:$D,3,FALSE),"")</f>
        <v>包</v>
      </c>
      <c r="G1042" s="6" t="s">
        <v>129</v>
      </c>
    </row>
    <row r="1043" spans="1:7">
      <c r="A1043" s="6"/>
      <c r="B1043" s="5">
        <v>46150</v>
      </c>
      <c r="C1043" s="7" t="s">
        <v>56</v>
      </c>
      <c r="D1043" s="8" t="str">
        <f>IFERROR(VLOOKUP(C1043,产品数据!$B:$D,2,FALSE),"")</f>
        <v>178g*50包/箱</v>
      </c>
      <c r="E1043" s="6">
        <v>5</v>
      </c>
      <c r="F1043" s="8" t="str">
        <f>IFERROR(VLOOKUP(C1043,产品数据!$B:$D,3,FALSE),"")</f>
        <v>包</v>
      </c>
      <c r="G1043" s="6" t="s">
        <v>129</v>
      </c>
    </row>
    <row r="1044" spans="1:7">
      <c r="A1044" s="6"/>
      <c r="B1044" s="5">
        <v>46150</v>
      </c>
      <c r="C1044" s="7" t="s">
        <v>41</v>
      </c>
      <c r="D1044" s="8" t="str">
        <f>IFERROR(VLOOKUP(C1044,产品数据!$B:$D,2,FALSE),"")</f>
        <v>5l/*4桶/箱</v>
      </c>
      <c r="E1044" s="6">
        <v>1</v>
      </c>
      <c r="F1044" s="8" t="str">
        <f>IFERROR(VLOOKUP(C1044,产品数据!$B:$D,3,FALSE),"")</f>
        <v>桶</v>
      </c>
      <c r="G1044" s="6" t="s">
        <v>128</v>
      </c>
    </row>
    <row r="1045" spans="1:7">
      <c r="A1045" s="6"/>
      <c r="B1045" s="5">
        <v>46150</v>
      </c>
      <c r="C1045" s="7" t="s">
        <v>56</v>
      </c>
      <c r="D1045" s="8" t="str">
        <f>IFERROR(VLOOKUP(C1045,产品数据!$B:$D,2,FALSE),"")</f>
        <v>178g*50包/箱</v>
      </c>
      <c r="E1045" s="6">
        <v>5</v>
      </c>
      <c r="F1045" s="8" t="str">
        <f>IFERROR(VLOOKUP(C1045,产品数据!$B:$D,3,FALSE),"")</f>
        <v>包</v>
      </c>
      <c r="G1045" s="6" t="s">
        <v>128</v>
      </c>
    </row>
    <row r="1046" spans="1:7">
      <c r="A1046" s="6"/>
      <c r="B1046" s="5">
        <v>46150</v>
      </c>
      <c r="C1046" s="7" t="s">
        <v>96</v>
      </c>
      <c r="D1046" s="8" t="str">
        <f>IFERROR(VLOOKUP(C1046,产品数据!$B:$D,2,FALSE),"")</f>
        <v>10千克/袋</v>
      </c>
      <c r="E1046" s="6">
        <v>3</v>
      </c>
      <c r="F1046" s="8" t="str">
        <f>IFERROR(VLOOKUP(C1046,产品数据!$B:$D,3,FALSE),"")</f>
        <v>袋</v>
      </c>
      <c r="G1046" s="6" t="s">
        <v>127</v>
      </c>
    </row>
    <row r="1047" spans="1:7">
      <c r="A1047" s="6"/>
      <c r="B1047" s="5">
        <v>46151</v>
      </c>
      <c r="C1047" s="7" t="s">
        <v>41</v>
      </c>
      <c r="D1047" s="8" t="str">
        <f>IFERROR(VLOOKUP(C1047,产品数据!$B:$D,2,FALSE),"")</f>
        <v>5l/*4桶/箱</v>
      </c>
      <c r="E1047" s="6">
        <v>4</v>
      </c>
      <c r="F1047" s="8" t="str">
        <f>IFERROR(VLOOKUP(C1047,产品数据!$B:$D,3,FALSE),"")</f>
        <v>桶</v>
      </c>
      <c r="G1047" s="6" t="s">
        <v>125</v>
      </c>
    </row>
    <row r="1048" spans="1:7">
      <c r="A1048" s="6"/>
      <c r="B1048" s="5">
        <v>46151</v>
      </c>
      <c r="C1048" s="7" t="s">
        <v>104</v>
      </c>
      <c r="D1048" s="8" t="str">
        <f>IFERROR(VLOOKUP(C1048,产品数据!$B:$D,2,FALSE),"")</f>
        <v>500ml*6瓶/箱</v>
      </c>
      <c r="E1048" s="6">
        <v>4</v>
      </c>
      <c r="F1048" s="8" t="str">
        <f>IFERROR(VLOOKUP(C1048,产品数据!$B:$D,3,FALSE),"")</f>
        <v>瓶</v>
      </c>
      <c r="G1048" s="6" t="s">
        <v>125</v>
      </c>
    </row>
    <row r="1049" spans="1:7">
      <c r="A1049" s="6"/>
      <c r="B1049" s="5">
        <v>46151</v>
      </c>
      <c r="C1049" s="7" t="s">
        <v>107</v>
      </c>
      <c r="D1049" s="8" t="str">
        <f>IFERROR(VLOOKUP(C1049,产品数据!$B:$D,2,FALSE),"")</f>
        <v>1.43L/壶*6壶/箱</v>
      </c>
      <c r="E1049" s="6">
        <v>1</v>
      </c>
      <c r="F1049" s="8" t="str">
        <f>IFERROR(VLOOKUP(C1049,产品数据!$B:$D,3,FALSE),"")</f>
        <v>壶</v>
      </c>
      <c r="G1049" s="6" t="s">
        <v>125</v>
      </c>
    </row>
    <row r="1050" spans="1:7">
      <c r="A1050" s="6"/>
      <c r="B1050" s="5">
        <v>46151</v>
      </c>
      <c r="C1050" s="7" t="s">
        <v>44</v>
      </c>
      <c r="D1050" s="8" t="str">
        <f>IFERROR(VLOOKUP(C1050,产品数据!$B:$D,2,FALSE),"")</f>
        <v>1.9升/瓶*6瓶/箱</v>
      </c>
      <c r="E1050" s="6">
        <v>1</v>
      </c>
      <c r="F1050" s="8" t="str">
        <f>IFERROR(VLOOKUP(C1050,产品数据!$B:$D,3,FALSE),"")</f>
        <v>瓶</v>
      </c>
      <c r="G1050" s="6" t="s">
        <v>125</v>
      </c>
    </row>
    <row r="1051" spans="1:7">
      <c r="A1051" s="6"/>
      <c r="B1051" s="5">
        <v>46151</v>
      </c>
      <c r="C1051" s="7" t="s">
        <v>106</v>
      </c>
      <c r="D1051" s="8" t="str">
        <f>IFERROR(VLOOKUP(C1051,产品数据!$B:$D,2,FALSE),"")</f>
        <v>1.9升/瓶*6瓶/箱</v>
      </c>
      <c r="E1051" s="6">
        <v>1</v>
      </c>
      <c r="F1051" s="8" t="str">
        <f>IFERROR(VLOOKUP(C1051,产品数据!$B:$D,3,FALSE),"")</f>
        <v>瓶</v>
      </c>
      <c r="G1051" s="6" t="s">
        <v>125</v>
      </c>
    </row>
    <row r="1052" spans="1:7">
      <c r="A1052" s="6"/>
      <c r="B1052" s="5">
        <v>46151</v>
      </c>
      <c r="C1052" s="7" t="s">
        <v>57</v>
      </c>
      <c r="D1052" s="8" t="str">
        <f>IFERROR(VLOOKUP(C1052,产品数据!$B:$D,2,FALSE),"")</f>
        <v>400g*25包/箱</v>
      </c>
      <c r="E1052" s="6">
        <v>2</v>
      </c>
      <c r="F1052" s="8" t="str">
        <f>IFERROR(VLOOKUP(C1052,产品数据!$B:$D,3,FALSE),"")</f>
        <v>包</v>
      </c>
      <c r="G1052" s="6" t="s">
        <v>125</v>
      </c>
    </row>
    <row r="1053" spans="1:7">
      <c r="A1053" s="6"/>
      <c r="B1053" s="5">
        <v>46151</v>
      </c>
      <c r="C1053" s="7" t="s">
        <v>54</v>
      </c>
      <c r="D1053" s="8" t="str">
        <f>IFERROR(VLOOKUP(C1053,产品数据!$B:$D,2,FALSE),"")</f>
        <v>1kg*6瓶/箱</v>
      </c>
      <c r="E1053" s="6">
        <v>1</v>
      </c>
      <c r="F1053" s="8" t="str">
        <f>IFERROR(VLOOKUP(C1053,产品数据!$B:$D,3,FALSE),"")</f>
        <v>瓶</v>
      </c>
      <c r="G1053" s="6" t="s">
        <v>125</v>
      </c>
    </row>
    <row r="1054" spans="1:7">
      <c r="A1054" s="6"/>
      <c r="B1054" s="5">
        <v>46151</v>
      </c>
      <c r="C1054" s="7" t="s">
        <v>63</v>
      </c>
      <c r="D1054" s="8" t="str">
        <f>IFERROR(VLOOKUP(C1054,产品数据!$B:$D,2,FALSE),"")</f>
        <v>280g/包</v>
      </c>
      <c r="E1054" s="6">
        <v>10</v>
      </c>
      <c r="F1054" s="8" t="str">
        <f>IFERROR(VLOOKUP(C1054,产品数据!$B:$D,3,FALSE),"")</f>
        <v>包</v>
      </c>
      <c r="G1054" s="6" t="s">
        <v>125</v>
      </c>
    </row>
    <row r="1055" spans="1:7">
      <c r="A1055" s="6"/>
      <c r="B1055" s="5">
        <v>46151</v>
      </c>
      <c r="C1055" s="7" t="s">
        <v>56</v>
      </c>
      <c r="D1055" s="8" t="str">
        <f>IFERROR(VLOOKUP(C1055,产品数据!$B:$D,2,FALSE),"")</f>
        <v>178g*50包/箱</v>
      </c>
      <c r="E1055" s="6">
        <v>5</v>
      </c>
      <c r="F1055" s="8" t="str">
        <f>IFERROR(VLOOKUP(C1055,产品数据!$B:$D,3,FALSE),"")</f>
        <v>包</v>
      </c>
      <c r="G1055" s="6" t="s">
        <v>125</v>
      </c>
    </row>
    <row r="1056" spans="1:7">
      <c r="A1056" s="6"/>
      <c r="B1056" s="5">
        <v>46151</v>
      </c>
      <c r="C1056" s="7" t="s">
        <v>52</v>
      </c>
      <c r="D1056" s="8" t="str">
        <f>IFERROR(VLOOKUP(C1056,产品数据!$B:$D,2,FALSE),"")</f>
        <v>705ml/瓶</v>
      </c>
      <c r="E1056" s="6">
        <v>1</v>
      </c>
      <c r="F1056" s="8" t="str">
        <f>IFERROR(VLOOKUP(C1056,产品数据!$B:$D,3,FALSE),"")</f>
        <v>瓶</v>
      </c>
      <c r="G1056" s="6" t="s">
        <v>125</v>
      </c>
    </row>
    <row r="1057" spans="1:7">
      <c r="A1057" s="6"/>
      <c r="B1057" s="5">
        <v>46151</v>
      </c>
      <c r="C1057" s="7" t="s">
        <v>100</v>
      </c>
      <c r="D1057" s="8" t="str">
        <f>IFERROR(VLOOKUP(C1057,产品数据!$B:$D,2,FALSE),"")</f>
        <v>5kg/包</v>
      </c>
      <c r="E1057" s="6">
        <v>5</v>
      </c>
      <c r="F1057" s="8" t="str">
        <f>IFERROR(VLOOKUP(C1057,产品数据!$B:$D,3,FALSE),"")</f>
        <v>包</v>
      </c>
      <c r="G1057" s="6" t="s">
        <v>128</v>
      </c>
    </row>
    <row r="1058" spans="1:7">
      <c r="A1058" s="6"/>
      <c r="B1058" s="5">
        <v>46151</v>
      </c>
      <c r="C1058" s="7" t="s">
        <v>55</v>
      </c>
      <c r="D1058" s="8" t="str">
        <f>IFERROR(VLOOKUP(C1058,产品数据!$B:$D,2,FALSE),"")</f>
        <v>1升*12瓶/箱</v>
      </c>
      <c r="E1058" s="6">
        <v>1</v>
      </c>
      <c r="F1058" s="8" t="str">
        <f>IFERROR(VLOOKUP(C1058,产品数据!$B:$D,3,FALSE),"")</f>
        <v>瓶</v>
      </c>
      <c r="G1058" s="6" t="s">
        <v>128</v>
      </c>
    </row>
    <row r="1059" spans="1:7">
      <c r="A1059" s="6"/>
      <c r="B1059" s="5">
        <v>46151</v>
      </c>
      <c r="C1059" s="7" t="s">
        <v>96</v>
      </c>
      <c r="D1059" s="8" t="str">
        <f>IFERROR(VLOOKUP(C1059,产品数据!$B:$D,2,FALSE),"")</f>
        <v>10千克/袋</v>
      </c>
      <c r="E1059" s="6">
        <v>3</v>
      </c>
      <c r="F1059" s="8" t="str">
        <f>IFERROR(VLOOKUP(C1059,产品数据!$B:$D,3,FALSE),"")</f>
        <v>袋</v>
      </c>
      <c r="G1059" s="6" t="s">
        <v>127</v>
      </c>
    </row>
    <row r="1060" spans="1:7">
      <c r="A1060" s="6"/>
      <c r="B1060" s="5">
        <v>46153</v>
      </c>
      <c r="C1060" s="7" t="s">
        <v>41</v>
      </c>
      <c r="D1060" s="8" t="str">
        <f>IFERROR(VLOOKUP(C1060,产品数据!$B:$D,2,FALSE),"")</f>
        <v>5l/*4桶/箱</v>
      </c>
      <c r="E1060" s="6">
        <v>4</v>
      </c>
      <c r="F1060" s="8" t="str">
        <f>IFERROR(VLOOKUP(C1060,产品数据!$B:$D,3,FALSE),"")</f>
        <v>桶</v>
      </c>
      <c r="G1060" s="6" t="s">
        <v>125</v>
      </c>
    </row>
    <row r="1061" spans="1:7">
      <c r="A1061" s="6"/>
      <c r="B1061" s="5">
        <v>46153</v>
      </c>
      <c r="C1061" s="7" t="s">
        <v>44</v>
      </c>
      <c r="D1061" s="8" t="str">
        <f>IFERROR(VLOOKUP(C1061,产品数据!$B:$D,2,FALSE),"")</f>
        <v>1.9升/瓶*6瓶/箱</v>
      </c>
      <c r="E1061" s="6">
        <v>1</v>
      </c>
      <c r="F1061" s="8" t="str">
        <f>IFERROR(VLOOKUP(C1061,产品数据!$B:$D,3,FALSE),"")</f>
        <v>瓶</v>
      </c>
      <c r="G1061" s="6" t="s">
        <v>125</v>
      </c>
    </row>
    <row r="1062" spans="1:7">
      <c r="A1062" s="6"/>
      <c r="B1062" s="5">
        <v>46153</v>
      </c>
      <c r="C1062" s="7" t="s">
        <v>106</v>
      </c>
      <c r="D1062" s="8" t="str">
        <f>IFERROR(VLOOKUP(C1062,产品数据!$B:$D,2,FALSE),"")</f>
        <v>1.9升/瓶*6瓶/箱</v>
      </c>
      <c r="E1062" s="6">
        <v>1</v>
      </c>
      <c r="F1062" s="8" t="str">
        <f>IFERROR(VLOOKUP(C1062,产品数据!$B:$D,3,FALSE),"")</f>
        <v>瓶</v>
      </c>
      <c r="G1062" s="6" t="s">
        <v>125</v>
      </c>
    </row>
    <row r="1063" spans="1:7">
      <c r="A1063" s="6"/>
      <c r="B1063" s="5">
        <v>46153</v>
      </c>
      <c r="C1063" s="7" t="s">
        <v>107</v>
      </c>
      <c r="D1063" s="8" t="str">
        <f>IFERROR(VLOOKUP(C1063,产品数据!$B:$D,2,FALSE),"")</f>
        <v>1.43L/壶*6壶/箱</v>
      </c>
      <c r="E1063" s="6">
        <v>1</v>
      </c>
      <c r="F1063" s="8" t="str">
        <f>IFERROR(VLOOKUP(C1063,产品数据!$B:$D,3,FALSE),"")</f>
        <v>壶</v>
      </c>
      <c r="G1063" s="6" t="s">
        <v>125</v>
      </c>
    </row>
    <row r="1064" spans="1:7">
      <c r="A1064" s="6"/>
      <c r="B1064" s="5">
        <v>46153</v>
      </c>
      <c r="C1064" s="7" t="s">
        <v>54</v>
      </c>
      <c r="D1064" s="8" t="str">
        <f>IFERROR(VLOOKUP(C1064,产品数据!$B:$D,2,FALSE),"")</f>
        <v>1kg*6瓶/箱</v>
      </c>
      <c r="E1064" s="6">
        <v>1</v>
      </c>
      <c r="F1064" s="8" t="str">
        <f>IFERROR(VLOOKUP(C1064,产品数据!$B:$D,3,FALSE),"")</f>
        <v>瓶</v>
      </c>
      <c r="G1064" s="6" t="s">
        <v>125</v>
      </c>
    </row>
    <row r="1065" spans="1:7">
      <c r="A1065" s="6"/>
      <c r="B1065" s="5">
        <v>46153</v>
      </c>
      <c r="C1065" s="7" t="s">
        <v>52</v>
      </c>
      <c r="D1065" s="8" t="str">
        <f>IFERROR(VLOOKUP(C1065,产品数据!$B:$D,2,FALSE),"")</f>
        <v>705ml/瓶</v>
      </c>
      <c r="E1065" s="6">
        <v>1</v>
      </c>
      <c r="F1065" s="8" t="str">
        <f>IFERROR(VLOOKUP(C1065,产品数据!$B:$D,3,FALSE),"")</f>
        <v>瓶</v>
      </c>
      <c r="G1065" s="6" t="s">
        <v>125</v>
      </c>
    </row>
    <row r="1066" spans="1:7">
      <c r="A1066" s="6"/>
      <c r="B1066" s="5">
        <v>46153</v>
      </c>
      <c r="C1066" s="7" t="s">
        <v>57</v>
      </c>
      <c r="D1066" s="8" t="str">
        <f>IFERROR(VLOOKUP(C1066,产品数据!$B:$D,2,FALSE),"")</f>
        <v>400g*25包/箱</v>
      </c>
      <c r="E1066" s="6">
        <v>2</v>
      </c>
      <c r="F1066" s="8" t="str">
        <f>IFERROR(VLOOKUP(C1066,产品数据!$B:$D,3,FALSE),"")</f>
        <v>包</v>
      </c>
      <c r="G1066" s="6" t="s">
        <v>125</v>
      </c>
    </row>
    <row r="1067" spans="1:7">
      <c r="A1067" s="6"/>
      <c r="B1067" s="5">
        <v>46153</v>
      </c>
      <c r="C1067" s="7" t="s">
        <v>104</v>
      </c>
      <c r="D1067" s="8" t="str">
        <f>IFERROR(VLOOKUP(C1067,产品数据!$B:$D,2,FALSE),"")</f>
        <v>500ml*6瓶/箱</v>
      </c>
      <c r="E1067" s="6">
        <v>2</v>
      </c>
      <c r="F1067" s="8" t="str">
        <f>IFERROR(VLOOKUP(C1067,产品数据!$B:$D,3,FALSE),"")</f>
        <v>瓶</v>
      </c>
      <c r="G1067" s="6" t="s">
        <v>125</v>
      </c>
    </row>
    <row r="1068" spans="1:7">
      <c r="A1068" s="6"/>
      <c r="B1068" s="5">
        <v>46153</v>
      </c>
      <c r="C1068" s="7" t="s">
        <v>48</v>
      </c>
      <c r="D1068" s="8" t="str">
        <f>IFERROR(VLOOKUP(C1068,产品数据!$B:$D,2,FALSE),"")</f>
        <v>500克/瓶*24瓶/箱</v>
      </c>
      <c r="E1068" s="6">
        <v>2</v>
      </c>
      <c r="F1068" s="8" t="str">
        <f>IFERROR(VLOOKUP(C1068,产品数据!$B:$D,3,FALSE),"")</f>
        <v>瓶</v>
      </c>
      <c r="G1068" s="6" t="s">
        <v>125</v>
      </c>
    </row>
    <row r="1069" spans="1:7">
      <c r="A1069" s="6"/>
      <c r="B1069" s="5">
        <v>46153</v>
      </c>
      <c r="C1069" s="7" t="s">
        <v>47</v>
      </c>
      <c r="D1069" s="8" t="str">
        <f>IFERROR(VLOOKUP(C1069,产品数据!$B:$D,2,FALSE),"")</f>
        <v>500克/瓶*24瓶/箱</v>
      </c>
      <c r="E1069" s="6">
        <v>2</v>
      </c>
      <c r="F1069" s="8" t="str">
        <f>IFERROR(VLOOKUP(C1069,产品数据!$B:$D,3,FALSE),"")</f>
        <v>瓶</v>
      </c>
      <c r="G1069" s="6" t="s">
        <v>125</v>
      </c>
    </row>
    <row r="1070" spans="1:7">
      <c r="A1070" s="6"/>
      <c r="B1070" s="5">
        <v>46153</v>
      </c>
      <c r="C1070" s="7" t="s">
        <v>96</v>
      </c>
      <c r="D1070" s="8" t="str">
        <f>IFERROR(VLOOKUP(C1070,产品数据!$B:$D,2,FALSE),"")</f>
        <v>10千克/袋</v>
      </c>
      <c r="E1070" s="6">
        <v>4</v>
      </c>
      <c r="F1070" s="8" t="str">
        <f>IFERROR(VLOOKUP(C1070,产品数据!$B:$D,3,FALSE),"")</f>
        <v>袋</v>
      </c>
      <c r="G1070" s="6" t="s">
        <v>127</v>
      </c>
    </row>
    <row r="1071" spans="1:7">
      <c r="A1071" s="6"/>
      <c r="B1071" s="5">
        <v>46154</v>
      </c>
      <c r="C1071" s="7" t="s">
        <v>41</v>
      </c>
      <c r="D1071" s="8" t="str">
        <f>IFERROR(VLOOKUP(C1071,产品数据!$B:$D,2,FALSE),"")</f>
        <v>5l/*4桶/箱</v>
      </c>
      <c r="E1071" s="6">
        <v>3</v>
      </c>
      <c r="F1071" s="8" t="str">
        <f>IFERROR(VLOOKUP(C1071,产品数据!$B:$D,3,FALSE),"")</f>
        <v>桶</v>
      </c>
      <c r="G1071" s="6" t="s">
        <v>125</v>
      </c>
    </row>
    <row r="1072" spans="1:7">
      <c r="A1072" s="6"/>
      <c r="B1072" s="5">
        <v>46154</v>
      </c>
      <c r="C1072" s="7" t="s">
        <v>107</v>
      </c>
      <c r="D1072" s="8" t="str">
        <f>IFERROR(VLOOKUP(C1072,产品数据!$B:$D,2,FALSE),"")</f>
        <v>1.43L/壶*6壶/箱</v>
      </c>
      <c r="E1072" s="6">
        <v>1</v>
      </c>
      <c r="F1072" s="8" t="str">
        <f>IFERROR(VLOOKUP(C1072,产品数据!$B:$D,3,FALSE),"")</f>
        <v>壶</v>
      </c>
      <c r="G1072" s="6" t="s">
        <v>125</v>
      </c>
    </row>
    <row r="1073" spans="1:7">
      <c r="A1073" s="6"/>
      <c r="B1073" s="5">
        <v>46154</v>
      </c>
      <c r="C1073" s="7" t="s">
        <v>54</v>
      </c>
      <c r="D1073" s="8" t="str">
        <f>IFERROR(VLOOKUP(C1073,产品数据!$B:$D,2,FALSE),"")</f>
        <v>1kg*6瓶/箱</v>
      </c>
      <c r="E1073" s="6">
        <v>1</v>
      </c>
      <c r="F1073" s="8" t="str">
        <f>IFERROR(VLOOKUP(C1073,产品数据!$B:$D,3,FALSE),"")</f>
        <v>瓶</v>
      </c>
      <c r="G1073" s="6" t="s">
        <v>125</v>
      </c>
    </row>
    <row r="1074" spans="1:7">
      <c r="A1074" s="6"/>
      <c r="B1074" s="5">
        <v>46154</v>
      </c>
      <c r="C1074" s="7" t="s">
        <v>52</v>
      </c>
      <c r="D1074" s="8" t="str">
        <f>IFERROR(VLOOKUP(C1074,产品数据!$B:$D,2,FALSE),"")</f>
        <v>705ml/瓶</v>
      </c>
      <c r="E1074" s="6">
        <v>1</v>
      </c>
      <c r="F1074" s="8" t="str">
        <f>IFERROR(VLOOKUP(C1074,产品数据!$B:$D,3,FALSE),"")</f>
        <v>瓶</v>
      </c>
      <c r="G1074" s="6" t="s">
        <v>125</v>
      </c>
    </row>
    <row r="1075" spans="1:7">
      <c r="A1075" s="6"/>
      <c r="B1075" s="5">
        <v>46154</v>
      </c>
      <c r="C1075" s="7" t="s">
        <v>57</v>
      </c>
      <c r="D1075" s="8" t="str">
        <f>IFERROR(VLOOKUP(C1075,产品数据!$B:$D,2,FALSE),"")</f>
        <v>400g*25包/箱</v>
      </c>
      <c r="E1075" s="6">
        <v>2</v>
      </c>
      <c r="F1075" s="8" t="str">
        <f>IFERROR(VLOOKUP(C1075,产品数据!$B:$D,3,FALSE),"")</f>
        <v>包</v>
      </c>
      <c r="G1075" s="6" t="s">
        <v>125</v>
      </c>
    </row>
    <row r="1076" spans="1:7">
      <c r="A1076" s="6"/>
      <c r="B1076" s="5">
        <v>46154</v>
      </c>
      <c r="C1076" s="7" t="s">
        <v>104</v>
      </c>
      <c r="D1076" s="8" t="str">
        <f>IFERROR(VLOOKUP(C1076,产品数据!$B:$D,2,FALSE),"")</f>
        <v>500ml*6瓶/箱</v>
      </c>
      <c r="E1076" s="6">
        <v>2</v>
      </c>
      <c r="F1076" s="8" t="str">
        <f>IFERROR(VLOOKUP(C1076,产品数据!$B:$D,3,FALSE),"")</f>
        <v>瓶</v>
      </c>
      <c r="G1076" s="6" t="s">
        <v>125</v>
      </c>
    </row>
    <row r="1077" spans="1:7">
      <c r="A1077" s="6"/>
      <c r="B1077" s="5">
        <v>46154</v>
      </c>
      <c r="C1077" s="7" t="s">
        <v>63</v>
      </c>
      <c r="D1077" s="8" t="str">
        <f>IFERROR(VLOOKUP(C1077,产品数据!$B:$D,2,FALSE),"")</f>
        <v>280g/包</v>
      </c>
      <c r="E1077" s="6">
        <v>5</v>
      </c>
      <c r="F1077" s="8" t="str">
        <f>IFERROR(VLOOKUP(C1077,产品数据!$B:$D,3,FALSE),"")</f>
        <v>包</v>
      </c>
      <c r="G1077" s="6" t="s">
        <v>125</v>
      </c>
    </row>
    <row r="1078" spans="1:7">
      <c r="A1078" s="6"/>
      <c r="B1078" s="5">
        <v>46154</v>
      </c>
      <c r="C1078" s="7" t="s">
        <v>61</v>
      </c>
      <c r="D1078" s="8" t="str">
        <f>IFERROR(VLOOKUP(C1078,产品数据!$B:$D,2,FALSE),"")</f>
        <v>2.5kg/包</v>
      </c>
      <c r="E1078" s="6">
        <v>1</v>
      </c>
      <c r="F1078" s="8" t="str">
        <f>IFERROR(VLOOKUP(C1078,产品数据!$B:$D,3,FALSE),"")</f>
        <v>包</v>
      </c>
      <c r="G1078" s="6" t="s">
        <v>125</v>
      </c>
    </row>
    <row r="1079" spans="1:7">
      <c r="A1079" s="6"/>
      <c r="B1079" s="5">
        <v>46154</v>
      </c>
      <c r="C1079" s="7" t="s">
        <v>96</v>
      </c>
      <c r="D1079" s="8" t="str">
        <f>IFERROR(VLOOKUP(C1079,产品数据!$B:$D,2,FALSE),"")</f>
        <v>10千克/袋</v>
      </c>
      <c r="E1079" s="6">
        <v>3</v>
      </c>
      <c r="F1079" s="8" t="str">
        <f>IFERROR(VLOOKUP(C1079,产品数据!$B:$D,3,FALSE),"")</f>
        <v>袋</v>
      </c>
      <c r="G1079" s="6" t="s">
        <v>127</v>
      </c>
    </row>
    <row r="1080" spans="1:7">
      <c r="A1080" s="6"/>
      <c r="B1080" s="5">
        <v>46154</v>
      </c>
      <c r="C1080" s="7" t="s">
        <v>41</v>
      </c>
      <c r="D1080" s="8" t="str">
        <f>IFERROR(VLOOKUP(C1080,产品数据!$B:$D,2,FALSE),"")</f>
        <v>5l/*4桶/箱</v>
      </c>
      <c r="E1080" s="6">
        <v>2</v>
      </c>
      <c r="F1080" s="8" t="str">
        <f>IFERROR(VLOOKUP(C1080,产品数据!$B:$D,3,FALSE),"")</f>
        <v>桶</v>
      </c>
      <c r="G1080" s="6" t="s">
        <v>128</v>
      </c>
    </row>
    <row r="1081" spans="1:7">
      <c r="A1081" s="6"/>
      <c r="B1081" s="5">
        <v>46154</v>
      </c>
      <c r="C1081" s="7" t="s">
        <v>100</v>
      </c>
      <c r="D1081" s="8" t="str">
        <f>IFERROR(VLOOKUP(C1081,产品数据!$B:$D,2,FALSE),"")</f>
        <v>5kg/包</v>
      </c>
      <c r="E1081" s="6">
        <v>5</v>
      </c>
      <c r="F1081" s="8" t="str">
        <f>IFERROR(VLOOKUP(C1081,产品数据!$B:$D,3,FALSE),"")</f>
        <v>包</v>
      </c>
      <c r="G1081" s="6" t="s">
        <v>128</v>
      </c>
    </row>
    <row r="1082" spans="1:7">
      <c r="A1082" s="6"/>
      <c r="B1082" s="5">
        <v>46155</v>
      </c>
      <c r="C1082" s="7" t="s">
        <v>41</v>
      </c>
      <c r="D1082" s="8" t="str">
        <f>IFERROR(VLOOKUP(C1082,产品数据!$B:$D,2,FALSE),"")</f>
        <v>5l/*4桶/箱</v>
      </c>
      <c r="E1082" s="6">
        <v>3</v>
      </c>
      <c r="F1082" s="8" t="str">
        <f>IFERROR(VLOOKUP(C1082,产品数据!$B:$D,3,FALSE),"")</f>
        <v>桶</v>
      </c>
      <c r="G1082" s="6" t="s">
        <v>125</v>
      </c>
    </row>
    <row r="1083" spans="1:7">
      <c r="A1083" s="6"/>
      <c r="B1083" s="5">
        <v>46155</v>
      </c>
      <c r="C1083" s="7" t="s">
        <v>107</v>
      </c>
      <c r="D1083" s="8" t="str">
        <f>IFERROR(VLOOKUP(C1083,产品数据!$B:$D,2,FALSE),"")</f>
        <v>1.43L/壶*6壶/箱</v>
      </c>
      <c r="E1083" s="6">
        <v>2</v>
      </c>
      <c r="F1083" s="8" t="str">
        <f>IFERROR(VLOOKUP(C1083,产品数据!$B:$D,3,FALSE),"")</f>
        <v>壶</v>
      </c>
      <c r="G1083" s="6" t="s">
        <v>125</v>
      </c>
    </row>
    <row r="1084" spans="1:7">
      <c r="A1084" s="6"/>
      <c r="B1084" s="5">
        <v>46155</v>
      </c>
      <c r="C1084" s="7" t="s">
        <v>44</v>
      </c>
      <c r="D1084" s="8" t="str">
        <f>IFERROR(VLOOKUP(C1084,产品数据!$B:$D,2,FALSE),"")</f>
        <v>1.9升/瓶*6瓶/箱</v>
      </c>
      <c r="E1084" s="6">
        <v>1</v>
      </c>
      <c r="F1084" s="8" t="str">
        <f>IFERROR(VLOOKUP(C1084,产品数据!$B:$D,3,FALSE),"")</f>
        <v>瓶</v>
      </c>
      <c r="G1084" s="6" t="s">
        <v>125</v>
      </c>
    </row>
    <row r="1085" spans="1:7">
      <c r="A1085" s="6"/>
      <c r="B1085" s="5">
        <v>46155</v>
      </c>
      <c r="C1085" s="7" t="s">
        <v>104</v>
      </c>
      <c r="D1085" s="8" t="str">
        <f>IFERROR(VLOOKUP(C1085,产品数据!$B:$D,2,FALSE),"")</f>
        <v>500ml*6瓶/箱</v>
      </c>
      <c r="E1085" s="6">
        <v>3</v>
      </c>
      <c r="F1085" s="8" t="str">
        <f>IFERROR(VLOOKUP(C1085,产品数据!$B:$D,3,FALSE),"")</f>
        <v>瓶</v>
      </c>
      <c r="G1085" s="6" t="s">
        <v>125</v>
      </c>
    </row>
    <row r="1086" spans="1:7">
      <c r="A1086" s="6"/>
      <c r="B1086" s="5">
        <v>46155</v>
      </c>
      <c r="C1086" s="7" t="s">
        <v>63</v>
      </c>
      <c r="D1086" s="8" t="str">
        <f>IFERROR(VLOOKUP(C1086,产品数据!$B:$D,2,FALSE),"")</f>
        <v>280g/包</v>
      </c>
      <c r="E1086" s="6">
        <v>5</v>
      </c>
      <c r="F1086" s="8" t="str">
        <f>IFERROR(VLOOKUP(C1086,产品数据!$B:$D,3,FALSE),"")</f>
        <v>包</v>
      </c>
      <c r="G1086" s="6" t="s">
        <v>125</v>
      </c>
    </row>
    <row r="1087" spans="1:7">
      <c r="A1087" s="6"/>
      <c r="B1087" s="5">
        <v>46155</v>
      </c>
      <c r="C1087" s="7" t="s">
        <v>57</v>
      </c>
      <c r="D1087" s="8" t="str">
        <f>IFERROR(VLOOKUP(C1087,产品数据!$B:$D,2,FALSE),"")</f>
        <v>400g*25包/箱</v>
      </c>
      <c r="E1087" s="6">
        <v>1</v>
      </c>
      <c r="F1087" s="8" t="str">
        <f>IFERROR(VLOOKUP(C1087,产品数据!$B:$D,3,FALSE),"")</f>
        <v>包</v>
      </c>
      <c r="G1087" s="6" t="s">
        <v>125</v>
      </c>
    </row>
    <row r="1088" spans="1:7">
      <c r="A1088" s="6"/>
      <c r="B1088" s="5">
        <v>46155</v>
      </c>
      <c r="C1088" s="7" t="s">
        <v>62</v>
      </c>
      <c r="D1088" s="8" t="str">
        <f>IFERROR(VLOOKUP(C1088,产品数据!$B:$D,2,FALSE),"")</f>
        <v>600克/瓶</v>
      </c>
      <c r="E1088" s="6">
        <v>1</v>
      </c>
      <c r="F1088" s="8" t="str">
        <f>IFERROR(VLOOKUP(C1088,产品数据!$B:$D,3,FALSE),"")</f>
        <v>瓶</v>
      </c>
      <c r="G1088" s="6" t="s">
        <v>125</v>
      </c>
    </row>
    <row r="1089" spans="1:7">
      <c r="A1089" s="6"/>
      <c r="B1089" s="5">
        <v>46155</v>
      </c>
      <c r="C1089" s="7" t="s">
        <v>41</v>
      </c>
      <c r="D1089" s="8" t="str">
        <f>IFERROR(VLOOKUP(C1089,产品数据!$B:$D,2,FALSE),"")</f>
        <v>5l/*4桶/箱</v>
      </c>
      <c r="E1089" s="6">
        <v>1</v>
      </c>
      <c r="F1089" s="8" t="str">
        <f>IFERROR(VLOOKUP(C1089,产品数据!$B:$D,3,FALSE),"")</f>
        <v>桶</v>
      </c>
      <c r="G1089" s="6" t="s">
        <v>128</v>
      </c>
    </row>
    <row r="1090" spans="1:7">
      <c r="A1090" s="6"/>
      <c r="B1090" s="5">
        <v>46155</v>
      </c>
      <c r="C1090" s="7" t="s">
        <v>54</v>
      </c>
      <c r="D1090" s="8" t="str">
        <f>IFERROR(VLOOKUP(C1090,产品数据!$B:$D,2,FALSE),"")</f>
        <v>1kg*6瓶/箱</v>
      </c>
      <c r="E1090" s="6">
        <v>1</v>
      </c>
      <c r="F1090" s="8" t="str">
        <f>IFERROR(VLOOKUP(C1090,产品数据!$B:$D,3,FALSE),"")</f>
        <v>瓶</v>
      </c>
      <c r="G1090" s="6" t="s">
        <v>128</v>
      </c>
    </row>
    <row r="1091" spans="1:7">
      <c r="A1091" s="6"/>
      <c r="B1091" s="5">
        <v>46155</v>
      </c>
      <c r="C1091" s="7" t="s">
        <v>48</v>
      </c>
      <c r="D1091" s="8" t="str">
        <f>IFERROR(VLOOKUP(C1091,产品数据!$B:$D,2,FALSE),"")</f>
        <v>500克/瓶*24瓶/箱</v>
      </c>
      <c r="E1091" s="6">
        <v>1</v>
      </c>
      <c r="F1091" s="8" t="str">
        <f>IFERROR(VLOOKUP(C1091,产品数据!$B:$D,3,FALSE),"")</f>
        <v>瓶</v>
      </c>
      <c r="G1091" s="6" t="s">
        <v>128</v>
      </c>
    </row>
    <row r="1092" spans="1:7">
      <c r="A1092" s="6"/>
      <c r="B1092" s="5">
        <v>46155</v>
      </c>
      <c r="C1092" s="7" t="s">
        <v>96</v>
      </c>
      <c r="D1092" s="8" t="str">
        <f>IFERROR(VLOOKUP(C1092,产品数据!$B:$D,2,FALSE),"")</f>
        <v>10千克/袋</v>
      </c>
      <c r="E1092" s="6">
        <v>3</v>
      </c>
      <c r="F1092" s="8" t="str">
        <f>IFERROR(VLOOKUP(C1092,产品数据!$B:$D,3,FALSE),"")</f>
        <v>袋</v>
      </c>
      <c r="G1092" s="6" t="s">
        <v>127</v>
      </c>
    </row>
    <row r="1093" spans="1:7">
      <c r="A1093" s="6"/>
      <c r="B1093" s="5">
        <v>46156</v>
      </c>
      <c r="C1093" s="7" t="s">
        <v>41</v>
      </c>
      <c r="D1093" s="8" t="str">
        <f>IFERROR(VLOOKUP(C1093,产品数据!$B:$D,2,FALSE),"")</f>
        <v>5l/*4桶/箱</v>
      </c>
      <c r="E1093" s="6">
        <v>3</v>
      </c>
      <c r="F1093" s="8" t="str">
        <f>IFERROR(VLOOKUP(C1093,产品数据!$B:$D,3,FALSE),"")</f>
        <v>桶</v>
      </c>
      <c r="G1093" s="6" t="s">
        <v>125</v>
      </c>
    </row>
    <row r="1094" spans="1:7">
      <c r="A1094" s="6"/>
      <c r="B1094" s="5">
        <v>46156</v>
      </c>
      <c r="C1094" s="7" t="s">
        <v>104</v>
      </c>
      <c r="D1094" s="8" t="str">
        <f>IFERROR(VLOOKUP(C1094,产品数据!$B:$D,2,FALSE),"")</f>
        <v>500ml*6瓶/箱</v>
      </c>
      <c r="E1094" s="6">
        <v>4</v>
      </c>
      <c r="F1094" s="8" t="str">
        <f>IFERROR(VLOOKUP(C1094,产品数据!$B:$D,3,FALSE),"")</f>
        <v>瓶</v>
      </c>
      <c r="G1094" s="6" t="s">
        <v>125</v>
      </c>
    </row>
    <row r="1095" spans="1:7">
      <c r="A1095" s="6"/>
      <c r="B1095" s="5">
        <v>46156</v>
      </c>
      <c r="C1095" s="7" t="s">
        <v>107</v>
      </c>
      <c r="D1095" s="8" t="str">
        <f>IFERROR(VLOOKUP(C1095,产品数据!$B:$D,2,FALSE),"")</f>
        <v>1.43L/壶*6壶/箱</v>
      </c>
      <c r="E1095" s="6">
        <v>1</v>
      </c>
      <c r="F1095" s="8" t="str">
        <f>IFERROR(VLOOKUP(C1095,产品数据!$B:$D,3,FALSE),"")</f>
        <v>壶</v>
      </c>
      <c r="G1095" s="6" t="s">
        <v>125</v>
      </c>
    </row>
    <row r="1096" spans="1:7">
      <c r="A1096" s="6"/>
      <c r="B1096" s="5">
        <v>46156</v>
      </c>
      <c r="C1096" s="7" t="s">
        <v>54</v>
      </c>
      <c r="D1096" s="8" t="str">
        <f>IFERROR(VLOOKUP(C1096,产品数据!$B:$D,2,FALSE),"")</f>
        <v>1kg*6瓶/箱</v>
      </c>
      <c r="E1096" s="6">
        <v>1</v>
      </c>
      <c r="F1096" s="8" t="str">
        <f>IFERROR(VLOOKUP(C1096,产品数据!$B:$D,3,FALSE),"")</f>
        <v>瓶</v>
      </c>
      <c r="G1096" s="6" t="s">
        <v>125</v>
      </c>
    </row>
    <row r="1097" spans="1:7">
      <c r="A1097" s="6"/>
      <c r="B1097" s="5">
        <v>46156</v>
      </c>
      <c r="C1097" s="7" t="s">
        <v>52</v>
      </c>
      <c r="D1097" s="8" t="str">
        <f>IFERROR(VLOOKUP(C1097,产品数据!$B:$D,2,FALSE),"")</f>
        <v>705ml/瓶</v>
      </c>
      <c r="E1097" s="6">
        <v>1</v>
      </c>
      <c r="F1097" s="8" t="str">
        <f>IFERROR(VLOOKUP(C1097,产品数据!$B:$D,3,FALSE),"")</f>
        <v>瓶</v>
      </c>
      <c r="G1097" s="6" t="s">
        <v>125</v>
      </c>
    </row>
    <row r="1098" spans="1:7">
      <c r="A1098" s="6"/>
      <c r="B1098" s="5">
        <v>46156</v>
      </c>
      <c r="C1098" s="7" t="s">
        <v>63</v>
      </c>
      <c r="D1098" s="8" t="str">
        <f>IFERROR(VLOOKUP(C1098,产品数据!$B:$D,2,FALSE),"")</f>
        <v>280g/包</v>
      </c>
      <c r="E1098" s="6">
        <v>5</v>
      </c>
      <c r="F1098" s="8" t="str">
        <f>IFERROR(VLOOKUP(C1098,产品数据!$B:$D,3,FALSE),"")</f>
        <v>包</v>
      </c>
      <c r="G1098" s="6" t="s">
        <v>125</v>
      </c>
    </row>
    <row r="1099" spans="1:7">
      <c r="A1099" s="6"/>
      <c r="B1099" s="5">
        <v>46156</v>
      </c>
      <c r="C1099" s="7" t="s">
        <v>57</v>
      </c>
      <c r="D1099" s="8" t="str">
        <f>IFERROR(VLOOKUP(C1099,产品数据!$B:$D,2,FALSE),"")</f>
        <v>400g*25包/箱</v>
      </c>
      <c r="E1099" s="6">
        <v>2</v>
      </c>
      <c r="F1099" s="8" t="str">
        <f>IFERROR(VLOOKUP(C1099,产品数据!$B:$D,3,FALSE),"")</f>
        <v>包</v>
      </c>
      <c r="G1099" s="6" t="s">
        <v>125</v>
      </c>
    </row>
    <row r="1100" spans="1:7">
      <c r="A1100" s="6"/>
      <c r="B1100" s="5">
        <v>46156</v>
      </c>
      <c r="C1100" s="7" t="s">
        <v>56</v>
      </c>
      <c r="D1100" s="8" t="str">
        <f>IFERROR(VLOOKUP(C1100,产品数据!$B:$D,2,FALSE),"")</f>
        <v>178g*50包/箱</v>
      </c>
      <c r="E1100" s="6">
        <v>5</v>
      </c>
      <c r="F1100" s="8" t="str">
        <f>IFERROR(VLOOKUP(C1100,产品数据!$B:$D,3,FALSE),"")</f>
        <v>包</v>
      </c>
      <c r="G1100" s="6" t="s">
        <v>125</v>
      </c>
    </row>
    <row r="1101" spans="1:7">
      <c r="A1101" s="6"/>
      <c r="B1101" s="5">
        <v>46156</v>
      </c>
      <c r="C1101" s="7" t="s">
        <v>45</v>
      </c>
      <c r="D1101" s="8" t="str">
        <f>IFERROR(VLOOKUP(C1101,产品数据!$B:$D,2,FALSE),"")</f>
        <v>1.9kg/瓶</v>
      </c>
      <c r="E1101" s="6">
        <v>1</v>
      </c>
      <c r="F1101" s="8" t="str">
        <f>IFERROR(VLOOKUP(C1101,产品数据!$B:$D,3,FALSE),"")</f>
        <v>瓶</v>
      </c>
      <c r="G1101" s="6" t="s">
        <v>125</v>
      </c>
    </row>
    <row r="1102" spans="1:7">
      <c r="A1102" s="6"/>
      <c r="B1102" s="5">
        <v>46156</v>
      </c>
      <c r="C1102" s="7" t="s">
        <v>100</v>
      </c>
      <c r="D1102" s="8" t="str">
        <f>IFERROR(VLOOKUP(C1102,产品数据!$B:$D,2,FALSE),"")</f>
        <v>5kg/包</v>
      </c>
      <c r="E1102" s="6">
        <v>5</v>
      </c>
      <c r="F1102" s="8" t="str">
        <f>IFERROR(VLOOKUP(C1102,产品数据!$B:$D,3,FALSE),"")</f>
        <v>包</v>
      </c>
      <c r="G1102" s="6" t="s">
        <v>128</v>
      </c>
    </row>
    <row r="1103" spans="1:7">
      <c r="A1103" s="6"/>
      <c r="B1103" s="5">
        <v>46156</v>
      </c>
      <c r="C1103" s="7" t="s">
        <v>96</v>
      </c>
      <c r="D1103" s="8" t="str">
        <f>IFERROR(VLOOKUP(C1103,产品数据!$B:$D,2,FALSE),"")</f>
        <v>10千克/袋</v>
      </c>
      <c r="E1103" s="6">
        <v>3</v>
      </c>
      <c r="F1103" s="8" t="str">
        <f>IFERROR(VLOOKUP(C1103,产品数据!$B:$D,3,FALSE),"")</f>
        <v>袋</v>
      </c>
      <c r="G1103" s="6" t="s">
        <v>127</v>
      </c>
    </row>
    <row r="1104" spans="1:7">
      <c r="A1104" s="6"/>
      <c r="B1104" s="5">
        <v>46156</v>
      </c>
      <c r="C1104" s="7" t="s">
        <v>47</v>
      </c>
      <c r="D1104" s="8" t="str">
        <f>IFERROR(VLOOKUP(C1104,产品数据!$B:$D,2,FALSE),"")</f>
        <v>500克/瓶*24瓶/箱</v>
      </c>
      <c r="E1104" s="6">
        <v>2</v>
      </c>
      <c r="F1104" s="8" t="str">
        <f>IFERROR(VLOOKUP(C1104,产品数据!$B:$D,3,FALSE),"")</f>
        <v>瓶</v>
      </c>
      <c r="G1104" s="6" t="s">
        <v>127</v>
      </c>
    </row>
    <row r="1105" spans="1:7">
      <c r="A1105" s="6"/>
      <c r="B1105" s="5">
        <v>46156</v>
      </c>
      <c r="C1105" s="7" t="s">
        <v>107</v>
      </c>
      <c r="D1105" s="8" t="str">
        <f>IFERROR(VLOOKUP(C1105,产品数据!$B:$D,2,FALSE),"")</f>
        <v>1.43L/壶*6壶/箱</v>
      </c>
      <c r="E1105" s="6">
        <v>1</v>
      </c>
      <c r="F1105" s="8" t="str">
        <f>IFERROR(VLOOKUP(C1105,产品数据!$B:$D,3,FALSE),"")</f>
        <v>壶</v>
      </c>
      <c r="G1105" s="6" t="s">
        <v>127</v>
      </c>
    </row>
    <row r="1106" spans="1:7">
      <c r="A1106" s="6"/>
      <c r="B1106" s="5">
        <v>46156</v>
      </c>
      <c r="C1106" s="7" t="s">
        <v>56</v>
      </c>
      <c r="D1106" s="8" t="str">
        <f>IFERROR(VLOOKUP(C1106,产品数据!$B:$D,2,FALSE),"")</f>
        <v>178g*50包/箱</v>
      </c>
      <c r="E1106" s="6">
        <v>5</v>
      </c>
      <c r="F1106" s="8" t="str">
        <f>IFERROR(VLOOKUP(C1106,产品数据!$B:$D,3,FALSE),"")</f>
        <v>包</v>
      </c>
      <c r="G1106" s="6" t="s">
        <v>127</v>
      </c>
    </row>
    <row r="1107" spans="1:7">
      <c r="A1107" s="6"/>
      <c r="B1107" s="5">
        <v>46157</v>
      </c>
      <c r="C1107" s="7" t="s">
        <v>41</v>
      </c>
      <c r="D1107" s="8" t="str">
        <f>IFERROR(VLOOKUP(C1107,产品数据!$B:$D,2,FALSE),"")</f>
        <v>5l/*4桶/箱</v>
      </c>
      <c r="E1107" s="6">
        <v>4</v>
      </c>
      <c r="F1107" s="8" t="str">
        <f>IFERROR(VLOOKUP(C1107,产品数据!$B:$D,3,FALSE),"")</f>
        <v>桶</v>
      </c>
      <c r="G1107" s="6" t="s">
        <v>125</v>
      </c>
    </row>
    <row r="1108" spans="1:7">
      <c r="A1108" s="6"/>
      <c r="B1108" s="5">
        <v>46157</v>
      </c>
      <c r="C1108" s="7" t="s">
        <v>44</v>
      </c>
      <c r="D1108" s="8" t="str">
        <f>IFERROR(VLOOKUP(C1108,产品数据!$B:$D,2,FALSE),"")</f>
        <v>1.9升/瓶*6瓶/箱</v>
      </c>
      <c r="E1108" s="6">
        <v>1</v>
      </c>
      <c r="F1108" s="8" t="str">
        <f>IFERROR(VLOOKUP(C1108,产品数据!$B:$D,3,FALSE),"")</f>
        <v>瓶</v>
      </c>
      <c r="G1108" s="6" t="s">
        <v>125</v>
      </c>
    </row>
    <row r="1109" spans="1:7">
      <c r="A1109" s="6"/>
      <c r="B1109" s="5">
        <v>46157</v>
      </c>
      <c r="C1109" s="7" t="s">
        <v>107</v>
      </c>
      <c r="D1109" s="8" t="str">
        <f>IFERROR(VLOOKUP(C1109,产品数据!$B:$D,2,FALSE),"")</f>
        <v>1.43L/壶*6壶/箱</v>
      </c>
      <c r="E1109" s="6">
        <v>2</v>
      </c>
      <c r="F1109" s="8" t="str">
        <f>IFERROR(VLOOKUP(C1109,产品数据!$B:$D,3,FALSE),"")</f>
        <v>壶</v>
      </c>
      <c r="G1109" s="6" t="s">
        <v>125</v>
      </c>
    </row>
    <row r="1110" spans="1:7">
      <c r="A1110" s="6"/>
      <c r="B1110" s="5">
        <v>46157</v>
      </c>
      <c r="C1110" s="7" t="s">
        <v>54</v>
      </c>
      <c r="D1110" s="8" t="str">
        <f>IFERROR(VLOOKUP(C1110,产品数据!$B:$D,2,FALSE),"")</f>
        <v>1kg*6瓶/箱</v>
      </c>
      <c r="E1110" s="6">
        <v>1</v>
      </c>
      <c r="F1110" s="8" t="str">
        <f>IFERROR(VLOOKUP(C1110,产品数据!$B:$D,3,FALSE),"")</f>
        <v>瓶</v>
      </c>
      <c r="G1110" s="6" t="s">
        <v>125</v>
      </c>
    </row>
    <row r="1111" spans="1:7">
      <c r="A1111" s="6"/>
      <c r="B1111" s="5">
        <v>46157</v>
      </c>
      <c r="C1111" s="7" t="s">
        <v>52</v>
      </c>
      <c r="D1111" s="8" t="str">
        <f>IFERROR(VLOOKUP(C1111,产品数据!$B:$D,2,FALSE),"")</f>
        <v>705ml/瓶</v>
      </c>
      <c r="E1111" s="6">
        <v>1</v>
      </c>
      <c r="F1111" s="8" t="str">
        <f>IFERROR(VLOOKUP(C1111,产品数据!$B:$D,3,FALSE),"")</f>
        <v>瓶</v>
      </c>
      <c r="G1111" s="6" t="s">
        <v>125</v>
      </c>
    </row>
    <row r="1112" spans="1:7">
      <c r="A1112" s="6"/>
      <c r="B1112" s="5">
        <v>46157</v>
      </c>
      <c r="C1112" s="7" t="s">
        <v>104</v>
      </c>
      <c r="D1112" s="8" t="str">
        <f>IFERROR(VLOOKUP(C1112,产品数据!$B:$D,2,FALSE),"")</f>
        <v>500ml*6瓶/箱</v>
      </c>
      <c r="E1112" s="6">
        <v>4</v>
      </c>
      <c r="F1112" s="8" t="str">
        <f>IFERROR(VLOOKUP(C1112,产品数据!$B:$D,3,FALSE),"")</f>
        <v>瓶</v>
      </c>
      <c r="G1112" s="6" t="s">
        <v>125</v>
      </c>
    </row>
    <row r="1113" spans="1:7">
      <c r="A1113" s="6"/>
      <c r="B1113" s="5">
        <v>46157</v>
      </c>
      <c r="C1113" s="7" t="s">
        <v>57</v>
      </c>
      <c r="D1113" s="8" t="str">
        <f>IFERROR(VLOOKUP(C1113,产品数据!$B:$D,2,FALSE),"")</f>
        <v>400g*25包/箱</v>
      </c>
      <c r="E1113" s="6">
        <v>2</v>
      </c>
      <c r="F1113" s="8" t="str">
        <f>IFERROR(VLOOKUP(C1113,产品数据!$B:$D,3,FALSE),"")</f>
        <v>包</v>
      </c>
      <c r="G1113" s="6" t="s">
        <v>125</v>
      </c>
    </row>
    <row r="1114" spans="1:7">
      <c r="A1114" s="6"/>
      <c r="B1114" s="5">
        <v>46157</v>
      </c>
      <c r="C1114" s="7" t="s">
        <v>61</v>
      </c>
      <c r="D1114" s="8" t="str">
        <f>IFERROR(VLOOKUP(C1114,产品数据!$B:$D,2,FALSE),"")</f>
        <v>2.5kg/包</v>
      </c>
      <c r="E1114" s="6">
        <v>1</v>
      </c>
      <c r="F1114" s="8" t="str">
        <f>IFERROR(VLOOKUP(C1114,产品数据!$B:$D,3,FALSE),"")</f>
        <v>包</v>
      </c>
      <c r="G1114" s="6" t="s">
        <v>125</v>
      </c>
    </row>
    <row r="1115" spans="1:7">
      <c r="A1115" s="6"/>
      <c r="B1115" s="5">
        <v>46157</v>
      </c>
      <c r="C1115" s="7" t="s">
        <v>63</v>
      </c>
      <c r="D1115" s="8" t="str">
        <f>IFERROR(VLOOKUP(C1115,产品数据!$B:$D,2,FALSE),"")</f>
        <v>280g/包</v>
      </c>
      <c r="E1115" s="6">
        <v>10</v>
      </c>
      <c r="F1115" s="8" t="str">
        <f>IFERROR(VLOOKUP(C1115,产品数据!$B:$D,3,FALSE),"")</f>
        <v>包</v>
      </c>
      <c r="G1115" s="6" t="s">
        <v>125</v>
      </c>
    </row>
    <row r="1116" spans="1:7">
      <c r="A1116" s="6"/>
      <c r="B1116" s="5">
        <v>46157</v>
      </c>
      <c r="C1116" s="7" t="s">
        <v>52</v>
      </c>
      <c r="D1116" s="8" t="str">
        <f>IFERROR(VLOOKUP(C1116,产品数据!$B:$D,2,FALSE),"")</f>
        <v>705ml/瓶</v>
      </c>
      <c r="E1116" s="6">
        <v>1</v>
      </c>
      <c r="F1116" s="8" t="str">
        <f>IFERROR(VLOOKUP(C1116,产品数据!$B:$D,3,FALSE),"")</f>
        <v>瓶</v>
      </c>
      <c r="G1116" s="6" t="s">
        <v>128</v>
      </c>
    </row>
    <row r="1117" spans="1:7">
      <c r="A1117" s="6"/>
      <c r="B1117" s="5">
        <v>46157</v>
      </c>
      <c r="C1117" s="7" t="s">
        <v>56</v>
      </c>
      <c r="D1117" s="8" t="str">
        <f>IFERROR(VLOOKUP(C1117,产品数据!$B:$D,2,FALSE),"")</f>
        <v>178g*50包/箱</v>
      </c>
      <c r="E1117" s="6">
        <v>5</v>
      </c>
      <c r="F1117" s="8" t="str">
        <f>IFERROR(VLOOKUP(C1117,产品数据!$B:$D,3,FALSE),"")</f>
        <v>包</v>
      </c>
      <c r="G1117" s="6" t="s">
        <v>128</v>
      </c>
    </row>
    <row r="1118" spans="1:7">
      <c r="A1118" s="6"/>
      <c r="B1118" s="5">
        <v>46157</v>
      </c>
      <c r="C1118" s="7" t="s">
        <v>96</v>
      </c>
      <c r="D1118" s="8" t="str">
        <f>IFERROR(VLOOKUP(C1118,产品数据!$B:$D,2,FALSE),"")</f>
        <v>10千克/袋</v>
      </c>
      <c r="E1118" s="6">
        <v>4</v>
      </c>
      <c r="F1118" s="8" t="str">
        <f>IFERROR(VLOOKUP(C1118,产品数据!$B:$D,3,FALSE),"")</f>
        <v>袋</v>
      </c>
      <c r="G1118" s="6" t="s">
        <v>127</v>
      </c>
    </row>
    <row r="1119" spans="1:7">
      <c r="A1119" s="6"/>
      <c r="B1119" s="5">
        <v>46160</v>
      </c>
      <c r="C1119" s="7" t="s">
        <v>41</v>
      </c>
      <c r="D1119" s="8" t="str">
        <f>IFERROR(VLOOKUP(C1119,产品数据!$B:$D,2,FALSE),"")</f>
        <v>5l/*4桶/箱</v>
      </c>
      <c r="E1119" s="6">
        <v>4</v>
      </c>
      <c r="F1119" s="8" t="str">
        <f>IFERROR(VLOOKUP(C1119,产品数据!$B:$D,3,FALSE),"")</f>
        <v>桶</v>
      </c>
      <c r="G1119" s="6" t="s">
        <v>125</v>
      </c>
    </row>
    <row r="1120" spans="1:7">
      <c r="A1120" s="6"/>
      <c r="B1120" s="5">
        <v>46160</v>
      </c>
      <c r="C1120" s="7" t="s">
        <v>44</v>
      </c>
      <c r="D1120" s="8" t="str">
        <f>IFERROR(VLOOKUP(C1120,产品数据!$B:$D,2,FALSE),"")</f>
        <v>1.9升/瓶*6瓶/箱</v>
      </c>
      <c r="E1120" s="6">
        <v>1</v>
      </c>
      <c r="F1120" s="8" t="str">
        <f>IFERROR(VLOOKUP(C1120,产品数据!$B:$D,3,FALSE),"")</f>
        <v>瓶</v>
      </c>
      <c r="G1120" s="6" t="s">
        <v>125</v>
      </c>
    </row>
    <row r="1121" spans="1:7">
      <c r="A1121" s="6"/>
      <c r="B1121" s="5">
        <v>46160</v>
      </c>
      <c r="C1121" s="7" t="s">
        <v>111</v>
      </c>
      <c r="D1121" s="8" t="str">
        <f>IFERROR(VLOOKUP(C1121,产品数据!$B:$D,2,FALSE),"")</f>
        <v>1.9升/瓶*6瓶/箱</v>
      </c>
      <c r="E1121" s="6">
        <v>1</v>
      </c>
      <c r="F1121" s="8" t="str">
        <f>IFERROR(VLOOKUP(C1121,产品数据!$B:$D,3,FALSE),"")</f>
        <v>瓶</v>
      </c>
      <c r="G1121" s="6" t="s">
        <v>125</v>
      </c>
    </row>
    <row r="1122" spans="1:7">
      <c r="A1122" s="6"/>
      <c r="B1122" s="5">
        <v>46160</v>
      </c>
      <c r="C1122" s="7" t="s">
        <v>57</v>
      </c>
      <c r="D1122" s="8" t="str">
        <f>IFERROR(VLOOKUP(C1122,产品数据!$B:$D,2,FALSE),"")</f>
        <v>400g*25包/箱</v>
      </c>
      <c r="E1122" s="6">
        <v>2</v>
      </c>
      <c r="F1122" s="8" t="str">
        <f>IFERROR(VLOOKUP(C1122,产品数据!$B:$D,3,FALSE),"")</f>
        <v>包</v>
      </c>
      <c r="G1122" s="6" t="s">
        <v>125</v>
      </c>
    </row>
    <row r="1123" spans="1:7">
      <c r="A1123" s="6"/>
      <c r="B1123" s="5">
        <v>46160</v>
      </c>
      <c r="C1123" s="7" t="s">
        <v>107</v>
      </c>
      <c r="D1123" s="8" t="str">
        <f>IFERROR(VLOOKUP(C1123,产品数据!$B:$D,2,FALSE),"")</f>
        <v>1.43L/壶*6壶/箱</v>
      </c>
      <c r="E1123" s="6">
        <v>2</v>
      </c>
      <c r="F1123" s="8" t="str">
        <f>IFERROR(VLOOKUP(C1123,产品数据!$B:$D,3,FALSE),"")</f>
        <v>壶</v>
      </c>
      <c r="G1123" s="6" t="s">
        <v>125</v>
      </c>
    </row>
    <row r="1124" spans="1:7">
      <c r="A1124" s="6"/>
      <c r="B1124" s="5">
        <v>46160</v>
      </c>
      <c r="C1124" s="7" t="s">
        <v>54</v>
      </c>
      <c r="D1124" s="8" t="str">
        <f>IFERROR(VLOOKUP(C1124,产品数据!$B:$D,2,FALSE),"")</f>
        <v>1kg*6瓶/箱</v>
      </c>
      <c r="E1124" s="6">
        <v>1</v>
      </c>
      <c r="F1124" s="8" t="str">
        <f>IFERROR(VLOOKUP(C1124,产品数据!$B:$D,3,FALSE),"")</f>
        <v>瓶</v>
      </c>
      <c r="G1124" s="6" t="s">
        <v>125</v>
      </c>
    </row>
    <row r="1125" spans="1:7">
      <c r="A1125" s="6"/>
      <c r="B1125" s="5">
        <v>46160</v>
      </c>
      <c r="C1125" s="7" t="s">
        <v>109</v>
      </c>
      <c r="D1125" s="8" t="str">
        <f>IFERROR(VLOOKUP(C1125,产品数据!$B:$D,2,FALSE),"")</f>
        <v>1L/瓶*12瓶/箱</v>
      </c>
      <c r="E1125" s="6">
        <v>1</v>
      </c>
      <c r="F1125" s="8" t="str">
        <f>IFERROR(VLOOKUP(C1125,产品数据!$B:$D,3,FALSE),"")</f>
        <v>瓶</v>
      </c>
      <c r="G1125" s="6" t="s">
        <v>125</v>
      </c>
    </row>
    <row r="1126" spans="1:7">
      <c r="A1126" s="6"/>
      <c r="B1126" s="5">
        <v>46160</v>
      </c>
      <c r="C1126" s="7" t="s">
        <v>104</v>
      </c>
      <c r="D1126" s="8" t="str">
        <f>IFERROR(VLOOKUP(C1126,产品数据!$B:$D,2,FALSE),"")</f>
        <v>500ml*6瓶/箱</v>
      </c>
      <c r="E1126" s="6">
        <v>4</v>
      </c>
      <c r="F1126" s="8" t="str">
        <f>IFERROR(VLOOKUP(C1126,产品数据!$B:$D,3,FALSE),"")</f>
        <v>瓶</v>
      </c>
      <c r="G1126" s="6" t="s">
        <v>125</v>
      </c>
    </row>
    <row r="1127" spans="1:7">
      <c r="A1127" s="6"/>
      <c r="B1127" s="5">
        <v>46160</v>
      </c>
      <c r="C1127" s="7" t="s">
        <v>45</v>
      </c>
      <c r="D1127" s="8" t="str">
        <f>IFERROR(VLOOKUP(C1127,产品数据!$B:$D,2,FALSE),"")</f>
        <v>1.9kg/瓶</v>
      </c>
      <c r="E1127" s="6">
        <v>1</v>
      </c>
      <c r="F1127" s="8" t="str">
        <f>IFERROR(VLOOKUP(C1127,产品数据!$B:$D,3,FALSE),"")</f>
        <v>瓶</v>
      </c>
      <c r="G1127" s="6" t="s">
        <v>125</v>
      </c>
    </row>
    <row r="1128" spans="1:7">
      <c r="A1128" s="6"/>
      <c r="B1128" s="5">
        <v>46160</v>
      </c>
      <c r="C1128" s="7" t="s">
        <v>98</v>
      </c>
      <c r="D1128" s="8" t="str">
        <f>IFERROR(VLOOKUP(C1128,产品数据!$B:$D,2,FALSE),"")</f>
        <v>360g/包</v>
      </c>
      <c r="E1128" s="6">
        <v>2</v>
      </c>
      <c r="F1128" s="8" t="str">
        <f>IFERROR(VLOOKUP(C1128,产品数据!$B:$D,3,FALSE),"")</f>
        <v>包</v>
      </c>
      <c r="G1128" s="6" t="s">
        <v>125</v>
      </c>
    </row>
    <row r="1129" spans="1:7">
      <c r="A1129" s="6"/>
      <c r="B1129" s="5">
        <v>46160</v>
      </c>
      <c r="C1129" s="7" t="s">
        <v>63</v>
      </c>
      <c r="D1129" s="8" t="str">
        <f>IFERROR(VLOOKUP(C1129,产品数据!$B:$D,2,FALSE),"")</f>
        <v>280g/包</v>
      </c>
      <c r="E1129" s="6">
        <v>10</v>
      </c>
      <c r="F1129" s="8" t="str">
        <f>IFERROR(VLOOKUP(C1129,产品数据!$B:$D,3,FALSE),"")</f>
        <v>包</v>
      </c>
      <c r="G1129" s="6" t="s">
        <v>125</v>
      </c>
    </row>
    <row r="1130" spans="1:7">
      <c r="A1130" s="6"/>
      <c r="B1130" s="5">
        <v>46160</v>
      </c>
      <c r="C1130" s="7" t="s">
        <v>56</v>
      </c>
      <c r="D1130" s="8" t="str">
        <f>IFERROR(VLOOKUP(C1130,产品数据!$B:$D,2,FALSE),"")</f>
        <v>178g*50包/箱</v>
      </c>
      <c r="E1130" s="6">
        <v>6</v>
      </c>
      <c r="F1130" s="8" t="str">
        <f>IFERROR(VLOOKUP(C1130,产品数据!$B:$D,3,FALSE),"")</f>
        <v>包</v>
      </c>
      <c r="G1130" s="6" t="s">
        <v>125</v>
      </c>
    </row>
    <row r="1131" spans="1:7">
      <c r="A1131" s="6"/>
      <c r="B1131" s="5">
        <v>46160</v>
      </c>
      <c r="C1131" s="7" t="s">
        <v>112</v>
      </c>
      <c r="D1131" s="8" t="str">
        <f>IFERROR(VLOOKUP(C1131,产品数据!$B:$D,2,FALSE),"")</f>
        <v>250g/包</v>
      </c>
      <c r="E1131" s="6">
        <v>1</v>
      </c>
      <c r="F1131" s="8" t="str">
        <f>IFERROR(VLOOKUP(C1131,产品数据!$B:$D,3,FALSE),"")</f>
        <v>包</v>
      </c>
      <c r="G1131" s="6" t="s">
        <v>125</v>
      </c>
    </row>
    <row r="1132" spans="1:7">
      <c r="A1132" s="6"/>
      <c r="B1132" s="5">
        <v>46160</v>
      </c>
      <c r="C1132" s="7" t="s">
        <v>100</v>
      </c>
      <c r="D1132" s="8" t="str">
        <f>IFERROR(VLOOKUP(C1132,产品数据!$B:$D,2,FALSE),"")</f>
        <v>5kg/包</v>
      </c>
      <c r="E1132" s="6">
        <v>5</v>
      </c>
      <c r="F1132" s="8" t="str">
        <f>IFERROR(VLOOKUP(C1132,产品数据!$B:$D,3,FALSE),"")</f>
        <v>包</v>
      </c>
      <c r="G1132" s="6" t="s">
        <v>128</v>
      </c>
    </row>
    <row r="1133" spans="1:7">
      <c r="A1133" s="6"/>
      <c r="B1133" s="5">
        <v>46160</v>
      </c>
      <c r="C1133" s="7" t="s">
        <v>54</v>
      </c>
      <c r="D1133" s="8" t="str">
        <f>IFERROR(VLOOKUP(C1133,产品数据!$B:$D,2,FALSE),"")</f>
        <v>1kg*6瓶/箱</v>
      </c>
      <c r="E1133" s="6">
        <v>1</v>
      </c>
      <c r="F1133" s="8" t="str">
        <f>IFERROR(VLOOKUP(C1133,产品数据!$B:$D,3,FALSE),"")</f>
        <v>瓶</v>
      </c>
      <c r="G1133" s="6" t="s">
        <v>128</v>
      </c>
    </row>
    <row r="1134" spans="1:7">
      <c r="A1134" s="6"/>
      <c r="B1134" s="5">
        <v>46160</v>
      </c>
      <c r="C1134" s="7" t="s">
        <v>57</v>
      </c>
      <c r="D1134" s="8" t="str">
        <f>IFERROR(VLOOKUP(C1134,产品数据!$B:$D,2,FALSE),"")</f>
        <v>400g*25包/箱</v>
      </c>
      <c r="E1134" s="6">
        <v>1</v>
      </c>
      <c r="F1134" s="8" t="str">
        <f>IFERROR(VLOOKUP(C1134,产品数据!$B:$D,3,FALSE),"")</f>
        <v>包</v>
      </c>
      <c r="G1134" s="6" t="s">
        <v>128</v>
      </c>
    </row>
    <row r="1135" spans="1:7">
      <c r="A1135" s="6"/>
      <c r="B1135" s="5">
        <v>46160</v>
      </c>
      <c r="C1135" s="7" t="s">
        <v>63</v>
      </c>
      <c r="D1135" s="8" t="str">
        <f>IFERROR(VLOOKUP(C1135,产品数据!$B:$D,2,FALSE),"")</f>
        <v>280g/包</v>
      </c>
      <c r="E1135" s="6">
        <v>2</v>
      </c>
      <c r="F1135" s="8" t="str">
        <f>IFERROR(VLOOKUP(C1135,产品数据!$B:$D,3,FALSE),"")</f>
        <v>包</v>
      </c>
      <c r="G1135" s="6" t="s">
        <v>128</v>
      </c>
    </row>
    <row r="1136" spans="1:7">
      <c r="A1136" s="6"/>
      <c r="B1136" s="5">
        <v>46160</v>
      </c>
      <c r="C1136" s="7" t="s">
        <v>96</v>
      </c>
      <c r="D1136" s="8" t="str">
        <f>IFERROR(VLOOKUP(C1136,产品数据!$B:$D,2,FALSE),"")</f>
        <v>10千克/袋</v>
      </c>
      <c r="E1136" s="6">
        <v>4</v>
      </c>
      <c r="F1136" s="8" t="str">
        <f>IFERROR(VLOOKUP(C1136,产品数据!$B:$D,3,FALSE),"")</f>
        <v>袋</v>
      </c>
      <c r="G1136" s="6" t="s">
        <v>127</v>
      </c>
    </row>
    <row r="1137" spans="1:7">
      <c r="A1137" s="6"/>
      <c r="B1137" s="5">
        <v>46161</v>
      </c>
      <c r="C1137" s="7" t="s">
        <v>41</v>
      </c>
      <c r="D1137" s="8" t="str">
        <f>IFERROR(VLOOKUP(C1137,产品数据!$B:$D,2,FALSE),"")</f>
        <v>5l/*4桶/箱</v>
      </c>
      <c r="E1137" s="6">
        <v>4</v>
      </c>
      <c r="F1137" s="8" t="str">
        <f>IFERROR(VLOOKUP(C1137,产品数据!$B:$D,3,FALSE),"")</f>
        <v>桶</v>
      </c>
      <c r="G1137" s="6" t="s">
        <v>125</v>
      </c>
    </row>
    <row r="1138" spans="1:7">
      <c r="A1138" s="6"/>
      <c r="B1138" s="5">
        <v>46161</v>
      </c>
      <c r="C1138" s="7" t="s">
        <v>44</v>
      </c>
      <c r="D1138" s="8" t="str">
        <f>IFERROR(VLOOKUP(C1138,产品数据!$B:$D,2,FALSE),"")</f>
        <v>1.9升/瓶*6瓶/箱</v>
      </c>
      <c r="E1138" s="6">
        <v>1</v>
      </c>
      <c r="F1138" s="8" t="str">
        <f>IFERROR(VLOOKUP(C1138,产品数据!$B:$D,3,FALSE),"")</f>
        <v>瓶</v>
      </c>
      <c r="G1138" s="6" t="s">
        <v>125</v>
      </c>
    </row>
    <row r="1139" spans="1:7">
      <c r="A1139" s="6"/>
      <c r="B1139" s="5">
        <v>46161</v>
      </c>
      <c r="C1139" s="7" t="s">
        <v>107</v>
      </c>
      <c r="D1139" s="8" t="str">
        <f>IFERROR(VLOOKUP(C1139,产品数据!$B:$D,2,FALSE),"")</f>
        <v>1.43L/壶*6壶/箱</v>
      </c>
      <c r="E1139" s="6">
        <v>1</v>
      </c>
      <c r="F1139" s="8" t="str">
        <f>IFERROR(VLOOKUP(C1139,产品数据!$B:$D,3,FALSE),"")</f>
        <v>壶</v>
      </c>
      <c r="G1139" s="6" t="s">
        <v>125</v>
      </c>
    </row>
    <row r="1140" spans="1:7">
      <c r="A1140" s="6"/>
      <c r="B1140" s="5">
        <v>46161</v>
      </c>
      <c r="C1140" s="7" t="s">
        <v>54</v>
      </c>
      <c r="D1140" s="8" t="str">
        <f>IFERROR(VLOOKUP(C1140,产品数据!$B:$D,2,FALSE),"")</f>
        <v>1kg*6瓶/箱</v>
      </c>
      <c r="E1140" s="6">
        <v>1</v>
      </c>
      <c r="F1140" s="8" t="str">
        <f>IFERROR(VLOOKUP(C1140,产品数据!$B:$D,3,FALSE),"")</f>
        <v>瓶</v>
      </c>
      <c r="G1140" s="6" t="s">
        <v>125</v>
      </c>
    </row>
    <row r="1141" spans="1:7">
      <c r="A1141" s="6"/>
      <c r="B1141" s="5">
        <v>46161</v>
      </c>
      <c r="C1141" s="7" t="s">
        <v>109</v>
      </c>
      <c r="D1141" s="8" t="str">
        <f>IFERROR(VLOOKUP(C1141,产品数据!$B:$D,2,FALSE),"")</f>
        <v>1L/瓶*12瓶/箱</v>
      </c>
      <c r="E1141" s="6">
        <v>1</v>
      </c>
      <c r="F1141" s="8" t="str">
        <f>IFERROR(VLOOKUP(C1141,产品数据!$B:$D,3,FALSE),"")</f>
        <v>瓶</v>
      </c>
      <c r="G1141" s="6" t="s">
        <v>125</v>
      </c>
    </row>
    <row r="1142" spans="1:7">
      <c r="A1142" s="6"/>
      <c r="B1142" s="5">
        <v>46161</v>
      </c>
      <c r="C1142" s="7" t="s">
        <v>104</v>
      </c>
      <c r="D1142" s="8" t="str">
        <f>IFERROR(VLOOKUP(C1142,产品数据!$B:$D,2,FALSE),"")</f>
        <v>500ml*6瓶/箱</v>
      </c>
      <c r="E1142" s="6">
        <v>4</v>
      </c>
      <c r="F1142" s="8" t="str">
        <f>IFERROR(VLOOKUP(C1142,产品数据!$B:$D,3,FALSE),"")</f>
        <v>瓶</v>
      </c>
      <c r="G1142" s="6" t="s">
        <v>125</v>
      </c>
    </row>
    <row r="1143" spans="1:7">
      <c r="A1143" s="6"/>
      <c r="B1143" s="5">
        <v>46161</v>
      </c>
      <c r="C1143" s="7" t="s">
        <v>48</v>
      </c>
      <c r="D1143" s="8" t="str">
        <f>IFERROR(VLOOKUP(C1143,产品数据!$B:$D,2,FALSE),"")</f>
        <v>500克/瓶*24瓶/箱</v>
      </c>
      <c r="E1143" s="6">
        <v>1</v>
      </c>
      <c r="F1143" s="8" t="str">
        <f>IFERROR(VLOOKUP(C1143,产品数据!$B:$D,3,FALSE),"")</f>
        <v>瓶</v>
      </c>
      <c r="G1143" s="6" t="s">
        <v>125</v>
      </c>
    </row>
    <row r="1144" spans="1:7">
      <c r="A1144" s="6"/>
      <c r="B1144" s="5">
        <v>46161</v>
      </c>
      <c r="C1144" s="7" t="s">
        <v>63</v>
      </c>
      <c r="D1144" s="8" t="str">
        <f>IFERROR(VLOOKUP(C1144,产品数据!$B:$D,2,FALSE),"")</f>
        <v>280g/包</v>
      </c>
      <c r="E1144" s="6">
        <v>8</v>
      </c>
      <c r="F1144" s="8" t="str">
        <f>IFERROR(VLOOKUP(C1144,产品数据!$B:$D,3,FALSE),"")</f>
        <v>包</v>
      </c>
      <c r="G1144" s="6" t="s">
        <v>125</v>
      </c>
    </row>
    <row r="1145" spans="1:7">
      <c r="A1145" s="6"/>
      <c r="B1145" s="5">
        <v>46161</v>
      </c>
      <c r="C1145" s="7" t="s">
        <v>58</v>
      </c>
      <c r="D1145" s="8" t="str">
        <f>IFERROR(VLOOKUP(C1145,产品数据!$B:$D,2,FALSE),"")</f>
        <v>200克/包</v>
      </c>
      <c r="E1145" s="6">
        <v>2</v>
      </c>
      <c r="F1145" s="8" t="str">
        <f>IFERROR(VLOOKUP(C1145,产品数据!$B:$D,3,FALSE),"")</f>
        <v>包</v>
      </c>
      <c r="G1145" s="6" t="s">
        <v>125</v>
      </c>
    </row>
    <row r="1146" spans="1:7">
      <c r="A1146" s="6"/>
      <c r="B1146" s="5">
        <v>46161</v>
      </c>
      <c r="C1146" s="7" t="s">
        <v>57</v>
      </c>
      <c r="D1146" s="8" t="str">
        <f>IFERROR(VLOOKUP(C1146,产品数据!$B:$D,2,FALSE),"")</f>
        <v>400g*25包/箱</v>
      </c>
      <c r="E1146" s="6">
        <v>2</v>
      </c>
      <c r="F1146" s="8" t="str">
        <f>IFERROR(VLOOKUP(C1146,产品数据!$B:$D,3,FALSE),"")</f>
        <v>包</v>
      </c>
      <c r="G1146" s="6" t="s">
        <v>125</v>
      </c>
    </row>
    <row r="1147" spans="1:7">
      <c r="A1147" s="6"/>
      <c r="B1147" s="5">
        <v>46161</v>
      </c>
      <c r="C1147" s="7" t="s">
        <v>96</v>
      </c>
      <c r="D1147" s="8" t="str">
        <f>IFERROR(VLOOKUP(C1147,产品数据!$B:$D,2,FALSE),"")</f>
        <v>10千克/袋</v>
      </c>
      <c r="E1147" s="6">
        <v>3</v>
      </c>
      <c r="F1147" s="8" t="str">
        <f>IFERROR(VLOOKUP(C1147,产品数据!$B:$D,3,FALSE),"")</f>
        <v>袋</v>
      </c>
      <c r="G1147" s="6" t="s">
        <v>127</v>
      </c>
    </row>
    <row r="1148" spans="1:7">
      <c r="A1148" s="6"/>
      <c r="B1148" s="5">
        <v>46161</v>
      </c>
      <c r="C1148" s="7" t="s">
        <v>100</v>
      </c>
      <c r="D1148" s="8" t="str">
        <f>IFERROR(VLOOKUP(C1148,产品数据!$B:$D,2,FALSE),"")</f>
        <v>5kg/包</v>
      </c>
      <c r="E1148" s="6">
        <v>5</v>
      </c>
      <c r="F1148" s="8" t="str">
        <f>IFERROR(VLOOKUP(C1148,产品数据!$B:$D,3,FALSE),"")</f>
        <v>包</v>
      </c>
      <c r="G1148" s="6" t="s">
        <v>128</v>
      </c>
    </row>
    <row r="1149" spans="1:7">
      <c r="A1149" s="6"/>
      <c r="B1149" s="5">
        <v>46162</v>
      </c>
      <c r="C1149" s="7" t="s">
        <v>41</v>
      </c>
      <c r="D1149" s="8" t="str">
        <f>IFERROR(VLOOKUP(C1149,产品数据!$B:$D,2,FALSE),"")</f>
        <v>5l/*4桶/箱</v>
      </c>
      <c r="E1149" s="6">
        <v>4</v>
      </c>
      <c r="F1149" s="8" t="str">
        <f>IFERROR(VLOOKUP(C1149,产品数据!$B:$D,3,FALSE),"")</f>
        <v>桶</v>
      </c>
      <c r="G1149" s="6" t="s">
        <v>125</v>
      </c>
    </row>
    <row r="1150" spans="1:7">
      <c r="A1150" s="6"/>
      <c r="B1150" s="5">
        <v>46162</v>
      </c>
      <c r="C1150" s="7" t="s">
        <v>44</v>
      </c>
      <c r="D1150" s="8" t="str">
        <f>IFERROR(VLOOKUP(C1150,产品数据!$B:$D,2,FALSE),"")</f>
        <v>1.9升/瓶*6瓶/箱</v>
      </c>
      <c r="E1150" s="6">
        <v>1</v>
      </c>
      <c r="F1150" s="8" t="str">
        <f>IFERROR(VLOOKUP(C1150,产品数据!$B:$D,3,FALSE),"")</f>
        <v>瓶</v>
      </c>
      <c r="G1150" s="6" t="s">
        <v>125</v>
      </c>
    </row>
    <row r="1151" spans="1:7">
      <c r="A1151" s="6"/>
      <c r="B1151" s="5">
        <v>46162</v>
      </c>
      <c r="C1151" s="7" t="s">
        <v>107</v>
      </c>
      <c r="D1151" s="8" t="str">
        <f>IFERROR(VLOOKUP(C1151,产品数据!$B:$D,2,FALSE),"")</f>
        <v>1.43L/壶*6壶/箱</v>
      </c>
      <c r="E1151" s="6">
        <v>1</v>
      </c>
      <c r="F1151" s="8" t="str">
        <f>IFERROR(VLOOKUP(C1151,产品数据!$B:$D,3,FALSE),"")</f>
        <v>壶</v>
      </c>
      <c r="G1151" s="6" t="s">
        <v>125</v>
      </c>
    </row>
    <row r="1152" spans="1:7">
      <c r="A1152" s="6"/>
      <c r="B1152" s="5">
        <v>46162</v>
      </c>
      <c r="C1152" s="7" t="s">
        <v>54</v>
      </c>
      <c r="D1152" s="8" t="str">
        <f>IFERROR(VLOOKUP(C1152,产品数据!$B:$D,2,FALSE),"")</f>
        <v>1kg*6瓶/箱</v>
      </c>
      <c r="E1152" s="6">
        <v>1</v>
      </c>
      <c r="F1152" s="8" t="str">
        <f>IFERROR(VLOOKUP(C1152,产品数据!$B:$D,3,FALSE),"")</f>
        <v>瓶</v>
      </c>
      <c r="G1152" s="6" t="s">
        <v>125</v>
      </c>
    </row>
    <row r="1153" spans="1:7">
      <c r="A1153" s="6"/>
      <c r="B1153" s="5">
        <v>46162</v>
      </c>
      <c r="C1153" s="7" t="s">
        <v>109</v>
      </c>
      <c r="D1153" s="8" t="str">
        <f>IFERROR(VLOOKUP(C1153,产品数据!$B:$D,2,FALSE),"")</f>
        <v>1L/瓶*12瓶/箱</v>
      </c>
      <c r="E1153" s="6">
        <v>1</v>
      </c>
      <c r="F1153" s="8" t="str">
        <f>IFERROR(VLOOKUP(C1153,产品数据!$B:$D,3,FALSE),"")</f>
        <v>瓶</v>
      </c>
      <c r="G1153" s="6" t="s">
        <v>125</v>
      </c>
    </row>
    <row r="1154" spans="1:7">
      <c r="A1154" s="6"/>
      <c r="B1154" s="5">
        <v>46162</v>
      </c>
      <c r="C1154" s="7" t="s">
        <v>57</v>
      </c>
      <c r="D1154" s="8" t="str">
        <f>IFERROR(VLOOKUP(C1154,产品数据!$B:$D,2,FALSE),"")</f>
        <v>400g*25包/箱</v>
      </c>
      <c r="E1154" s="6">
        <v>2</v>
      </c>
      <c r="F1154" s="8" t="str">
        <f>IFERROR(VLOOKUP(C1154,产品数据!$B:$D,3,FALSE),"")</f>
        <v>包</v>
      </c>
      <c r="G1154" s="6" t="s">
        <v>125</v>
      </c>
    </row>
    <row r="1155" spans="1:7">
      <c r="A1155" s="6"/>
      <c r="B1155" s="5">
        <v>46162</v>
      </c>
      <c r="C1155" s="7" t="s">
        <v>104</v>
      </c>
      <c r="D1155" s="8" t="str">
        <f>IFERROR(VLOOKUP(C1155,产品数据!$B:$D,2,FALSE),"")</f>
        <v>500ml*6瓶/箱</v>
      </c>
      <c r="E1155" s="6">
        <v>4</v>
      </c>
      <c r="F1155" s="8" t="str">
        <f>IFERROR(VLOOKUP(C1155,产品数据!$B:$D,3,FALSE),"")</f>
        <v>瓶</v>
      </c>
      <c r="G1155" s="6" t="s">
        <v>125</v>
      </c>
    </row>
    <row r="1156" spans="1:7">
      <c r="A1156" s="6"/>
      <c r="B1156" s="5">
        <v>46162</v>
      </c>
      <c r="C1156" s="7" t="s">
        <v>63</v>
      </c>
      <c r="D1156" s="8" t="str">
        <f>IFERROR(VLOOKUP(C1156,产品数据!$B:$D,2,FALSE),"")</f>
        <v>280g/包</v>
      </c>
      <c r="E1156" s="6">
        <v>10</v>
      </c>
      <c r="F1156" s="8" t="str">
        <f>IFERROR(VLOOKUP(C1156,产品数据!$B:$D,3,FALSE),"")</f>
        <v>包</v>
      </c>
      <c r="G1156" s="6" t="s">
        <v>125</v>
      </c>
    </row>
    <row r="1157" spans="1:7">
      <c r="A1157" s="6"/>
      <c r="B1157" s="5">
        <v>46162</v>
      </c>
      <c r="C1157" s="7" t="s">
        <v>61</v>
      </c>
      <c r="D1157" s="8" t="str">
        <f>IFERROR(VLOOKUP(C1157,产品数据!$B:$D,2,FALSE),"")</f>
        <v>2.5kg/包</v>
      </c>
      <c r="E1157" s="6">
        <v>1</v>
      </c>
      <c r="F1157" s="8" t="str">
        <f>IFERROR(VLOOKUP(C1157,产品数据!$B:$D,3,FALSE),"")</f>
        <v>包</v>
      </c>
      <c r="G1157" s="6" t="s">
        <v>125</v>
      </c>
    </row>
    <row r="1158" spans="1:7">
      <c r="A1158" s="6"/>
      <c r="B1158" s="5">
        <v>46162</v>
      </c>
      <c r="C1158" s="7" t="s">
        <v>100</v>
      </c>
      <c r="D1158" s="8" t="str">
        <f>IFERROR(VLOOKUP(C1158,产品数据!$B:$D,2,FALSE),"")</f>
        <v>5kg/包</v>
      </c>
      <c r="E1158" s="6">
        <v>5</v>
      </c>
      <c r="F1158" s="8" t="str">
        <f>IFERROR(VLOOKUP(C1158,产品数据!$B:$D,3,FALSE),"")</f>
        <v>包</v>
      </c>
      <c r="G1158" s="6" t="s">
        <v>128</v>
      </c>
    </row>
    <row r="1159" spans="1:7">
      <c r="A1159" s="6"/>
      <c r="B1159" s="5">
        <v>46162</v>
      </c>
      <c r="C1159" s="7" t="s">
        <v>96</v>
      </c>
      <c r="D1159" s="8" t="str">
        <f>IFERROR(VLOOKUP(C1159,产品数据!$B:$D,2,FALSE),"")</f>
        <v>10千克/袋</v>
      </c>
      <c r="E1159" s="6">
        <v>4</v>
      </c>
      <c r="F1159" s="8" t="str">
        <f>IFERROR(VLOOKUP(C1159,产品数据!$B:$D,3,FALSE),"")</f>
        <v>袋</v>
      </c>
      <c r="G1159" s="6" t="s">
        <v>127</v>
      </c>
    </row>
    <row r="1160" spans="1:7">
      <c r="A1160" s="6"/>
      <c r="B1160" s="5">
        <v>46163</v>
      </c>
      <c r="C1160" s="7" t="s">
        <v>41</v>
      </c>
      <c r="D1160" s="8" t="str">
        <f>IFERROR(VLOOKUP(C1160,产品数据!$B:$D,2,FALSE),"")</f>
        <v>5l/*4桶/箱</v>
      </c>
      <c r="E1160" s="6">
        <v>4</v>
      </c>
      <c r="F1160" s="8" t="str">
        <f>IFERROR(VLOOKUP(C1160,产品数据!$B:$D,3,FALSE),"")</f>
        <v>桶</v>
      </c>
      <c r="G1160" s="6" t="s">
        <v>125</v>
      </c>
    </row>
    <row r="1161" spans="1:7">
      <c r="A1161" s="6"/>
      <c r="B1161" s="5">
        <v>46163</v>
      </c>
      <c r="C1161" s="7" t="s">
        <v>107</v>
      </c>
      <c r="D1161" s="8" t="str">
        <f>IFERROR(VLOOKUP(C1161,产品数据!$B:$D,2,FALSE),"")</f>
        <v>1.43L/壶*6壶/箱</v>
      </c>
      <c r="E1161" s="6">
        <v>2</v>
      </c>
      <c r="F1161" s="8" t="str">
        <f>IFERROR(VLOOKUP(C1161,产品数据!$B:$D,3,FALSE),"")</f>
        <v>壶</v>
      </c>
      <c r="G1161" s="6" t="s">
        <v>125</v>
      </c>
    </row>
    <row r="1162" spans="1:7">
      <c r="A1162" s="6"/>
      <c r="B1162" s="5">
        <v>46163</v>
      </c>
      <c r="C1162" s="7" t="s">
        <v>54</v>
      </c>
      <c r="D1162" s="8" t="str">
        <f>IFERROR(VLOOKUP(C1162,产品数据!$B:$D,2,FALSE),"")</f>
        <v>1kg*6瓶/箱</v>
      </c>
      <c r="E1162" s="6">
        <v>1</v>
      </c>
      <c r="F1162" s="8" t="str">
        <f>IFERROR(VLOOKUP(C1162,产品数据!$B:$D,3,FALSE),"")</f>
        <v>瓶</v>
      </c>
      <c r="G1162" s="6" t="s">
        <v>125</v>
      </c>
    </row>
    <row r="1163" spans="1:7">
      <c r="A1163" s="6"/>
      <c r="B1163" s="5">
        <v>46163</v>
      </c>
      <c r="C1163" s="7" t="s">
        <v>109</v>
      </c>
      <c r="D1163" s="8" t="str">
        <f>IFERROR(VLOOKUP(C1163,产品数据!$B:$D,2,FALSE),"")</f>
        <v>1L/瓶*12瓶/箱</v>
      </c>
      <c r="E1163" s="6">
        <v>1</v>
      </c>
      <c r="F1163" s="8" t="str">
        <f>IFERROR(VLOOKUP(C1163,产品数据!$B:$D,3,FALSE),"")</f>
        <v>瓶</v>
      </c>
      <c r="G1163" s="6" t="s">
        <v>125</v>
      </c>
    </row>
    <row r="1164" spans="1:7">
      <c r="A1164" s="6"/>
      <c r="B1164" s="5">
        <v>46163</v>
      </c>
      <c r="C1164" s="7" t="s">
        <v>57</v>
      </c>
      <c r="D1164" s="8" t="str">
        <f>IFERROR(VLOOKUP(C1164,产品数据!$B:$D,2,FALSE),"")</f>
        <v>400g*25包/箱</v>
      </c>
      <c r="E1164" s="6">
        <v>2</v>
      </c>
      <c r="F1164" s="8" t="str">
        <f>IFERROR(VLOOKUP(C1164,产品数据!$B:$D,3,FALSE),"")</f>
        <v>包</v>
      </c>
      <c r="G1164" s="6" t="s">
        <v>125</v>
      </c>
    </row>
    <row r="1165" spans="1:7">
      <c r="A1165" s="6"/>
      <c r="B1165" s="5">
        <v>46163</v>
      </c>
      <c r="C1165" s="7" t="s">
        <v>104</v>
      </c>
      <c r="D1165" s="8" t="str">
        <f>IFERROR(VLOOKUP(C1165,产品数据!$B:$D,2,FALSE),"")</f>
        <v>500ml*6瓶/箱</v>
      </c>
      <c r="E1165" s="6">
        <v>4</v>
      </c>
      <c r="F1165" s="8" t="str">
        <f>IFERROR(VLOOKUP(C1165,产品数据!$B:$D,3,FALSE),"")</f>
        <v>瓶</v>
      </c>
      <c r="G1165" s="6" t="s">
        <v>125</v>
      </c>
    </row>
    <row r="1166" spans="1:7">
      <c r="A1166" s="6"/>
      <c r="B1166" s="5">
        <v>46163</v>
      </c>
      <c r="C1166" s="7" t="s">
        <v>41</v>
      </c>
      <c r="D1166" s="8" t="str">
        <f>IFERROR(VLOOKUP(C1166,产品数据!$B:$D,2,FALSE),"")</f>
        <v>5l/*4桶/箱</v>
      </c>
      <c r="E1166" s="6">
        <v>1</v>
      </c>
      <c r="F1166" s="8" t="str">
        <f>IFERROR(VLOOKUP(C1166,产品数据!$B:$D,3,FALSE),"")</f>
        <v>桶</v>
      </c>
      <c r="G1166" s="6" t="s">
        <v>126</v>
      </c>
    </row>
    <row r="1167" spans="1:7">
      <c r="A1167" s="6"/>
      <c r="B1167" s="5">
        <v>46163</v>
      </c>
      <c r="C1167" s="7" t="s">
        <v>57</v>
      </c>
      <c r="D1167" s="8" t="str">
        <f>IFERROR(VLOOKUP(C1167,产品数据!$B:$D,2,FALSE),"")</f>
        <v>400g*25包/箱</v>
      </c>
      <c r="E1167" s="6">
        <v>2</v>
      </c>
      <c r="F1167" s="8" t="str">
        <f>IFERROR(VLOOKUP(C1167,产品数据!$B:$D,3,FALSE),"")</f>
        <v>包</v>
      </c>
      <c r="G1167" s="6" t="s">
        <v>126</v>
      </c>
    </row>
    <row r="1168" spans="1:7">
      <c r="A1168" s="6"/>
      <c r="B1168" s="5">
        <v>46163</v>
      </c>
      <c r="C1168" s="7" t="s">
        <v>104</v>
      </c>
      <c r="D1168" s="8" t="str">
        <f>IFERROR(VLOOKUP(C1168,产品数据!$B:$D,2,FALSE),"")</f>
        <v>500ml*6瓶/箱</v>
      </c>
      <c r="E1168" s="6">
        <v>2</v>
      </c>
      <c r="F1168" s="8" t="str">
        <f>IFERROR(VLOOKUP(C1168,产品数据!$B:$D,3,FALSE),"")</f>
        <v>瓶</v>
      </c>
      <c r="G1168" s="6" t="s">
        <v>126</v>
      </c>
    </row>
    <row r="1169" spans="1:7">
      <c r="A1169" s="6"/>
      <c r="B1169" s="5">
        <v>46163</v>
      </c>
      <c r="C1169" s="7" t="s">
        <v>63</v>
      </c>
      <c r="D1169" s="8" t="str">
        <f>IFERROR(VLOOKUP(C1169,产品数据!$B:$D,2,FALSE),"")</f>
        <v>280g/包</v>
      </c>
      <c r="E1169" s="6">
        <v>2</v>
      </c>
      <c r="F1169" s="8" t="str">
        <f>IFERROR(VLOOKUP(C1169,产品数据!$B:$D,3,FALSE),"")</f>
        <v>包</v>
      </c>
      <c r="G1169" s="6" t="s">
        <v>126</v>
      </c>
    </row>
    <row r="1170" spans="1:7">
      <c r="A1170" s="6"/>
      <c r="B1170" s="5">
        <v>46163</v>
      </c>
      <c r="C1170" s="7" t="s">
        <v>41</v>
      </c>
      <c r="D1170" s="8" t="str">
        <f>IFERROR(VLOOKUP(C1170,产品数据!$B:$D,2,FALSE),"")</f>
        <v>5l/*4桶/箱</v>
      </c>
      <c r="E1170" s="6">
        <v>3</v>
      </c>
      <c r="F1170" s="8" t="str">
        <f>IFERROR(VLOOKUP(C1170,产品数据!$B:$D,3,FALSE),"")</f>
        <v>桶</v>
      </c>
      <c r="G1170" s="6" t="s">
        <v>128</v>
      </c>
    </row>
    <row r="1171" spans="1:7">
      <c r="A1171" s="6"/>
      <c r="B1171" s="5">
        <v>46163</v>
      </c>
      <c r="C1171" s="7" t="s">
        <v>96</v>
      </c>
      <c r="D1171" s="8" t="str">
        <f>IFERROR(VLOOKUP(C1171,产品数据!$B:$D,2,FALSE),"")</f>
        <v>10千克/袋</v>
      </c>
      <c r="E1171" s="6">
        <v>3</v>
      </c>
      <c r="F1171" s="8" t="str">
        <f>IFERROR(VLOOKUP(C1171,产品数据!$B:$D,3,FALSE),"")</f>
        <v>袋</v>
      </c>
      <c r="G1171" s="6" t="s">
        <v>127</v>
      </c>
    </row>
    <row r="1172" spans="1:7">
      <c r="A1172" s="6"/>
      <c r="B1172" s="5">
        <v>46164</v>
      </c>
      <c r="C1172" s="7" t="s">
        <v>41</v>
      </c>
      <c r="D1172" s="8" t="str">
        <f>IFERROR(VLOOKUP(C1172,产品数据!$B:$D,2,FALSE),"")</f>
        <v>5l/*4桶/箱</v>
      </c>
      <c r="E1172" s="6">
        <v>4</v>
      </c>
      <c r="F1172" s="8" t="str">
        <f>IFERROR(VLOOKUP(C1172,产品数据!$B:$D,3,FALSE),"")</f>
        <v>桶</v>
      </c>
      <c r="G1172" s="6" t="s">
        <v>125</v>
      </c>
    </row>
    <row r="1173" spans="1:7">
      <c r="A1173" s="6"/>
      <c r="B1173" s="5">
        <v>46164</v>
      </c>
      <c r="C1173" s="7" t="s">
        <v>44</v>
      </c>
      <c r="D1173" s="8" t="str">
        <f>IFERROR(VLOOKUP(C1173,产品数据!$B:$D,2,FALSE),"")</f>
        <v>1.9升/瓶*6瓶/箱</v>
      </c>
      <c r="E1173" s="6">
        <v>1</v>
      </c>
      <c r="F1173" s="8" t="str">
        <f>IFERROR(VLOOKUP(C1173,产品数据!$B:$D,3,FALSE),"")</f>
        <v>瓶</v>
      </c>
      <c r="G1173" s="6" t="s">
        <v>125</v>
      </c>
    </row>
    <row r="1174" spans="1:7">
      <c r="A1174" s="6"/>
      <c r="B1174" s="5">
        <v>46164</v>
      </c>
      <c r="C1174" s="7" t="s">
        <v>111</v>
      </c>
      <c r="D1174" s="8" t="str">
        <f>IFERROR(VLOOKUP(C1174,产品数据!$B:$D,2,FALSE),"")</f>
        <v>1.9升/瓶*6瓶/箱</v>
      </c>
      <c r="E1174" s="6">
        <v>1</v>
      </c>
      <c r="F1174" s="8" t="str">
        <f>IFERROR(VLOOKUP(C1174,产品数据!$B:$D,3,FALSE),"")</f>
        <v>瓶</v>
      </c>
      <c r="G1174" s="6" t="s">
        <v>125</v>
      </c>
    </row>
    <row r="1175" spans="1:7">
      <c r="A1175" s="6"/>
      <c r="B1175" s="5">
        <v>46164</v>
      </c>
      <c r="C1175" s="7" t="s">
        <v>57</v>
      </c>
      <c r="D1175" s="8" t="str">
        <f>IFERROR(VLOOKUP(C1175,产品数据!$B:$D,2,FALSE),"")</f>
        <v>400g*25包/箱</v>
      </c>
      <c r="E1175" s="6">
        <v>3</v>
      </c>
      <c r="F1175" s="8" t="str">
        <f>IFERROR(VLOOKUP(C1175,产品数据!$B:$D,3,FALSE),"")</f>
        <v>包</v>
      </c>
      <c r="G1175" s="6" t="s">
        <v>125</v>
      </c>
    </row>
    <row r="1176" spans="1:7">
      <c r="A1176" s="6"/>
      <c r="B1176" s="5">
        <v>46164</v>
      </c>
      <c r="C1176" s="7" t="s">
        <v>107</v>
      </c>
      <c r="D1176" s="8" t="str">
        <f>IFERROR(VLOOKUP(C1176,产品数据!$B:$D,2,FALSE),"")</f>
        <v>1.43L/壶*6壶/箱</v>
      </c>
      <c r="E1176" s="6">
        <v>1</v>
      </c>
      <c r="F1176" s="8" t="str">
        <f>IFERROR(VLOOKUP(C1176,产品数据!$B:$D,3,FALSE),"")</f>
        <v>壶</v>
      </c>
      <c r="G1176" s="6" t="s">
        <v>125</v>
      </c>
    </row>
    <row r="1177" spans="1:7">
      <c r="A1177" s="6"/>
      <c r="B1177" s="5">
        <v>46164</v>
      </c>
      <c r="C1177" s="7" t="s">
        <v>54</v>
      </c>
      <c r="D1177" s="8" t="str">
        <f>IFERROR(VLOOKUP(C1177,产品数据!$B:$D,2,FALSE),"")</f>
        <v>1kg*6瓶/箱</v>
      </c>
      <c r="E1177" s="6">
        <v>1</v>
      </c>
      <c r="F1177" s="8" t="str">
        <f>IFERROR(VLOOKUP(C1177,产品数据!$B:$D,3,FALSE),"")</f>
        <v>瓶</v>
      </c>
      <c r="G1177" s="6" t="s">
        <v>125</v>
      </c>
    </row>
    <row r="1178" spans="1:7">
      <c r="A1178" s="6"/>
      <c r="B1178" s="5">
        <v>46164</v>
      </c>
      <c r="C1178" s="7" t="s">
        <v>109</v>
      </c>
      <c r="D1178" s="8" t="str">
        <f>IFERROR(VLOOKUP(C1178,产品数据!$B:$D,2,FALSE),"")</f>
        <v>1L/瓶*12瓶/箱</v>
      </c>
      <c r="E1178" s="6">
        <v>1</v>
      </c>
      <c r="F1178" s="8" t="str">
        <f>IFERROR(VLOOKUP(C1178,产品数据!$B:$D,3,FALSE),"")</f>
        <v>瓶</v>
      </c>
      <c r="G1178" s="6" t="s">
        <v>125</v>
      </c>
    </row>
    <row r="1179" spans="1:7">
      <c r="A1179" s="6"/>
      <c r="B1179" s="5">
        <v>46164</v>
      </c>
      <c r="C1179" s="7" t="s">
        <v>45</v>
      </c>
      <c r="D1179" s="8" t="str">
        <f>IFERROR(VLOOKUP(C1179,产品数据!$B:$D,2,FALSE),"")</f>
        <v>1.9kg/瓶</v>
      </c>
      <c r="E1179" s="6">
        <v>1</v>
      </c>
      <c r="F1179" s="8" t="str">
        <f>IFERROR(VLOOKUP(C1179,产品数据!$B:$D,3,FALSE),"")</f>
        <v>瓶</v>
      </c>
      <c r="G1179" s="6" t="s">
        <v>125</v>
      </c>
    </row>
    <row r="1180" spans="1:7">
      <c r="A1180" s="6"/>
      <c r="B1180" s="5">
        <v>46164</v>
      </c>
      <c r="C1180" s="7" t="s">
        <v>63</v>
      </c>
      <c r="D1180" s="8" t="str">
        <f>IFERROR(VLOOKUP(C1180,产品数据!$B:$D,2,FALSE),"")</f>
        <v>280g/包</v>
      </c>
      <c r="E1180" s="6">
        <v>10</v>
      </c>
      <c r="F1180" s="8" t="str">
        <f>IFERROR(VLOOKUP(C1180,产品数据!$B:$D,3,FALSE),"")</f>
        <v>包</v>
      </c>
      <c r="G1180" s="6" t="s">
        <v>125</v>
      </c>
    </row>
    <row r="1181" spans="1:7">
      <c r="A1181" s="6"/>
      <c r="B1181" s="5">
        <v>46164</v>
      </c>
      <c r="C1181" s="7" t="s">
        <v>104</v>
      </c>
      <c r="D1181" s="8" t="str">
        <f>IFERROR(VLOOKUP(C1181,产品数据!$B:$D,2,FALSE),"")</f>
        <v>500ml*6瓶/箱</v>
      </c>
      <c r="E1181" s="6">
        <v>4</v>
      </c>
      <c r="F1181" s="8" t="str">
        <f>IFERROR(VLOOKUP(C1181,产品数据!$B:$D,3,FALSE),"")</f>
        <v>瓶</v>
      </c>
      <c r="G1181" s="6" t="s">
        <v>125</v>
      </c>
    </row>
    <row r="1182" spans="1:7">
      <c r="A1182" s="6"/>
      <c r="B1182" s="5">
        <v>46164</v>
      </c>
      <c r="C1182" s="7" t="s">
        <v>100</v>
      </c>
      <c r="D1182" s="8" t="str">
        <f>IFERROR(VLOOKUP(C1182,产品数据!$B:$D,2,FALSE),"")</f>
        <v>5kg/包</v>
      </c>
      <c r="E1182" s="6">
        <v>5</v>
      </c>
      <c r="F1182" s="8" t="str">
        <f>IFERROR(VLOOKUP(C1182,产品数据!$B:$D,3,FALSE),"")</f>
        <v>包</v>
      </c>
      <c r="G1182" s="6" t="s">
        <v>128</v>
      </c>
    </row>
    <row r="1183" spans="1:7">
      <c r="A1183" s="6"/>
      <c r="B1183" s="5">
        <v>46164</v>
      </c>
      <c r="C1183" s="7" t="s">
        <v>96</v>
      </c>
      <c r="D1183" s="8" t="str">
        <f>IFERROR(VLOOKUP(C1183,产品数据!$B:$D,2,FALSE),"")</f>
        <v>10千克/袋</v>
      </c>
      <c r="E1183" s="6">
        <v>3</v>
      </c>
      <c r="F1183" s="8" t="str">
        <f>IFERROR(VLOOKUP(C1183,产品数据!$B:$D,3,FALSE),"")</f>
        <v>袋</v>
      </c>
      <c r="G1183" s="6" t="s">
        <v>127</v>
      </c>
    </row>
    <row r="1184" spans="1:7">
      <c r="A1184" s="6"/>
      <c r="B1184" s="5">
        <v>46167</v>
      </c>
      <c r="C1184" s="7" t="s">
        <v>41</v>
      </c>
      <c r="D1184" s="8" t="str">
        <f>IFERROR(VLOOKUP(C1184,产品数据!$B:$D,2,FALSE),"")</f>
        <v>5l/*4桶/箱</v>
      </c>
      <c r="E1184" s="6">
        <v>3</v>
      </c>
      <c r="F1184" s="8" t="str">
        <f>IFERROR(VLOOKUP(C1184,产品数据!$B:$D,3,FALSE),"")</f>
        <v>桶</v>
      </c>
      <c r="G1184" s="6" t="s">
        <v>125</v>
      </c>
    </row>
    <row r="1185" spans="1:7">
      <c r="A1185" s="6"/>
      <c r="B1185" s="5">
        <v>46167</v>
      </c>
      <c r="C1185" s="7" t="s">
        <v>61</v>
      </c>
      <c r="D1185" s="8" t="str">
        <f>IFERROR(VLOOKUP(C1185,产品数据!$B:$D,2,FALSE),"")</f>
        <v>2.5kg/包</v>
      </c>
      <c r="E1185" s="6">
        <v>1</v>
      </c>
      <c r="F1185" s="8" t="str">
        <f>IFERROR(VLOOKUP(C1185,产品数据!$B:$D,3,FALSE),"")</f>
        <v>包</v>
      </c>
      <c r="G1185" s="6" t="s">
        <v>125</v>
      </c>
    </row>
    <row r="1186" spans="1:7">
      <c r="A1186" s="6"/>
      <c r="B1186" s="5">
        <v>46167</v>
      </c>
      <c r="C1186" s="7" t="s">
        <v>111</v>
      </c>
      <c r="D1186" s="8" t="str">
        <f>IFERROR(VLOOKUP(C1186,产品数据!$B:$D,2,FALSE),"")</f>
        <v>1.9升/瓶*6瓶/箱</v>
      </c>
      <c r="E1186" s="6">
        <v>1</v>
      </c>
      <c r="F1186" s="8" t="str">
        <f>IFERROR(VLOOKUP(C1186,产品数据!$B:$D,3,FALSE),"")</f>
        <v>瓶</v>
      </c>
      <c r="G1186" s="6" t="s">
        <v>125</v>
      </c>
    </row>
    <row r="1187" spans="1:7">
      <c r="A1187" s="6"/>
      <c r="B1187" s="5">
        <v>46167</v>
      </c>
      <c r="C1187" s="7" t="s">
        <v>109</v>
      </c>
      <c r="D1187" s="8" t="str">
        <f>IFERROR(VLOOKUP(C1187,产品数据!$B:$D,2,FALSE),"")</f>
        <v>1L/瓶*12瓶/箱</v>
      </c>
      <c r="E1187" s="6">
        <v>1</v>
      </c>
      <c r="F1187" s="8" t="str">
        <f>IFERROR(VLOOKUP(C1187,产品数据!$B:$D,3,FALSE),"")</f>
        <v>瓶</v>
      </c>
      <c r="G1187" s="6" t="s">
        <v>125</v>
      </c>
    </row>
    <row r="1188" spans="1:7">
      <c r="A1188" s="6"/>
      <c r="B1188" s="5">
        <v>46167</v>
      </c>
      <c r="C1188" s="7" t="s">
        <v>54</v>
      </c>
      <c r="D1188" s="8" t="str">
        <f>IFERROR(VLOOKUP(C1188,产品数据!$B:$D,2,FALSE),"")</f>
        <v>1kg*6瓶/箱</v>
      </c>
      <c r="E1188" s="6">
        <v>1</v>
      </c>
      <c r="F1188" s="8" t="str">
        <f>IFERROR(VLOOKUP(C1188,产品数据!$B:$D,3,FALSE),"")</f>
        <v>瓶</v>
      </c>
      <c r="G1188" s="6" t="s">
        <v>125</v>
      </c>
    </row>
    <row r="1189" spans="1:7">
      <c r="A1189" s="6"/>
      <c r="B1189" s="5">
        <v>46167</v>
      </c>
      <c r="C1189" s="7" t="s">
        <v>107</v>
      </c>
      <c r="D1189" s="8" t="str">
        <f>IFERROR(VLOOKUP(C1189,产品数据!$B:$D,2,FALSE),"")</f>
        <v>1.43L/壶*6壶/箱</v>
      </c>
      <c r="E1189" s="6">
        <v>1</v>
      </c>
      <c r="F1189" s="8" t="str">
        <f>IFERROR(VLOOKUP(C1189,产品数据!$B:$D,3,FALSE),"")</f>
        <v>壶</v>
      </c>
      <c r="G1189" s="6" t="s">
        <v>125</v>
      </c>
    </row>
    <row r="1190" spans="1:7">
      <c r="A1190" s="6"/>
      <c r="B1190" s="5">
        <v>46167</v>
      </c>
      <c r="C1190" s="7" t="s">
        <v>57</v>
      </c>
      <c r="D1190" s="8" t="str">
        <f>IFERROR(VLOOKUP(C1190,产品数据!$B:$D,2,FALSE),"")</f>
        <v>400g*25包/箱</v>
      </c>
      <c r="E1190" s="6">
        <v>4</v>
      </c>
      <c r="F1190" s="8" t="str">
        <f>IFERROR(VLOOKUP(C1190,产品数据!$B:$D,3,FALSE),"")</f>
        <v>包</v>
      </c>
      <c r="G1190" s="6" t="s">
        <v>125</v>
      </c>
    </row>
    <row r="1191" spans="1:7">
      <c r="A1191" s="6"/>
      <c r="B1191" s="5">
        <v>46167</v>
      </c>
      <c r="C1191" s="7" t="s">
        <v>56</v>
      </c>
      <c r="D1191" s="8" t="str">
        <f>IFERROR(VLOOKUP(C1191,产品数据!$B:$D,2,FALSE),"")</f>
        <v>178g*50包/箱</v>
      </c>
      <c r="E1191" s="6">
        <v>6</v>
      </c>
      <c r="F1191" s="8" t="str">
        <f>IFERROR(VLOOKUP(C1191,产品数据!$B:$D,3,FALSE),"")</f>
        <v>包</v>
      </c>
      <c r="G1191" s="6" t="s">
        <v>125</v>
      </c>
    </row>
    <row r="1192" spans="1:7">
      <c r="A1192" s="6"/>
      <c r="B1192" s="5">
        <v>46167</v>
      </c>
      <c r="C1192" s="7" t="s">
        <v>63</v>
      </c>
      <c r="D1192" s="8" t="str">
        <f>IFERROR(VLOOKUP(C1192,产品数据!$B:$D,2,FALSE),"")</f>
        <v>280g/包</v>
      </c>
      <c r="E1192" s="6">
        <v>12</v>
      </c>
      <c r="F1192" s="8" t="str">
        <f>IFERROR(VLOOKUP(C1192,产品数据!$B:$D,3,FALSE),"")</f>
        <v>包</v>
      </c>
      <c r="G1192" s="6" t="s">
        <v>125</v>
      </c>
    </row>
    <row r="1193" spans="1:7">
      <c r="A1193" s="6"/>
      <c r="B1193" s="5">
        <v>46167</v>
      </c>
      <c r="C1193" s="7" t="s">
        <v>104</v>
      </c>
      <c r="D1193" s="8" t="str">
        <f>IFERROR(VLOOKUP(C1193,产品数据!$B:$D,2,FALSE),"")</f>
        <v>500ml*6瓶/箱</v>
      </c>
      <c r="E1193" s="6">
        <v>4</v>
      </c>
      <c r="F1193" s="8" t="str">
        <f>IFERROR(VLOOKUP(C1193,产品数据!$B:$D,3,FALSE),"")</f>
        <v>瓶</v>
      </c>
      <c r="G1193" s="6" t="s">
        <v>125</v>
      </c>
    </row>
    <row r="1194" spans="1:7">
      <c r="A1194" s="6"/>
      <c r="B1194" s="5">
        <v>46167</v>
      </c>
      <c r="C1194" s="7" t="s">
        <v>41</v>
      </c>
      <c r="D1194" s="8" t="str">
        <f>IFERROR(VLOOKUP(C1194,产品数据!$B:$D,2,FALSE),"")</f>
        <v>5l/*4桶/箱</v>
      </c>
      <c r="E1194" s="6">
        <v>1</v>
      </c>
      <c r="F1194" s="8" t="str">
        <f>IFERROR(VLOOKUP(C1194,产品数据!$B:$D,3,FALSE),"")</f>
        <v>桶</v>
      </c>
      <c r="G1194" s="6" t="s">
        <v>129</v>
      </c>
    </row>
    <row r="1195" spans="1:7">
      <c r="A1195" s="6"/>
      <c r="B1195" s="5">
        <v>46167</v>
      </c>
      <c r="C1195" s="7" t="s">
        <v>54</v>
      </c>
      <c r="D1195" s="8" t="str">
        <f>IFERROR(VLOOKUP(C1195,产品数据!$B:$D,2,FALSE),"")</f>
        <v>1kg*6瓶/箱</v>
      </c>
      <c r="E1195" s="6">
        <v>1</v>
      </c>
      <c r="F1195" s="8" t="str">
        <f>IFERROR(VLOOKUP(C1195,产品数据!$B:$D,3,FALSE),"")</f>
        <v>瓶</v>
      </c>
      <c r="G1195" s="6" t="s">
        <v>129</v>
      </c>
    </row>
    <row r="1196" spans="1:7">
      <c r="A1196" s="6"/>
      <c r="B1196" s="5">
        <v>46167</v>
      </c>
      <c r="C1196" s="7" t="s">
        <v>58</v>
      </c>
      <c r="D1196" s="8" t="str">
        <f>IFERROR(VLOOKUP(C1196,产品数据!$B:$D,2,FALSE),"")</f>
        <v>200克/包</v>
      </c>
      <c r="E1196" s="6">
        <v>1</v>
      </c>
      <c r="F1196" s="8" t="str">
        <f>IFERROR(VLOOKUP(C1196,产品数据!$B:$D,3,FALSE),"")</f>
        <v>包</v>
      </c>
      <c r="G1196" s="6" t="s">
        <v>129</v>
      </c>
    </row>
    <row r="1197" spans="1:7">
      <c r="A1197" s="6"/>
      <c r="B1197" s="5">
        <v>46167</v>
      </c>
      <c r="C1197" s="7" t="s">
        <v>56</v>
      </c>
      <c r="D1197" s="8" t="str">
        <f>IFERROR(VLOOKUP(C1197,产品数据!$B:$D,2,FALSE),"")</f>
        <v>178g*50包/箱</v>
      </c>
      <c r="E1197" s="6">
        <v>3</v>
      </c>
      <c r="F1197" s="8" t="str">
        <f>IFERROR(VLOOKUP(C1197,产品数据!$B:$D,3,FALSE),"")</f>
        <v>包</v>
      </c>
      <c r="G1197" s="6" t="s">
        <v>129</v>
      </c>
    </row>
    <row r="1198" spans="1:7">
      <c r="A1198" s="6"/>
      <c r="B1198" s="5">
        <v>46167</v>
      </c>
      <c r="C1198" s="7" t="s">
        <v>54</v>
      </c>
      <c r="D1198" s="8" t="str">
        <f>IFERROR(VLOOKUP(C1198,产品数据!$B:$D,2,FALSE),"")</f>
        <v>1kg*6瓶/箱</v>
      </c>
      <c r="E1198" s="6">
        <v>1</v>
      </c>
      <c r="F1198" s="8" t="str">
        <f>IFERROR(VLOOKUP(C1198,产品数据!$B:$D,3,FALSE),"")</f>
        <v>瓶</v>
      </c>
      <c r="G1198" s="6" t="s">
        <v>128</v>
      </c>
    </row>
    <row r="1199" spans="1:7">
      <c r="A1199" s="6"/>
      <c r="B1199" s="5">
        <v>46167</v>
      </c>
      <c r="C1199" s="7" t="s">
        <v>107</v>
      </c>
      <c r="D1199" s="8" t="str">
        <f>IFERROR(VLOOKUP(C1199,产品数据!$B:$D,2,FALSE),"")</f>
        <v>1.43L/壶*6壶/箱</v>
      </c>
      <c r="E1199" s="6">
        <v>1</v>
      </c>
      <c r="F1199" s="8" t="str">
        <f>IFERROR(VLOOKUP(C1199,产品数据!$B:$D,3,FALSE),"")</f>
        <v>壶</v>
      </c>
      <c r="G1199" s="6" t="s">
        <v>128</v>
      </c>
    </row>
    <row r="1200" spans="1:7">
      <c r="A1200" s="6"/>
      <c r="B1200" s="5">
        <v>46167</v>
      </c>
      <c r="C1200" s="7" t="s">
        <v>109</v>
      </c>
      <c r="D1200" s="8" t="str">
        <f>IFERROR(VLOOKUP(C1200,产品数据!$B:$D,2,FALSE),"")</f>
        <v>1L/瓶*12瓶/箱</v>
      </c>
      <c r="E1200" s="6">
        <v>1</v>
      </c>
      <c r="F1200" s="8" t="str">
        <f>IFERROR(VLOOKUP(C1200,产品数据!$B:$D,3,FALSE),"")</f>
        <v>瓶</v>
      </c>
      <c r="G1200" s="6" t="s">
        <v>128</v>
      </c>
    </row>
    <row r="1201" spans="1:7">
      <c r="A1201" s="6"/>
      <c r="B1201" s="5">
        <v>46167</v>
      </c>
      <c r="C1201" s="7" t="s">
        <v>57</v>
      </c>
      <c r="D1201" s="8" t="str">
        <f>IFERROR(VLOOKUP(C1201,产品数据!$B:$D,2,FALSE),"")</f>
        <v>400g*25包/箱</v>
      </c>
      <c r="E1201" s="6">
        <v>2</v>
      </c>
      <c r="F1201" s="8" t="str">
        <f>IFERROR(VLOOKUP(C1201,产品数据!$B:$D,3,FALSE),"")</f>
        <v>包</v>
      </c>
      <c r="G1201" s="6" t="s">
        <v>128</v>
      </c>
    </row>
    <row r="1202" spans="1:7">
      <c r="A1202" s="6"/>
      <c r="B1202" s="5">
        <v>46167</v>
      </c>
      <c r="C1202" s="7" t="s">
        <v>55</v>
      </c>
      <c r="D1202" s="8" t="str">
        <f>IFERROR(VLOOKUP(C1202,产品数据!$B:$D,2,FALSE),"")</f>
        <v>1升*12瓶/箱</v>
      </c>
      <c r="E1202" s="6">
        <v>1</v>
      </c>
      <c r="F1202" s="8" t="str">
        <f>IFERROR(VLOOKUP(C1202,产品数据!$B:$D,3,FALSE),"")</f>
        <v>瓶</v>
      </c>
      <c r="G1202" s="6" t="s">
        <v>128</v>
      </c>
    </row>
    <row r="1203" spans="1:7">
      <c r="A1203" s="6"/>
      <c r="B1203" s="5">
        <v>46167</v>
      </c>
      <c r="C1203" s="7" t="s">
        <v>44</v>
      </c>
      <c r="D1203" s="8" t="str">
        <f>IFERROR(VLOOKUP(C1203,产品数据!$B:$D,2,FALSE),"")</f>
        <v>1.9升/瓶*6瓶/箱</v>
      </c>
      <c r="E1203" s="6">
        <v>1</v>
      </c>
      <c r="F1203" s="8" t="str">
        <f>IFERROR(VLOOKUP(C1203,产品数据!$B:$D,3,FALSE),"")</f>
        <v>瓶</v>
      </c>
      <c r="G1203" s="6" t="s">
        <v>128</v>
      </c>
    </row>
    <row r="1204" spans="1:7">
      <c r="A1204" s="6"/>
      <c r="B1204" s="5">
        <v>46167</v>
      </c>
      <c r="C1204" s="7" t="s">
        <v>56</v>
      </c>
      <c r="D1204" s="8" t="str">
        <f>IFERROR(VLOOKUP(C1204,产品数据!$B:$D,2,FALSE),"")</f>
        <v>178g*50包/箱</v>
      </c>
      <c r="E1204" s="6">
        <v>5</v>
      </c>
      <c r="F1204" s="8" t="str">
        <f>IFERROR(VLOOKUP(C1204,产品数据!$B:$D,3,FALSE),"")</f>
        <v>包</v>
      </c>
      <c r="G1204" s="6" t="s">
        <v>128</v>
      </c>
    </row>
    <row r="1205" spans="1:7">
      <c r="A1205" s="6"/>
      <c r="B1205" s="5">
        <v>46167</v>
      </c>
      <c r="C1205" s="7" t="s">
        <v>96</v>
      </c>
      <c r="D1205" s="8" t="str">
        <f>IFERROR(VLOOKUP(C1205,产品数据!$B:$D,2,FALSE),"")</f>
        <v>10千克/袋</v>
      </c>
      <c r="E1205" s="6">
        <v>3</v>
      </c>
      <c r="F1205" s="8" t="str">
        <f>IFERROR(VLOOKUP(C1205,产品数据!$B:$D,3,FALSE),"")</f>
        <v>袋</v>
      </c>
      <c r="G1205" s="6" t="s">
        <v>127</v>
      </c>
    </row>
    <row r="1206" spans="1:7">
      <c r="A1206" s="6"/>
      <c r="B1206" s="5">
        <v>46168</v>
      </c>
      <c r="C1206" s="7" t="s">
        <v>41</v>
      </c>
      <c r="D1206" s="8" t="str">
        <f>IFERROR(VLOOKUP(C1206,产品数据!$B:$D,2,FALSE),"")</f>
        <v>5l/*4桶/箱</v>
      </c>
      <c r="E1206" s="6">
        <v>4</v>
      </c>
      <c r="F1206" s="8" t="str">
        <f>IFERROR(VLOOKUP(C1206,产品数据!$B:$D,3,FALSE),"")</f>
        <v>桶</v>
      </c>
      <c r="G1206" s="6" t="s">
        <v>125</v>
      </c>
    </row>
    <row r="1207" spans="1:7">
      <c r="A1207" s="6"/>
      <c r="B1207" s="5">
        <v>46168</v>
      </c>
      <c r="C1207" s="7" t="s">
        <v>50</v>
      </c>
      <c r="D1207" s="8" t="str">
        <f>IFERROR(VLOOKUP(C1207,产品数据!$B:$D,2,FALSE),"")</f>
        <v>2kg/包*6包/箱</v>
      </c>
      <c r="E1207" s="6">
        <v>2</v>
      </c>
      <c r="F1207" s="8" t="str">
        <f>IFERROR(VLOOKUP(C1207,产品数据!$B:$D,3,FALSE),"")</f>
        <v>包</v>
      </c>
      <c r="G1207" s="6" t="s">
        <v>125</v>
      </c>
    </row>
    <row r="1208" spans="1:7">
      <c r="A1208" s="6"/>
      <c r="B1208" s="5">
        <v>46168</v>
      </c>
      <c r="C1208" s="7" t="s">
        <v>57</v>
      </c>
      <c r="D1208" s="8" t="str">
        <f>IFERROR(VLOOKUP(C1208,产品数据!$B:$D,2,FALSE),"")</f>
        <v>400g*25包/箱</v>
      </c>
      <c r="E1208" s="6">
        <v>2</v>
      </c>
      <c r="F1208" s="8" t="str">
        <f>IFERROR(VLOOKUP(C1208,产品数据!$B:$D,3,FALSE),"")</f>
        <v>包</v>
      </c>
      <c r="G1208" s="6" t="s">
        <v>125</v>
      </c>
    </row>
    <row r="1209" spans="1:7">
      <c r="A1209" s="6"/>
      <c r="B1209" s="5">
        <v>46168</v>
      </c>
      <c r="C1209" s="7" t="s">
        <v>44</v>
      </c>
      <c r="D1209" s="8" t="str">
        <f>IFERROR(VLOOKUP(C1209,产品数据!$B:$D,2,FALSE),"")</f>
        <v>1.9升/瓶*6瓶/箱</v>
      </c>
      <c r="E1209" s="6">
        <v>1</v>
      </c>
      <c r="F1209" s="8" t="str">
        <f>IFERROR(VLOOKUP(C1209,产品数据!$B:$D,3,FALSE),"")</f>
        <v>瓶</v>
      </c>
      <c r="G1209" s="6" t="s">
        <v>125</v>
      </c>
    </row>
    <row r="1210" spans="1:7">
      <c r="A1210" s="6"/>
      <c r="B1210" s="5">
        <v>46168</v>
      </c>
      <c r="C1210" s="7" t="s">
        <v>111</v>
      </c>
      <c r="D1210" s="8" t="str">
        <f>IFERROR(VLOOKUP(C1210,产品数据!$B:$D,2,FALSE),"")</f>
        <v>1.9升/瓶*6瓶/箱</v>
      </c>
      <c r="E1210" s="6">
        <v>1</v>
      </c>
      <c r="F1210" s="8" t="str">
        <f>IFERROR(VLOOKUP(C1210,产品数据!$B:$D,3,FALSE),"")</f>
        <v>瓶</v>
      </c>
      <c r="G1210" s="6" t="s">
        <v>125</v>
      </c>
    </row>
    <row r="1211" spans="1:7">
      <c r="A1211" s="6"/>
      <c r="B1211" s="5">
        <v>46168</v>
      </c>
      <c r="C1211" s="7" t="s">
        <v>54</v>
      </c>
      <c r="D1211" s="8" t="str">
        <f>IFERROR(VLOOKUP(C1211,产品数据!$B:$D,2,FALSE),"")</f>
        <v>1kg*6瓶/箱</v>
      </c>
      <c r="E1211" s="6">
        <v>1</v>
      </c>
      <c r="F1211" s="8" t="str">
        <f>IFERROR(VLOOKUP(C1211,产品数据!$B:$D,3,FALSE),"")</f>
        <v>瓶</v>
      </c>
      <c r="G1211" s="6" t="s">
        <v>125</v>
      </c>
    </row>
    <row r="1212" spans="1:7">
      <c r="A1212" s="6"/>
      <c r="B1212" s="5">
        <v>46168</v>
      </c>
      <c r="C1212" s="7" t="s">
        <v>109</v>
      </c>
      <c r="D1212" s="8" t="str">
        <f>IFERROR(VLOOKUP(C1212,产品数据!$B:$D,2,FALSE),"")</f>
        <v>1L/瓶*12瓶/箱</v>
      </c>
      <c r="E1212" s="6">
        <v>1</v>
      </c>
      <c r="F1212" s="8" t="str">
        <f>IFERROR(VLOOKUP(C1212,产品数据!$B:$D,3,FALSE),"")</f>
        <v>瓶</v>
      </c>
      <c r="G1212" s="6" t="s">
        <v>125</v>
      </c>
    </row>
    <row r="1213" spans="1:7">
      <c r="A1213" s="6"/>
      <c r="B1213" s="5">
        <v>46168</v>
      </c>
      <c r="C1213" s="7" t="s">
        <v>107</v>
      </c>
      <c r="D1213" s="8" t="str">
        <f>IFERROR(VLOOKUP(C1213,产品数据!$B:$D,2,FALSE),"")</f>
        <v>1.43L/壶*6壶/箱</v>
      </c>
      <c r="E1213" s="6">
        <v>1</v>
      </c>
      <c r="F1213" s="8" t="str">
        <f>IFERROR(VLOOKUP(C1213,产品数据!$B:$D,3,FALSE),"")</f>
        <v>壶</v>
      </c>
      <c r="G1213" s="6" t="s">
        <v>125</v>
      </c>
    </row>
    <row r="1214" spans="1:7">
      <c r="A1214" s="6"/>
      <c r="B1214" s="5">
        <v>46168</v>
      </c>
      <c r="C1214" s="7" t="s">
        <v>104</v>
      </c>
      <c r="D1214" s="8" t="str">
        <f>IFERROR(VLOOKUP(C1214,产品数据!$B:$D,2,FALSE),"")</f>
        <v>500ml*6瓶/箱</v>
      </c>
      <c r="E1214" s="6">
        <v>4</v>
      </c>
      <c r="F1214" s="8" t="str">
        <f>IFERROR(VLOOKUP(C1214,产品数据!$B:$D,3,FALSE),"")</f>
        <v>瓶</v>
      </c>
      <c r="G1214" s="6" t="s">
        <v>125</v>
      </c>
    </row>
    <row r="1215" spans="1:7">
      <c r="A1215" s="6"/>
      <c r="B1215" s="5">
        <v>46168</v>
      </c>
      <c r="C1215" s="7" t="s">
        <v>41</v>
      </c>
      <c r="D1215" s="8" t="str">
        <f>IFERROR(VLOOKUP(C1215,产品数据!$B:$D,2,FALSE),"")</f>
        <v>5l/*4桶/箱</v>
      </c>
      <c r="E1215" s="6">
        <v>2</v>
      </c>
      <c r="F1215" s="8" t="str">
        <f>IFERROR(VLOOKUP(C1215,产品数据!$B:$D,3,FALSE),"")</f>
        <v>桶</v>
      </c>
      <c r="G1215" s="6" t="s">
        <v>126</v>
      </c>
    </row>
    <row r="1216" spans="1:7">
      <c r="A1216" s="6"/>
      <c r="B1216" s="5">
        <v>46168</v>
      </c>
      <c r="C1216" s="7" t="s">
        <v>63</v>
      </c>
      <c r="D1216" s="8" t="str">
        <f>IFERROR(VLOOKUP(C1216,产品数据!$B:$D,2,FALSE),"")</f>
        <v>280g/包</v>
      </c>
      <c r="E1216" s="6">
        <v>2</v>
      </c>
      <c r="F1216" s="8" t="str">
        <f>IFERROR(VLOOKUP(C1216,产品数据!$B:$D,3,FALSE),"")</f>
        <v>包</v>
      </c>
      <c r="G1216" s="6" t="s">
        <v>126</v>
      </c>
    </row>
    <row r="1217" spans="1:7">
      <c r="A1217" s="6"/>
      <c r="B1217" s="5">
        <v>46168</v>
      </c>
      <c r="C1217" s="7" t="s">
        <v>57</v>
      </c>
      <c r="D1217" s="8" t="str">
        <f>IFERROR(VLOOKUP(C1217,产品数据!$B:$D,2,FALSE),"")</f>
        <v>400g*25包/箱</v>
      </c>
      <c r="E1217" s="6">
        <v>2</v>
      </c>
      <c r="F1217" s="8" t="str">
        <f>IFERROR(VLOOKUP(C1217,产品数据!$B:$D,3,FALSE),"")</f>
        <v>包</v>
      </c>
      <c r="G1217" s="6" t="s">
        <v>126</v>
      </c>
    </row>
    <row r="1218" spans="1:7">
      <c r="A1218" s="6"/>
      <c r="B1218" s="5">
        <v>46168</v>
      </c>
      <c r="C1218" s="7" t="s">
        <v>104</v>
      </c>
      <c r="D1218" s="8" t="str">
        <f>IFERROR(VLOOKUP(C1218,产品数据!$B:$D,2,FALSE),"")</f>
        <v>500ml*6瓶/箱</v>
      </c>
      <c r="E1218" s="6">
        <v>2</v>
      </c>
      <c r="F1218" s="8" t="str">
        <f>IFERROR(VLOOKUP(C1218,产品数据!$B:$D,3,FALSE),"")</f>
        <v>瓶</v>
      </c>
      <c r="G1218" s="6" t="s">
        <v>126</v>
      </c>
    </row>
    <row r="1219" spans="1:7">
      <c r="A1219" s="6"/>
      <c r="B1219" s="5">
        <v>46168</v>
      </c>
      <c r="C1219" s="7" t="s">
        <v>96</v>
      </c>
      <c r="D1219" s="8" t="str">
        <f>IFERROR(VLOOKUP(C1219,产品数据!$B:$D,2,FALSE),"")</f>
        <v>10千克/袋</v>
      </c>
      <c r="E1219" s="6">
        <v>2</v>
      </c>
      <c r="F1219" s="8" t="str">
        <f>IFERROR(VLOOKUP(C1219,产品数据!$B:$D,3,FALSE),"")</f>
        <v>袋</v>
      </c>
      <c r="G1219" s="6" t="s">
        <v>127</v>
      </c>
    </row>
    <row r="1220" spans="1:7">
      <c r="A1220" s="6"/>
      <c r="B1220" s="5">
        <v>46168</v>
      </c>
      <c r="C1220" s="7" t="s">
        <v>100</v>
      </c>
      <c r="D1220" s="8" t="str">
        <f>IFERROR(VLOOKUP(C1220,产品数据!$B:$D,2,FALSE),"")</f>
        <v>5kg/包</v>
      </c>
      <c r="E1220" s="6">
        <v>5</v>
      </c>
      <c r="F1220" s="8" t="str">
        <f>IFERROR(VLOOKUP(C1220,产品数据!$B:$D,3,FALSE),"")</f>
        <v>包</v>
      </c>
      <c r="G1220" s="6" t="s">
        <v>128</v>
      </c>
    </row>
    <row r="1221" spans="1:7">
      <c r="A1221" s="6"/>
      <c r="B1221" s="5">
        <v>46169</v>
      </c>
      <c r="C1221" s="7" t="s">
        <v>41</v>
      </c>
      <c r="D1221" s="8" t="str">
        <f>IFERROR(VLOOKUP(C1221,产品数据!$B:$D,2,FALSE),"")</f>
        <v>5l/*4桶/箱</v>
      </c>
      <c r="E1221" s="6">
        <v>3</v>
      </c>
      <c r="F1221" s="8" t="str">
        <f>IFERROR(VLOOKUP(C1221,产品数据!$B:$D,3,FALSE),"")</f>
        <v>桶</v>
      </c>
      <c r="G1221" s="6" t="s">
        <v>125</v>
      </c>
    </row>
    <row r="1222" spans="1:7">
      <c r="A1222" s="6"/>
      <c r="B1222" s="5">
        <v>46169</v>
      </c>
      <c r="C1222" s="7" t="s">
        <v>107</v>
      </c>
      <c r="D1222" s="8" t="str">
        <f>IFERROR(VLOOKUP(C1222,产品数据!$B:$D,2,FALSE),"")</f>
        <v>1.43L/壶*6壶/箱</v>
      </c>
      <c r="E1222" s="6">
        <v>1</v>
      </c>
      <c r="F1222" s="8" t="str">
        <f>IFERROR(VLOOKUP(C1222,产品数据!$B:$D,3,FALSE),"")</f>
        <v>壶</v>
      </c>
      <c r="G1222" s="6" t="s">
        <v>125</v>
      </c>
    </row>
    <row r="1223" spans="1:7">
      <c r="A1223" s="6"/>
      <c r="B1223" s="5">
        <v>46169</v>
      </c>
      <c r="C1223" s="7" t="s">
        <v>44</v>
      </c>
      <c r="D1223" s="8" t="str">
        <f>IFERROR(VLOOKUP(C1223,产品数据!$B:$D,2,FALSE),"")</f>
        <v>1.9升/瓶*6瓶/箱</v>
      </c>
      <c r="E1223" s="6">
        <v>1</v>
      </c>
      <c r="F1223" s="8" t="str">
        <f>IFERROR(VLOOKUP(C1223,产品数据!$B:$D,3,FALSE),"")</f>
        <v>瓶</v>
      </c>
      <c r="G1223" s="6" t="s">
        <v>125</v>
      </c>
    </row>
    <row r="1224" spans="1:7">
      <c r="A1224" s="6"/>
      <c r="B1224" s="5">
        <v>46169</v>
      </c>
      <c r="C1224" s="7" t="s">
        <v>54</v>
      </c>
      <c r="D1224" s="8" t="str">
        <f>IFERROR(VLOOKUP(C1224,产品数据!$B:$D,2,FALSE),"")</f>
        <v>1kg*6瓶/箱</v>
      </c>
      <c r="E1224" s="6">
        <v>2</v>
      </c>
      <c r="F1224" s="8" t="str">
        <f>IFERROR(VLOOKUP(C1224,产品数据!$B:$D,3,FALSE),"")</f>
        <v>瓶</v>
      </c>
      <c r="G1224" s="6" t="s">
        <v>125</v>
      </c>
    </row>
    <row r="1225" spans="1:7">
      <c r="A1225" s="6"/>
      <c r="B1225" s="5">
        <v>46169</v>
      </c>
      <c r="C1225" s="7" t="s">
        <v>109</v>
      </c>
      <c r="D1225" s="8" t="str">
        <f>IFERROR(VLOOKUP(C1225,产品数据!$B:$D,2,FALSE),"")</f>
        <v>1L/瓶*12瓶/箱</v>
      </c>
      <c r="E1225" s="6">
        <v>1</v>
      </c>
      <c r="F1225" s="8" t="str">
        <f>IFERROR(VLOOKUP(C1225,产品数据!$B:$D,3,FALSE),"")</f>
        <v>瓶</v>
      </c>
      <c r="G1225" s="6" t="s">
        <v>125</v>
      </c>
    </row>
    <row r="1226" spans="1:7">
      <c r="A1226" s="6"/>
      <c r="B1226" s="5">
        <v>46169</v>
      </c>
      <c r="C1226" s="7" t="s">
        <v>57</v>
      </c>
      <c r="D1226" s="8" t="str">
        <f>IFERROR(VLOOKUP(C1226,产品数据!$B:$D,2,FALSE),"")</f>
        <v>400g*25包/箱</v>
      </c>
      <c r="E1226" s="6">
        <v>4</v>
      </c>
      <c r="F1226" s="8" t="str">
        <f>IFERROR(VLOOKUP(C1226,产品数据!$B:$D,3,FALSE),"")</f>
        <v>包</v>
      </c>
      <c r="G1226" s="6" t="s">
        <v>125</v>
      </c>
    </row>
    <row r="1227" spans="1:7">
      <c r="A1227" s="6"/>
      <c r="B1227" s="5">
        <v>46169</v>
      </c>
      <c r="C1227" s="7" t="s">
        <v>104</v>
      </c>
      <c r="D1227" s="8" t="str">
        <f>IFERROR(VLOOKUP(C1227,产品数据!$B:$D,2,FALSE),"")</f>
        <v>500ml*6瓶/箱</v>
      </c>
      <c r="E1227" s="6">
        <v>4</v>
      </c>
      <c r="F1227" s="8" t="str">
        <f>IFERROR(VLOOKUP(C1227,产品数据!$B:$D,3,FALSE),"")</f>
        <v>瓶</v>
      </c>
      <c r="G1227" s="6" t="s">
        <v>125</v>
      </c>
    </row>
    <row r="1228" spans="1:7">
      <c r="A1228" s="6"/>
      <c r="B1228" s="5">
        <v>46169</v>
      </c>
      <c r="C1228" s="7" t="s">
        <v>63</v>
      </c>
      <c r="D1228" s="8" t="str">
        <f>IFERROR(VLOOKUP(C1228,产品数据!$B:$D,2,FALSE),"")</f>
        <v>280g/包</v>
      </c>
      <c r="E1228" s="6">
        <v>8</v>
      </c>
      <c r="F1228" s="8" t="str">
        <f>IFERROR(VLOOKUP(C1228,产品数据!$B:$D,3,FALSE),"")</f>
        <v>包</v>
      </c>
      <c r="G1228" s="6" t="s">
        <v>125</v>
      </c>
    </row>
    <row r="1229" spans="1:7">
      <c r="A1229" s="6"/>
      <c r="B1229" s="5">
        <v>46169</v>
      </c>
      <c r="C1229" s="7" t="s">
        <v>56</v>
      </c>
      <c r="D1229" s="8" t="str">
        <f>IFERROR(VLOOKUP(C1229,产品数据!$B:$D,2,FALSE),"")</f>
        <v>178g*50包/箱</v>
      </c>
      <c r="E1229" s="6">
        <v>5</v>
      </c>
      <c r="F1229" s="8" t="str">
        <f>IFERROR(VLOOKUP(C1229,产品数据!$B:$D,3,FALSE),"")</f>
        <v>包</v>
      </c>
      <c r="G1229" s="6" t="s">
        <v>127</v>
      </c>
    </row>
    <row r="1230" spans="1:7">
      <c r="A1230" s="6"/>
      <c r="B1230" s="5">
        <v>46169</v>
      </c>
      <c r="C1230" s="7" t="s">
        <v>49</v>
      </c>
      <c r="D1230" s="8" t="str">
        <f>IFERROR(VLOOKUP(C1230,产品数据!$B:$D,2,FALSE),"")</f>
        <v>180g/包</v>
      </c>
      <c r="E1230" s="6">
        <v>1</v>
      </c>
      <c r="F1230" s="8" t="str">
        <f>IFERROR(VLOOKUP(C1230,产品数据!$B:$D,3,FALSE),"")</f>
        <v>包</v>
      </c>
      <c r="G1230" s="6" t="s">
        <v>127</v>
      </c>
    </row>
    <row r="1231" spans="1:7">
      <c r="A1231" s="6"/>
      <c r="B1231" s="5">
        <v>46169</v>
      </c>
      <c r="C1231" s="7" t="s">
        <v>96</v>
      </c>
      <c r="D1231" s="8" t="str">
        <f>IFERROR(VLOOKUP(C1231,产品数据!$B:$D,2,FALSE),"")</f>
        <v>10千克/袋</v>
      </c>
      <c r="E1231" s="6">
        <v>2</v>
      </c>
      <c r="F1231" s="8" t="str">
        <f>IFERROR(VLOOKUP(C1231,产品数据!$B:$D,3,FALSE),"")</f>
        <v>袋</v>
      </c>
      <c r="G1231" s="6" t="s">
        <v>127</v>
      </c>
    </row>
    <row r="1232" spans="1:7">
      <c r="A1232" s="6"/>
      <c r="B1232" s="5">
        <v>46169</v>
      </c>
      <c r="C1232" s="7" t="s">
        <v>100</v>
      </c>
      <c r="D1232" s="8" t="str">
        <f>IFERROR(VLOOKUP(C1232,产品数据!$B:$D,2,FALSE),"")</f>
        <v>5kg/包</v>
      </c>
      <c r="E1232" s="6">
        <v>5</v>
      </c>
      <c r="F1232" s="8" t="str">
        <f>IFERROR(VLOOKUP(C1232,产品数据!$B:$D,3,FALSE),"")</f>
        <v>包</v>
      </c>
      <c r="G1232" s="6" t="s">
        <v>128</v>
      </c>
    </row>
    <row r="1233" spans="1:7">
      <c r="A1233" s="6"/>
      <c r="B1233" s="5">
        <v>46170</v>
      </c>
      <c r="C1233" s="7" t="s">
        <v>41</v>
      </c>
      <c r="D1233" s="8" t="str">
        <f>IFERROR(VLOOKUP(C1233,产品数据!$B:$D,2,FALSE),"")</f>
        <v>5l/*4桶/箱</v>
      </c>
      <c r="E1233" s="6">
        <v>3</v>
      </c>
      <c r="F1233" s="8" t="str">
        <f>IFERROR(VLOOKUP(C1233,产品数据!$B:$D,3,FALSE),"")</f>
        <v>桶</v>
      </c>
      <c r="G1233" s="6" t="s">
        <v>125</v>
      </c>
    </row>
    <row r="1234" spans="1:7">
      <c r="A1234" s="6"/>
      <c r="B1234" s="5">
        <v>46170</v>
      </c>
      <c r="C1234" s="7" t="s">
        <v>44</v>
      </c>
      <c r="D1234" s="8" t="str">
        <f>IFERROR(VLOOKUP(C1234,产品数据!$B:$D,2,FALSE),"")</f>
        <v>1.9升/瓶*6瓶/箱</v>
      </c>
      <c r="E1234" s="6">
        <v>1</v>
      </c>
      <c r="F1234" s="8" t="str">
        <f>IFERROR(VLOOKUP(C1234,产品数据!$B:$D,3,FALSE),"")</f>
        <v>瓶</v>
      </c>
      <c r="G1234" s="6" t="s">
        <v>125</v>
      </c>
    </row>
    <row r="1235" spans="1:7">
      <c r="A1235" s="6"/>
      <c r="B1235" s="5">
        <v>46170</v>
      </c>
      <c r="C1235" s="7" t="s">
        <v>107</v>
      </c>
      <c r="D1235" s="8" t="str">
        <f>IFERROR(VLOOKUP(C1235,产品数据!$B:$D,2,FALSE),"")</f>
        <v>1.43L/壶*6壶/箱</v>
      </c>
      <c r="E1235" s="6">
        <v>1</v>
      </c>
      <c r="F1235" s="8" t="str">
        <f>IFERROR(VLOOKUP(C1235,产品数据!$B:$D,3,FALSE),"")</f>
        <v>壶</v>
      </c>
      <c r="G1235" s="6" t="s">
        <v>125</v>
      </c>
    </row>
    <row r="1236" spans="1:7">
      <c r="A1236" s="6"/>
      <c r="B1236" s="5">
        <v>46170</v>
      </c>
      <c r="C1236" s="7" t="s">
        <v>54</v>
      </c>
      <c r="D1236" s="8" t="str">
        <f>IFERROR(VLOOKUP(C1236,产品数据!$B:$D,2,FALSE),"")</f>
        <v>1kg*6瓶/箱</v>
      </c>
      <c r="E1236" s="6">
        <v>1</v>
      </c>
      <c r="F1236" s="8" t="str">
        <f>IFERROR(VLOOKUP(C1236,产品数据!$B:$D,3,FALSE),"")</f>
        <v>瓶</v>
      </c>
      <c r="G1236" s="6" t="s">
        <v>125</v>
      </c>
    </row>
    <row r="1237" spans="1:7">
      <c r="A1237" s="6"/>
      <c r="B1237" s="5">
        <v>46170</v>
      </c>
      <c r="C1237" s="7" t="s">
        <v>109</v>
      </c>
      <c r="D1237" s="8" t="str">
        <f>IFERROR(VLOOKUP(C1237,产品数据!$B:$D,2,FALSE),"")</f>
        <v>1L/瓶*12瓶/箱</v>
      </c>
      <c r="E1237" s="6">
        <v>1</v>
      </c>
      <c r="F1237" s="8" t="str">
        <f>IFERROR(VLOOKUP(C1237,产品数据!$B:$D,3,FALSE),"")</f>
        <v>瓶</v>
      </c>
      <c r="G1237" s="6" t="s">
        <v>125</v>
      </c>
    </row>
    <row r="1238" spans="1:7">
      <c r="A1238" s="6"/>
      <c r="B1238" s="5">
        <v>46170</v>
      </c>
      <c r="C1238" s="7" t="s">
        <v>57</v>
      </c>
      <c r="D1238" s="8" t="str">
        <f>IFERROR(VLOOKUP(C1238,产品数据!$B:$D,2,FALSE),"")</f>
        <v>400g*25包/箱</v>
      </c>
      <c r="E1238" s="6">
        <v>2</v>
      </c>
      <c r="F1238" s="8" t="str">
        <f>IFERROR(VLOOKUP(C1238,产品数据!$B:$D,3,FALSE),"")</f>
        <v>包</v>
      </c>
      <c r="G1238" s="6" t="s">
        <v>125</v>
      </c>
    </row>
    <row r="1239" spans="1:7">
      <c r="A1239" s="6"/>
      <c r="B1239" s="5">
        <v>46170</v>
      </c>
      <c r="C1239" s="7" t="s">
        <v>102</v>
      </c>
      <c r="D1239" s="8" t="str">
        <f>IFERROR(VLOOKUP(C1239,产品数据!$B:$D,2,FALSE),"")</f>
        <v>410毫升*12瓶/箱</v>
      </c>
      <c r="E1239" s="6">
        <v>1</v>
      </c>
      <c r="F1239" s="8" t="str">
        <f>IFERROR(VLOOKUP(C1239,产品数据!$B:$D,3,FALSE),"")</f>
        <v>瓶</v>
      </c>
      <c r="G1239" s="6" t="s">
        <v>125</v>
      </c>
    </row>
    <row r="1240" spans="1:7">
      <c r="A1240" s="6"/>
      <c r="B1240" s="5">
        <v>46170</v>
      </c>
      <c r="C1240" s="7" t="s">
        <v>112</v>
      </c>
      <c r="D1240" s="8" t="str">
        <f>IFERROR(VLOOKUP(C1240,产品数据!$B:$D,2,FALSE),"")</f>
        <v>250g/包</v>
      </c>
      <c r="E1240" s="6">
        <v>10</v>
      </c>
      <c r="F1240" s="8" t="str">
        <f>IFERROR(VLOOKUP(C1240,产品数据!$B:$D,3,FALSE),"")</f>
        <v>包</v>
      </c>
      <c r="G1240" s="6" t="s">
        <v>125</v>
      </c>
    </row>
    <row r="1241" spans="1:7">
      <c r="A1241" s="6"/>
      <c r="B1241" s="5">
        <v>46170</v>
      </c>
      <c r="C1241" s="7" t="s">
        <v>63</v>
      </c>
      <c r="D1241" s="8" t="str">
        <f>IFERROR(VLOOKUP(C1241,产品数据!$B:$D,2,FALSE),"")</f>
        <v>280g/包</v>
      </c>
      <c r="E1241" s="6">
        <v>5</v>
      </c>
      <c r="F1241" s="8" t="str">
        <f>IFERROR(VLOOKUP(C1241,产品数据!$B:$D,3,FALSE),"")</f>
        <v>包</v>
      </c>
      <c r="G1241" s="6" t="s">
        <v>125</v>
      </c>
    </row>
    <row r="1242" spans="1:7">
      <c r="A1242" s="6"/>
      <c r="B1242" s="5">
        <v>46170</v>
      </c>
      <c r="C1242" s="7" t="s">
        <v>104</v>
      </c>
      <c r="D1242" s="8" t="str">
        <f>IFERROR(VLOOKUP(C1242,产品数据!$B:$D,2,FALSE),"")</f>
        <v>500ml*6瓶/箱</v>
      </c>
      <c r="E1242" s="6">
        <v>2</v>
      </c>
      <c r="F1242" s="8" t="str">
        <f>IFERROR(VLOOKUP(C1242,产品数据!$B:$D,3,FALSE),"")</f>
        <v>瓶</v>
      </c>
      <c r="G1242" s="6" t="s">
        <v>125</v>
      </c>
    </row>
    <row r="1243" spans="1:7">
      <c r="A1243" s="6"/>
      <c r="B1243" s="5">
        <v>46170</v>
      </c>
      <c r="C1243" s="7" t="s">
        <v>96</v>
      </c>
      <c r="D1243" s="8" t="str">
        <f>IFERROR(VLOOKUP(C1243,产品数据!$B:$D,2,FALSE),"")</f>
        <v>10千克/袋</v>
      </c>
      <c r="E1243" s="6">
        <v>1</v>
      </c>
      <c r="F1243" s="8" t="str">
        <f>IFERROR(VLOOKUP(C1243,产品数据!$B:$D,3,FALSE),"")</f>
        <v>袋</v>
      </c>
      <c r="G1243" s="6" t="s">
        <v>127</v>
      </c>
    </row>
    <row r="1244" spans="1:7">
      <c r="A1244" s="6"/>
      <c r="B1244" s="5">
        <v>46170</v>
      </c>
      <c r="C1244" s="7" t="s">
        <v>62</v>
      </c>
      <c r="D1244" s="8" t="str">
        <f>IFERROR(VLOOKUP(C1244,产品数据!$B:$D,2,FALSE),"")</f>
        <v>600克/瓶</v>
      </c>
      <c r="E1244" s="6">
        <v>1</v>
      </c>
      <c r="F1244" s="8" t="str">
        <f>IFERROR(VLOOKUP(C1244,产品数据!$B:$D,3,FALSE),"")</f>
        <v>瓶</v>
      </c>
      <c r="G1244" s="6" t="s">
        <v>128</v>
      </c>
    </row>
    <row r="1245" spans="1:7">
      <c r="A1245" s="6"/>
      <c r="B1245" s="5">
        <v>46171</v>
      </c>
      <c r="C1245" s="7" t="s">
        <v>41</v>
      </c>
      <c r="D1245" s="8" t="str">
        <f>IFERROR(VLOOKUP(C1245,产品数据!$B:$D,2,FALSE),"")</f>
        <v>5l/*4桶/箱</v>
      </c>
      <c r="E1245" s="6">
        <v>4</v>
      </c>
      <c r="F1245" s="8" t="str">
        <f>IFERROR(VLOOKUP(C1245,产品数据!$B:$D,3,FALSE),"")</f>
        <v>桶</v>
      </c>
      <c r="G1245" s="6" t="s">
        <v>125</v>
      </c>
    </row>
    <row r="1246" spans="1:7">
      <c r="A1246" s="6"/>
      <c r="B1246" s="5">
        <v>46171</v>
      </c>
      <c r="C1246" s="7" t="s">
        <v>44</v>
      </c>
      <c r="D1246" s="8" t="str">
        <f>IFERROR(VLOOKUP(C1246,产品数据!$B:$D,2,FALSE),"")</f>
        <v>1.9升/瓶*6瓶/箱</v>
      </c>
      <c r="E1246" s="6">
        <v>1</v>
      </c>
      <c r="F1246" s="8" t="str">
        <f>IFERROR(VLOOKUP(C1246,产品数据!$B:$D,3,FALSE),"")</f>
        <v>瓶</v>
      </c>
      <c r="G1246" s="6" t="s">
        <v>125</v>
      </c>
    </row>
    <row r="1247" spans="1:7">
      <c r="A1247" s="6"/>
      <c r="B1247" s="5">
        <v>46171</v>
      </c>
      <c r="C1247" s="7" t="s">
        <v>111</v>
      </c>
      <c r="D1247" s="8" t="str">
        <f>IFERROR(VLOOKUP(C1247,产品数据!$B:$D,2,FALSE),"")</f>
        <v>1.9升/瓶*6瓶/箱</v>
      </c>
      <c r="E1247" s="6">
        <v>1</v>
      </c>
      <c r="F1247" s="8" t="str">
        <f>IFERROR(VLOOKUP(C1247,产品数据!$B:$D,3,FALSE),"")</f>
        <v>瓶</v>
      </c>
      <c r="G1247" s="6" t="s">
        <v>125</v>
      </c>
    </row>
    <row r="1248" spans="1:7">
      <c r="A1248" s="6"/>
      <c r="B1248" s="5">
        <v>46171</v>
      </c>
      <c r="C1248" s="7" t="s">
        <v>107</v>
      </c>
      <c r="D1248" s="8" t="str">
        <f>IFERROR(VLOOKUP(C1248,产品数据!$B:$D,2,FALSE),"")</f>
        <v>1.43L/壶*6壶/箱</v>
      </c>
      <c r="E1248" s="6">
        <v>1</v>
      </c>
      <c r="F1248" s="8" t="str">
        <f>IFERROR(VLOOKUP(C1248,产品数据!$B:$D,3,FALSE),"")</f>
        <v>壶</v>
      </c>
      <c r="G1248" s="6" t="s">
        <v>125</v>
      </c>
    </row>
    <row r="1249" spans="1:7">
      <c r="A1249" s="6"/>
      <c r="B1249" s="5">
        <v>46171</v>
      </c>
      <c r="C1249" s="7" t="s">
        <v>57</v>
      </c>
      <c r="D1249" s="8" t="str">
        <f>IFERROR(VLOOKUP(C1249,产品数据!$B:$D,2,FALSE),"")</f>
        <v>400g*25包/箱</v>
      </c>
      <c r="E1249" s="6">
        <v>3</v>
      </c>
      <c r="F1249" s="8" t="str">
        <f>IFERROR(VLOOKUP(C1249,产品数据!$B:$D,3,FALSE),"")</f>
        <v>包</v>
      </c>
      <c r="G1249" s="6" t="s">
        <v>125</v>
      </c>
    </row>
    <row r="1250" spans="1:7">
      <c r="A1250" s="6"/>
      <c r="B1250" s="5">
        <v>46171</v>
      </c>
      <c r="C1250" s="7" t="s">
        <v>109</v>
      </c>
      <c r="D1250" s="8" t="str">
        <f>IFERROR(VLOOKUP(C1250,产品数据!$B:$D,2,FALSE),"")</f>
        <v>1L/瓶*12瓶/箱</v>
      </c>
      <c r="E1250" s="6">
        <v>1</v>
      </c>
      <c r="F1250" s="8" t="str">
        <f>IFERROR(VLOOKUP(C1250,产品数据!$B:$D,3,FALSE),"")</f>
        <v>瓶</v>
      </c>
      <c r="G1250" s="6" t="s">
        <v>125</v>
      </c>
    </row>
    <row r="1251" spans="1:7">
      <c r="A1251" s="6"/>
      <c r="B1251" s="5">
        <v>46171</v>
      </c>
      <c r="C1251" s="7" t="s">
        <v>54</v>
      </c>
      <c r="D1251" s="8" t="str">
        <f>IFERROR(VLOOKUP(C1251,产品数据!$B:$D,2,FALSE),"")</f>
        <v>1kg*6瓶/箱</v>
      </c>
      <c r="E1251" s="6">
        <v>1</v>
      </c>
      <c r="F1251" s="8" t="str">
        <f>IFERROR(VLOOKUP(C1251,产品数据!$B:$D,3,FALSE),"")</f>
        <v>瓶</v>
      </c>
      <c r="G1251" s="6" t="s">
        <v>125</v>
      </c>
    </row>
    <row r="1252" spans="1:7">
      <c r="A1252" s="6"/>
      <c r="B1252" s="5">
        <v>46171</v>
      </c>
      <c r="C1252" s="7" t="s">
        <v>104</v>
      </c>
      <c r="D1252" s="8" t="str">
        <f>IFERROR(VLOOKUP(C1252,产品数据!$B:$D,2,FALSE),"")</f>
        <v>500ml*6瓶/箱</v>
      </c>
      <c r="E1252" s="6">
        <v>4</v>
      </c>
      <c r="F1252" s="8" t="str">
        <f>IFERROR(VLOOKUP(C1252,产品数据!$B:$D,3,FALSE),"")</f>
        <v>瓶</v>
      </c>
      <c r="G1252" s="6" t="s">
        <v>125</v>
      </c>
    </row>
    <row r="1253" spans="1:7">
      <c r="A1253" s="6"/>
      <c r="B1253" s="5">
        <v>46171</v>
      </c>
      <c r="C1253" s="7" t="s">
        <v>63</v>
      </c>
      <c r="D1253" s="8" t="str">
        <f>IFERROR(VLOOKUP(C1253,产品数据!$B:$D,2,FALSE),"")</f>
        <v>280g/包</v>
      </c>
      <c r="E1253" s="6">
        <v>10</v>
      </c>
      <c r="F1253" s="8" t="str">
        <f>IFERROR(VLOOKUP(C1253,产品数据!$B:$D,3,FALSE),"")</f>
        <v>包</v>
      </c>
      <c r="G1253" s="6" t="s">
        <v>125</v>
      </c>
    </row>
    <row r="1254" spans="1:7">
      <c r="A1254" s="6"/>
      <c r="B1254" s="5">
        <v>46171</v>
      </c>
      <c r="C1254" s="7" t="s">
        <v>56</v>
      </c>
      <c r="D1254" s="8" t="str">
        <f>IFERROR(VLOOKUP(C1254,产品数据!$B:$D,2,FALSE),"")</f>
        <v>178g*50包/箱</v>
      </c>
      <c r="E1254" s="6">
        <v>5</v>
      </c>
      <c r="F1254" s="8" t="str">
        <f>IFERROR(VLOOKUP(C1254,产品数据!$B:$D,3,FALSE),"")</f>
        <v>包</v>
      </c>
      <c r="G1254" s="6" t="s">
        <v>125</v>
      </c>
    </row>
    <row r="1255" spans="1:7">
      <c r="A1255" s="6"/>
      <c r="B1255" s="5">
        <v>46171</v>
      </c>
      <c r="C1255" s="7" t="s">
        <v>45</v>
      </c>
      <c r="D1255" s="8" t="str">
        <f>IFERROR(VLOOKUP(C1255,产品数据!$B:$D,2,FALSE),"")</f>
        <v>1.9kg/瓶</v>
      </c>
      <c r="E1255" s="6">
        <v>1</v>
      </c>
      <c r="F1255" s="8" t="str">
        <f>IFERROR(VLOOKUP(C1255,产品数据!$B:$D,3,FALSE),"")</f>
        <v>瓶</v>
      </c>
      <c r="G1255" s="6" t="s">
        <v>125</v>
      </c>
    </row>
    <row r="1256" spans="1:7">
      <c r="A1256" s="6"/>
      <c r="B1256" s="5">
        <v>46171</v>
      </c>
      <c r="C1256" s="7" t="s">
        <v>63</v>
      </c>
      <c r="D1256" s="8" t="str">
        <f>IFERROR(VLOOKUP(C1256,产品数据!$B:$D,2,FALSE),"")</f>
        <v>280g/包</v>
      </c>
      <c r="E1256" s="6">
        <v>2</v>
      </c>
      <c r="F1256" s="8" t="str">
        <f>IFERROR(VLOOKUP(C1256,产品数据!$B:$D,3,FALSE),"")</f>
        <v>包</v>
      </c>
      <c r="G1256" s="6" t="s">
        <v>128</v>
      </c>
    </row>
    <row r="1257" spans="1:7">
      <c r="A1257" s="6"/>
      <c r="B1257" s="5">
        <v>46171</v>
      </c>
      <c r="C1257" s="7" t="s">
        <v>96</v>
      </c>
      <c r="D1257" s="8" t="str">
        <f>IFERROR(VLOOKUP(C1257,产品数据!$B:$D,2,FALSE),"")</f>
        <v>10千克/袋</v>
      </c>
      <c r="E1257" s="6">
        <v>1</v>
      </c>
      <c r="F1257" s="8" t="str">
        <f>IFERROR(VLOOKUP(C1257,产品数据!$B:$D,3,FALSE),"")</f>
        <v>袋</v>
      </c>
      <c r="G1257" s="6" t="s">
        <v>127</v>
      </c>
    </row>
    <row r="1258" spans="1:7">
      <c r="A1258" s="6"/>
      <c r="B1258" s="5">
        <v>46171</v>
      </c>
      <c r="C1258" s="7" t="s">
        <v>100</v>
      </c>
      <c r="D1258" s="8" t="str">
        <f>IFERROR(VLOOKUP(C1258,产品数据!$B:$D,2,FALSE),"")</f>
        <v>5kg/包</v>
      </c>
      <c r="E1258" s="6">
        <v>5</v>
      </c>
      <c r="F1258" s="8" t="str">
        <f>IFERROR(VLOOKUP(C1258,产品数据!$B:$D,3,FALSE),"")</f>
        <v>包</v>
      </c>
      <c r="G1258" s="6" t="s">
        <v>128</v>
      </c>
    </row>
    <row r="1259" spans="1:7">
      <c r="A1259" s="6"/>
      <c r="B1259" s="5">
        <v>46174</v>
      </c>
      <c r="C1259" s="7" t="s">
        <v>41</v>
      </c>
      <c r="D1259" s="8" t="str">
        <f>IFERROR(VLOOKUP(C1259,产品数据!$B:$D,2,FALSE),"")</f>
        <v>5l/*4桶/箱</v>
      </c>
      <c r="E1259" s="6">
        <v>4</v>
      </c>
      <c r="F1259" s="8" t="str">
        <f>IFERROR(VLOOKUP(C1259,产品数据!$B:$D,3,FALSE),"")</f>
        <v>桶</v>
      </c>
      <c r="G1259" s="6" t="s">
        <v>125</v>
      </c>
    </row>
    <row r="1260" spans="1:7">
      <c r="A1260" s="6"/>
      <c r="B1260" s="5">
        <v>46174</v>
      </c>
      <c r="C1260" s="7" t="s">
        <v>54</v>
      </c>
      <c r="D1260" s="8" t="str">
        <f>IFERROR(VLOOKUP(C1260,产品数据!$B:$D,2,FALSE),"")</f>
        <v>1kg*6瓶/箱</v>
      </c>
      <c r="E1260" s="6">
        <v>1</v>
      </c>
      <c r="F1260" s="8" t="str">
        <f>IFERROR(VLOOKUP(C1260,产品数据!$B:$D,3,FALSE),"")</f>
        <v>瓶</v>
      </c>
      <c r="G1260" s="6" t="s">
        <v>125</v>
      </c>
    </row>
    <row r="1261" spans="1:7">
      <c r="A1261" s="6"/>
      <c r="B1261" s="5">
        <v>46174</v>
      </c>
      <c r="C1261" s="7" t="s">
        <v>109</v>
      </c>
      <c r="D1261" s="8" t="str">
        <f>IFERROR(VLOOKUP(C1261,产品数据!$B:$D,2,FALSE),"")</f>
        <v>1L/瓶*12瓶/箱</v>
      </c>
      <c r="E1261" s="6">
        <v>1</v>
      </c>
      <c r="F1261" s="8" t="str">
        <f>IFERROR(VLOOKUP(C1261,产品数据!$B:$D,3,FALSE),"")</f>
        <v>瓶</v>
      </c>
      <c r="G1261" s="6" t="s">
        <v>125</v>
      </c>
    </row>
    <row r="1262" spans="1:7">
      <c r="A1262" s="6"/>
      <c r="B1262" s="5">
        <v>46174</v>
      </c>
      <c r="C1262" s="7" t="s">
        <v>57</v>
      </c>
      <c r="D1262" s="8" t="str">
        <f>IFERROR(VLOOKUP(C1262,产品数据!$B:$D,2,FALSE),"")</f>
        <v>400g*25包/箱</v>
      </c>
      <c r="E1262" s="6">
        <v>2</v>
      </c>
      <c r="F1262" s="8" t="str">
        <f>IFERROR(VLOOKUP(C1262,产品数据!$B:$D,3,FALSE),"")</f>
        <v>包</v>
      </c>
      <c r="G1262" s="6" t="s">
        <v>125</v>
      </c>
    </row>
    <row r="1263" spans="1:7">
      <c r="A1263" s="6"/>
      <c r="B1263" s="5">
        <v>46174</v>
      </c>
      <c r="C1263" s="7" t="s">
        <v>107</v>
      </c>
      <c r="D1263" s="8" t="str">
        <f>IFERROR(VLOOKUP(C1263,产品数据!$B:$D,2,FALSE),"")</f>
        <v>1.43L/壶*6壶/箱</v>
      </c>
      <c r="E1263" s="6">
        <v>1</v>
      </c>
      <c r="F1263" s="8" t="str">
        <f>IFERROR(VLOOKUP(C1263,产品数据!$B:$D,3,FALSE),"")</f>
        <v>壶</v>
      </c>
      <c r="G1263" s="6" t="s">
        <v>125</v>
      </c>
    </row>
    <row r="1264" spans="1:7">
      <c r="A1264" s="6"/>
      <c r="B1264" s="5">
        <v>46174</v>
      </c>
      <c r="C1264" s="7" t="s">
        <v>41</v>
      </c>
      <c r="D1264" s="8" t="str">
        <f>IFERROR(VLOOKUP(C1264,产品数据!$B:$D,2,FALSE),"")</f>
        <v>5l/*4桶/箱</v>
      </c>
      <c r="E1264" s="6">
        <v>2</v>
      </c>
      <c r="F1264" s="8" t="str">
        <f>IFERROR(VLOOKUP(C1264,产品数据!$B:$D,3,FALSE),"")</f>
        <v>桶</v>
      </c>
      <c r="G1264" s="6" t="s">
        <v>126</v>
      </c>
    </row>
    <row r="1265" spans="1:7">
      <c r="A1265" s="6"/>
      <c r="B1265" s="5">
        <v>46174</v>
      </c>
      <c r="C1265" s="7" t="s">
        <v>57</v>
      </c>
      <c r="D1265" s="8" t="str">
        <f>IFERROR(VLOOKUP(C1265,产品数据!$B:$D,2,FALSE),"")</f>
        <v>400g*25包/箱</v>
      </c>
      <c r="E1265" s="6">
        <v>2</v>
      </c>
      <c r="F1265" s="8" t="str">
        <f>IFERROR(VLOOKUP(C1265,产品数据!$B:$D,3,FALSE),"")</f>
        <v>包</v>
      </c>
      <c r="G1265" s="6" t="s">
        <v>126</v>
      </c>
    </row>
    <row r="1266" spans="1:7">
      <c r="A1266" s="6"/>
      <c r="B1266" s="5">
        <v>46174</v>
      </c>
      <c r="C1266" s="7" t="s">
        <v>104</v>
      </c>
      <c r="D1266" s="8" t="str">
        <f>IFERROR(VLOOKUP(C1266,产品数据!$B:$D,2,FALSE),"")</f>
        <v>500ml*6瓶/箱</v>
      </c>
      <c r="E1266" s="6">
        <v>2</v>
      </c>
      <c r="F1266" s="8" t="str">
        <f>IFERROR(VLOOKUP(C1266,产品数据!$B:$D,3,FALSE),"")</f>
        <v>瓶</v>
      </c>
      <c r="G1266" s="6" t="s">
        <v>126</v>
      </c>
    </row>
    <row r="1267" spans="1:7">
      <c r="A1267" s="6"/>
      <c r="B1267" s="5">
        <v>46174</v>
      </c>
      <c r="C1267" s="7" t="s">
        <v>63</v>
      </c>
      <c r="D1267" s="8" t="str">
        <f>IFERROR(VLOOKUP(C1267,产品数据!$B:$D,2,FALSE),"")</f>
        <v>280g/包</v>
      </c>
      <c r="E1267" s="6">
        <v>2</v>
      </c>
      <c r="F1267" s="8" t="str">
        <f>IFERROR(VLOOKUP(C1267,产品数据!$B:$D,3,FALSE),"")</f>
        <v>包</v>
      </c>
      <c r="G1267" s="6" t="s">
        <v>126</v>
      </c>
    </row>
    <row r="1268" spans="1:7">
      <c r="A1268" s="6"/>
      <c r="B1268" s="5">
        <v>46174</v>
      </c>
      <c r="C1268" s="7" t="s">
        <v>112</v>
      </c>
      <c r="D1268" s="8" t="str">
        <f>IFERROR(VLOOKUP(C1268,产品数据!$B:$D,2,FALSE),"")</f>
        <v>250g/包</v>
      </c>
      <c r="E1268" s="6">
        <v>13</v>
      </c>
      <c r="F1268" s="8" t="str">
        <f>IFERROR(VLOOKUP(C1268,产品数据!$B:$D,3,FALSE),"")</f>
        <v>包</v>
      </c>
      <c r="G1268" s="6" t="s">
        <v>126</v>
      </c>
    </row>
    <row r="1269" spans="1:7">
      <c r="A1269" s="6"/>
      <c r="B1269" s="5">
        <v>46174</v>
      </c>
      <c r="C1269" s="7" t="s">
        <v>54</v>
      </c>
      <c r="D1269" s="8" t="str">
        <f>IFERROR(VLOOKUP(C1269,产品数据!$B:$D,2,FALSE),"")</f>
        <v>1kg*6瓶/箱</v>
      </c>
      <c r="E1269" s="6">
        <v>1</v>
      </c>
      <c r="F1269" s="8" t="str">
        <f>IFERROR(VLOOKUP(C1269,产品数据!$B:$D,3,FALSE),"")</f>
        <v>瓶</v>
      </c>
      <c r="G1269" s="6" t="s">
        <v>128</v>
      </c>
    </row>
    <row r="1270" spans="1:7">
      <c r="A1270" s="6"/>
      <c r="B1270" s="5">
        <v>46174</v>
      </c>
      <c r="C1270" s="7" t="s">
        <v>55</v>
      </c>
      <c r="D1270" s="8" t="str">
        <f>IFERROR(VLOOKUP(C1270,产品数据!$B:$D,2,FALSE),"")</f>
        <v>1升*12瓶/箱</v>
      </c>
      <c r="E1270" s="6">
        <v>1</v>
      </c>
      <c r="F1270" s="8" t="str">
        <f>IFERROR(VLOOKUP(C1270,产品数据!$B:$D,3,FALSE),"")</f>
        <v>瓶</v>
      </c>
      <c r="G1270" s="6" t="s">
        <v>128</v>
      </c>
    </row>
    <row r="1271" spans="1:7">
      <c r="A1271" s="6"/>
      <c r="B1271" s="5">
        <v>46174</v>
      </c>
      <c r="C1271" s="7" t="s">
        <v>100</v>
      </c>
      <c r="D1271" s="8" t="str">
        <f>IFERROR(VLOOKUP(C1271,产品数据!$B:$D,2,FALSE),"")</f>
        <v>5kg/包</v>
      </c>
      <c r="E1271" s="6">
        <v>5</v>
      </c>
      <c r="F1271" s="8" t="str">
        <f>IFERROR(VLOOKUP(C1271,产品数据!$B:$D,3,FALSE),"")</f>
        <v>包</v>
      </c>
      <c r="G1271" s="6" t="s">
        <v>128</v>
      </c>
    </row>
    <row r="1272" spans="1:7">
      <c r="A1272" s="6"/>
      <c r="B1272" s="5">
        <v>46174</v>
      </c>
      <c r="C1272" s="7" t="s">
        <v>96</v>
      </c>
      <c r="D1272" s="8" t="str">
        <f>IFERROR(VLOOKUP(C1272,产品数据!$B:$D,2,FALSE),"")</f>
        <v>10千克/袋</v>
      </c>
      <c r="E1272" s="6">
        <v>2</v>
      </c>
      <c r="F1272" s="8" t="str">
        <f>IFERROR(VLOOKUP(C1272,产品数据!$B:$D,3,FALSE),"")</f>
        <v>袋</v>
      </c>
      <c r="G1272" s="6" t="s">
        <v>127</v>
      </c>
    </row>
    <row r="1273" spans="1:7">
      <c r="A1273" s="6"/>
      <c r="B1273" s="5">
        <v>46174</v>
      </c>
      <c r="C1273" s="7" t="s">
        <v>114</v>
      </c>
      <c r="D1273" s="8" t="str">
        <f>IFERROR(VLOOKUP(C1273,产品数据!$B:$D,2,FALSE),"")</f>
        <v>300g/瓶*36瓶/箱</v>
      </c>
      <c r="E1273" s="6">
        <v>5</v>
      </c>
      <c r="F1273" s="8" t="str">
        <f>IFERROR(VLOOKUP(C1273,产品数据!$B:$D,3,FALSE),"")</f>
        <v>瓶</v>
      </c>
      <c r="G1273" s="6" t="s">
        <v>127</v>
      </c>
    </row>
    <row r="1274" spans="1:7">
      <c r="A1274" s="6"/>
      <c r="B1274" s="5">
        <v>46175</v>
      </c>
      <c r="C1274" s="7" t="s">
        <v>41</v>
      </c>
      <c r="D1274" s="8" t="str">
        <f>IFERROR(VLOOKUP(C1274,产品数据!$B:$D,2,FALSE),"")</f>
        <v>5l/*4桶/箱</v>
      </c>
      <c r="E1274" s="6">
        <v>3</v>
      </c>
      <c r="F1274" s="8" t="str">
        <f>IFERROR(VLOOKUP(C1274,产品数据!$B:$D,3,FALSE),"")</f>
        <v>桶</v>
      </c>
      <c r="G1274" s="6" t="s">
        <v>125</v>
      </c>
    </row>
    <row r="1275" spans="1:7">
      <c r="A1275" s="6"/>
      <c r="B1275" s="5">
        <v>46175</v>
      </c>
      <c r="C1275" s="7" t="s">
        <v>44</v>
      </c>
      <c r="D1275" s="8" t="str">
        <f>IFERROR(VLOOKUP(C1275,产品数据!$B:$D,2,FALSE),"")</f>
        <v>1.9升/瓶*6瓶/箱</v>
      </c>
      <c r="E1275" s="6">
        <v>1</v>
      </c>
      <c r="F1275" s="8" t="str">
        <f>IFERROR(VLOOKUP(C1275,产品数据!$B:$D,3,FALSE),"")</f>
        <v>瓶</v>
      </c>
      <c r="G1275" s="6" t="s">
        <v>125</v>
      </c>
    </row>
    <row r="1276" spans="1:7">
      <c r="A1276" s="6"/>
      <c r="B1276" s="5">
        <v>46175</v>
      </c>
      <c r="C1276" s="7" t="s">
        <v>107</v>
      </c>
      <c r="D1276" s="8" t="str">
        <f>IFERROR(VLOOKUP(C1276,产品数据!$B:$D,2,FALSE),"")</f>
        <v>1.43L/壶*6壶/箱</v>
      </c>
      <c r="E1276" s="6">
        <v>3</v>
      </c>
      <c r="F1276" s="8" t="str">
        <f>IFERROR(VLOOKUP(C1276,产品数据!$B:$D,3,FALSE),"")</f>
        <v>壶</v>
      </c>
      <c r="G1276" s="6" t="s">
        <v>125</v>
      </c>
    </row>
    <row r="1277" spans="1:7">
      <c r="A1277" s="6"/>
      <c r="B1277" s="5">
        <v>46175</v>
      </c>
      <c r="C1277" s="7" t="s">
        <v>57</v>
      </c>
      <c r="D1277" s="8" t="str">
        <f>IFERROR(VLOOKUP(C1277,产品数据!$B:$D,2,FALSE),"")</f>
        <v>400g*25包/箱</v>
      </c>
      <c r="E1277" s="6">
        <v>2</v>
      </c>
      <c r="F1277" s="8" t="str">
        <f>IFERROR(VLOOKUP(C1277,产品数据!$B:$D,3,FALSE),"")</f>
        <v>包</v>
      </c>
      <c r="G1277" s="6" t="s">
        <v>125</v>
      </c>
    </row>
    <row r="1278" spans="1:7">
      <c r="A1278" s="6"/>
      <c r="B1278" s="5">
        <v>46175</v>
      </c>
      <c r="C1278" s="7" t="s">
        <v>112</v>
      </c>
      <c r="D1278" s="8" t="str">
        <f>IFERROR(VLOOKUP(C1278,产品数据!$B:$D,2,FALSE),"")</f>
        <v>250g/包</v>
      </c>
      <c r="E1278" s="6">
        <v>10</v>
      </c>
      <c r="F1278" s="8" t="str">
        <f>IFERROR(VLOOKUP(C1278,产品数据!$B:$D,3,FALSE),"")</f>
        <v>包</v>
      </c>
      <c r="G1278" s="6" t="s">
        <v>125</v>
      </c>
    </row>
    <row r="1279" spans="1:7">
      <c r="A1279" s="6"/>
      <c r="B1279" s="5">
        <v>46175</v>
      </c>
      <c r="C1279" s="7" t="s">
        <v>104</v>
      </c>
      <c r="D1279" s="8" t="str">
        <f>IFERROR(VLOOKUP(C1279,产品数据!$B:$D,2,FALSE),"")</f>
        <v>500ml*6瓶/箱</v>
      </c>
      <c r="E1279" s="6">
        <v>4</v>
      </c>
      <c r="F1279" s="8" t="str">
        <f>IFERROR(VLOOKUP(C1279,产品数据!$B:$D,3,FALSE),"")</f>
        <v>瓶</v>
      </c>
      <c r="G1279" s="6" t="s">
        <v>125</v>
      </c>
    </row>
    <row r="1280" spans="1:7">
      <c r="A1280" s="6"/>
      <c r="B1280" s="5">
        <v>46175</v>
      </c>
      <c r="C1280" s="7" t="s">
        <v>54</v>
      </c>
      <c r="D1280" s="8" t="str">
        <f>IFERROR(VLOOKUP(C1280,产品数据!$B:$D,2,FALSE),"")</f>
        <v>1kg*6瓶/箱</v>
      </c>
      <c r="E1280" s="6">
        <v>1</v>
      </c>
      <c r="F1280" s="8" t="str">
        <f>IFERROR(VLOOKUP(C1280,产品数据!$B:$D,3,FALSE),"")</f>
        <v>瓶</v>
      </c>
      <c r="G1280" s="6" t="s">
        <v>125</v>
      </c>
    </row>
    <row r="1281" spans="1:7">
      <c r="A1281" s="6"/>
      <c r="B1281" s="5">
        <v>46175</v>
      </c>
      <c r="C1281" s="7" t="s">
        <v>109</v>
      </c>
      <c r="D1281" s="8" t="str">
        <f>IFERROR(VLOOKUP(C1281,产品数据!$B:$D,2,FALSE),"")</f>
        <v>1L/瓶*12瓶/箱</v>
      </c>
      <c r="E1281" s="6">
        <v>1</v>
      </c>
      <c r="F1281" s="8" t="str">
        <f>IFERROR(VLOOKUP(C1281,产品数据!$B:$D,3,FALSE),"")</f>
        <v>瓶</v>
      </c>
      <c r="G1281" s="6" t="s">
        <v>125</v>
      </c>
    </row>
    <row r="1282" spans="1:7">
      <c r="A1282" s="6"/>
      <c r="B1282" s="5">
        <v>46175</v>
      </c>
      <c r="C1282" s="7" t="s">
        <v>63</v>
      </c>
      <c r="D1282" s="8" t="str">
        <f>IFERROR(VLOOKUP(C1282,产品数据!$B:$D,2,FALSE),"")</f>
        <v>280g/包</v>
      </c>
      <c r="E1282" s="6">
        <v>5</v>
      </c>
      <c r="F1282" s="8" t="str">
        <f>IFERROR(VLOOKUP(C1282,产品数据!$B:$D,3,FALSE),"")</f>
        <v>包</v>
      </c>
      <c r="G1282" s="6" t="s">
        <v>125</v>
      </c>
    </row>
    <row r="1283" spans="1:7">
      <c r="A1283" s="6"/>
      <c r="B1283" s="5">
        <v>46175</v>
      </c>
      <c r="C1283" s="7" t="s">
        <v>102</v>
      </c>
      <c r="D1283" s="8" t="str">
        <f>IFERROR(VLOOKUP(C1283,产品数据!$B:$D,2,FALSE),"")</f>
        <v>410毫升*12瓶/箱</v>
      </c>
      <c r="E1283" s="6">
        <v>1</v>
      </c>
      <c r="F1283" s="8" t="str">
        <f>IFERROR(VLOOKUP(C1283,产品数据!$B:$D,3,FALSE),"")</f>
        <v>瓶</v>
      </c>
      <c r="G1283" s="6" t="s">
        <v>125</v>
      </c>
    </row>
    <row r="1284" spans="1:7">
      <c r="A1284" s="6"/>
      <c r="B1284" s="5">
        <v>46175</v>
      </c>
      <c r="C1284" s="7" t="s">
        <v>47</v>
      </c>
      <c r="D1284" s="8" t="str">
        <f>IFERROR(VLOOKUP(C1284,产品数据!$B:$D,2,FALSE),"")</f>
        <v>500克/瓶*24瓶/箱</v>
      </c>
      <c r="E1284" s="6">
        <v>2</v>
      </c>
      <c r="F1284" s="8" t="str">
        <f>IFERROR(VLOOKUP(C1284,产品数据!$B:$D,3,FALSE),"")</f>
        <v>瓶</v>
      </c>
      <c r="G1284" s="6" t="s">
        <v>125</v>
      </c>
    </row>
    <row r="1285" spans="1:7">
      <c r="A1285" s="6"/>
      <c r="B1285" s="5">
        <v>46175</v>
      </c>
      <c r="C1285" s="7" t="s">
        <v>48</v>
      </c>
      <c r="D1285" s="8" t="str">
        <f>IFERROR(VLOOKUP(C1285,产品数据!$B:$D,2,FALSE),"")</f>
        <v>500克/瓶*24瓶/箱</v>
      </c>
      <c r="E1285" s="6">
        <v>2</v>
      </c>
      <c r="F1285" s="8" t="str">
        <f>IFERROR(VLOOKUP(C1285,产品数据!$B:$D,3,FALSE),"")</f>
        <v>瓶</v>
      </c>
      <c r="G1285" s="6" t="s">
        <v>125</v>
      </c>
    </row>
    <row r="1286" spans="1:7">
      <c r="A1286" s="6"/>
      <c r="B1286" s="5">
        <v>46175</v>
      </c>
      <c r="C1286" s="7" t="s">
        <v>100</v>
      </c>
      <c r="D1286" s="8" t="str">
        <f>IFERROR(VLOOKUP(C1286,产品数据!$B:$D,2,FALSE),"")</f>
        <v>5kg/包</v>
      </c>
      <c r="E1286" s="6">
        <v>5</v>
      </c>
      <c r="F1286" s="8" t="str">
        <f>IFERROR(VLOOKUP(C1286,产品数据!$B:$D,3,FALSE),"")</f>
        <v>包</v>
      </c>
      <c r="G1286" s="6" t="s">
        <v>128</v>
      </c>
    </row>
    <row r="1287" spans="1:7">
      <c r="A1287" s="6"/>
      <c r="B1287" s="5">
        <v>46175</v>
      </c>
      <c r="C1287" s="7" t="s">
        <v>96</v>
      </c>
      <c r="D1287" s="8" t="str">
        <f>IFERROR(VLOOKUP(C1287,产品数据!$B:$D,2,FALSE),"")</f>
        <v>10千克/袋</v>
      </c>
      <c r="E1287" s="6">
        <v>2</v>
      </c>
      <c r="F1287" s="8" t="str">
        <f>IFERROR(VLOOKUP(C1287,产品数据!$B:$D,3,FALSE),"")</f>
        <v>袋</v>
      </c>
      <c r="G1287" s="6" t="s">
        <v>127</v>
      </c>
    </row>
    <row r="1288" spans="1:7">
      <c r="A1288" s="6"/>
      <c r="B1288" s="5">
        <v>46176</v>
      </c>
      <c r="C1288" s="7" t="s">
        <v>41</v>
      </c>
      <c r="D1288" s="8" t="str">
        <f>IFERROR(VLOOKUP(C1288,产品数据!$B:$D,2,FALSE),"")</f>
        <v>5l/*4桶/箱</v>
      </c>
      <c r="E1288" s="6">
        <v>3</v>
      </c>
      <c r="F1288" s="8" t="str">
        <f>IFERROR(VLOOKUP(C1288,产品数据!$B:$D,3,FALSE),"")</f>
        <v>桶</v>
      </c>
      <c r="G1288" s="6" t="s">
        <v>125</v>
      </c>
    </row>
    <row r="1289" spans="1:7">
      <c r="A1289" s="6"/>
      <c r="B1289" s="5">
        <v>46176</v>
      </c>
      <c r="C1289" s="7" t="s">
        <v>54</v>
      </c>
      <c r="D1289" s="8" t="str">
        <f>IFERROR(VLOOKUP(C1289,产品数据!$B:$D,2,FALSE),"")</f>
        <v>1kg*6瓶/箱</v>
      </c>
      <c r="E1289" s="6">
        <v>1</v>
      </c>
      <c r="F1289" s="8" t="str">
        <f>IFERROR(VLOOKUP(C1289,产品数据!$B:$D,3,FALSE),"")</f>
        <v>瓶</v>
      </c>
      <c r="G1289" s="6" t="s">
        <v>125</v>
      </c>
    </row>
    <row r="1290" spans="1:7">
      <c r="A1290" s="6"/>
      <c r="B1290" s="5">
        <v>46176</v>
      </c>
      <c r="C1290" s="7" t="s">
        <v>109</v>
      </c>
      <c r="D1290" s="8" t="str">
        <f>IFERROR(VLOOKUP(C1290,产品数据!$B:$D,2,FALSE),"")</f>
        <v>1L/瓶*12瓶/箱</v>
      </c>
      <c r="E1290" s="6">
        <v>1</v>
      </c>
      <c r="F1290" s="8" t="str">
        <f>IFERROR(VLOOKUP(C1290,产品数据!$B:$D,3,FALSE),"")</f>
        <v>瓶</v>
      </c>
      <c r="G1290" s="6" t="s">
        <v>125</v>
      </c>
    </row>
    <row r="1291" spans="1:7">
      <c r="A1291" s="6"/>
      <c r="B1291" s="5">
        <v>46176</v>
      </c>
      <c r="C1291" s="7" t="s">
        <v>111</v>
      </c>
      <c r="D1291" s="8" t="str">
        <f>IFERROR(VLOOKUP(C1291,产品数据!$B:$D,2,FALSE),"")</f>
        <v>1.9升/瓶*6瓶/箱</v>
      </c>
      <c r="E1291" s="6">
        <v>1</v>
      </c>
      <c r="F1291" s="8" t="str">
        <f>IFERROR(VLOOKUP(C1291,产品数据!$B:$D,3,FALSE),"")</f>
        <v>瓶</v>
      </c>
      <c r="G1291" s="6" t="s">
        <v>125</v>
      </c>
    </row>
    <row r="1292" spans="1:7">
      <c r="A1292" s="6"/>
      <c r="B1292" s="5">
        <v>46176</v>
      </c>
      <c r="C1292" s="7" t="s">
        <v>57</v>
      </c>
      <c r="D1292" s="8" t="str">
        <f>IFERROR(VLOOKUP(C1292,产品数据!$B:$D,2,FALSE),"")</f>
        <v>400g*25包/箱</v>
      </c>
      <c r="E1292" s="6">
        <v>2</v>
      </c>
      <c r="F1292" s="8" t="str">
        <f>IFERROR(VLOOKUP(C1292,产品数据!$B:$D,3,FALSE),"")</f>
        <v>包</v>
      </c>
      <c r="G1292" s="6" t="s">
        <v>125</v>
      </c>
    </row>
    <row r="1293" spans="1:7">
      <c r="A1293" s="6"/>
      <c r="B1293" s="5">
        <v>46176</v>
      </c>
      <c r="C1293" s="7" t="s">
        <v>44</v>
      </c>
      <c r="D1293" s="8" t="str">
        <f>IFERROR(VLOOKUP(C1293,产品数据!$B:$D,2,FALSE),"")</f>
        <v>1.9升/瓶*6瓶/箱</v>
      </c>
      <c r="E1293" s="6">
        <v>1</v>
      </c>
      <c r="F1293" s="8" t="str">
        <f>IFERROR(VLOOKUP(C1293,产品数据!$B:$D,3,FALSE),"")</f>
        <v>瓶</v>
      </c>
      <c r="G1293" s="6" t="s">
        <v>125</v>
      </c>
    </row>
    <row r="1294" spans="1:7">
      <c r="A1294" s="6"/>
      <c r="B1294" s="5">
        <v>46176</v>
      </c>
      <c r="C1294" s="7" t="s">
        <v>107</v>
      </c>
      <c r="D1294" s="8" t="str">
        <f>IFERROR(VLOOKUP(C1294,产品数据!$B:$D,2,FALSE),"")</f>
        <v>1.43L/壶*6壶/箱</v>
      </c>
      <c r="E1294" s="6">
        <v>2</v>
      </c>
      <c r="F1294" s="8" t="str">
        <f>IFERROR(VLOOKUP(C1294,产品数据!$B:$D,3,FALSE),"")</f>
        <v>壶</v>
      </c>
      <c r="G1294" s="6" t="s">
        <v>125</v>
      </c>
    </row>
    <row r="1295" spans="1:7">
      <c r="A1295" s="6"/>
      <c r="B1295" s="5">
        <v>46176</v>
      </c>
      <c r="C1295" s="7" t="s">
        <v>63</v>
      </c>
      <c r="D1295" s="8" t="str">
        <f>IFERROR(VLOOKUP(C1295,产品数据!$B:$D,2,FALSE),"")</f>
        <v>280g/包</v>
      </c>
      <c r="E1295" s="6">
        <v>5</v>
      </c>
      <c r="F1295" s="8" t="str">
        <f>IFERROR(VLOOKUP(C1295,产品数据!$B:$D,3,FALSE),"")</f>
        <v>包</v>
      </c>
      <c r="G1295" s="6" t="s">
        <v>125</v>
      </c>
    </row>
    <row r="1296" spans="1:7">
      <c r="A1296" s="6"/>
      <c r="B1296" s="5">
        <v>46176</v>
      </c>
      <c r="C1296" s="7" t="s">
        <v>50</v>
      </c>
      <c r="D1296" s="8" t="str">
        <f>IFERROR(VLOOKUP(C1296,产品数据!$B:$D,2,FALSE),"")</f>
        <v>2kg/包*6包/箱</v>
      </c>
      <c r="E1296" s="6">
        <v>1</v>
      </c>
      <c r="F1296" s="8" t="str">
        <f>IFERROR(VLOOKUP(C1296,产品数据!$B:$D,3,FALSE),"")</f>
        <v>包</v>
      </c>
      <c r="G1296" s="6" t="s">
        <v>125</v>
      </c>
    </row>
    <row r="1297" spans="1:7">
      <c r="A1297" s="6"/>
      <c r="B1297" s="5">
        <v>46176</v>
      </c>
      <c r="C1297" s="7" t="s">
        <v>96</v>
      </c>
      <c r="D1297" s="8" t="str">
        <f>IFERROR(VLOOKUP(C1297,产品数据!$B:$D,2,FALSE),"")</f>
        <v>10千克/袋</v>
      </c>
      <c r="E1297" s="6">
        <v>2</v>
      </c>
      <c r="F1297" s="8" t="str">
        <f>IFERROR(VLOOKUP(C1297,产品数据!$B:$D,3,FALSE),"")</f>
        <v>袋</v>
      </c>
      <c r="G1297" s="6" t="s">
        <v>127</v>
      </c>
    </row>
    <row r="1298" spans="1:7">
      <c r="A1298" s="6"/>
      <c r="B1298" s="5"/>
      <c r="C1298" s="7"/>
      <c r="D1298" s="8" t="str">
        <f>IFERROR(VLOOKUP(C1298,产品数据!$B:$D,2,FALSE),"")</f>
        <v/>
      </c>
      <c r="E1298" s="6"/>
      <c r="F1298" s="8" t="str">
        <f>IFERROR(VLOOKUP(C1298,产品数据!$B:$D,3,FALSE),"")</f>
        <v/>
      </c>
      <c r="G1298" s="6"/>
    </row>
    <row r="1299" spans="1:7">
      <c r="A1299" s="6"/>
      <c r="B1299" s="5"/>
      <c r="C1299" s="7"/>
      <c r="D1299" s="8" t="str">
        <f>IFERROR(VLOOKUP(C1299,产品数据!$B:$D,2,FALSE),"")</f>
        <v/>
      </c>
      <c r="E1299" s="6"/>
      <c r="F1299" s="8" t="str">
        <f>IFERROR(VLOOKUP(C1299,产品数据!$B:$D,3,FALSE),"")</f>
        <v/>
      </c>
      <c r="G1299" s="6"/>
    </row>
    <row r="1300" spans="1:7">
      <c r="A1300" s="6"/>
      <c r="B1300" s="5"/>
      <c r="C1300" s="7"/>
      <c r="D1300" s="8" t="str">
        <f>IFERROR(VLOOKUP(C1300,产品数据!$B:$D,2,FALSE),"")</f>
        <v/>
      </c>
      <c r="E1300" s="6"/>
      <c r="F1300" s="8" t="str">
        <f>IFERROR(VLOOKUP(C1300,产品数据!$B:$D,3,FALSE),"")</f>
        <v/>
      </c>
      <c r="G1300" s="6"/>
    </row>
    <row r="1301" spans="1:7">
      <c r="A1301" s="6"/>
      <c r="B1301" s="5"/>
      <c r="C1301" s="7"/>
      <c r="D1301" s="8" t="str">
        <f>IFERROR(VLOOKUP(C1301,产品数据!$B:$D,2,FALSE),"")</f>
        <v/>
      </c>
      <c r="E1301" s="6"/>
      <c r="F1301" s="8" t="str">
        <f>IFERROR(VLOOKUP(C1301,产品数据!$B:$D,3,FALSE),"")</f>
        <v/>
      </c>
      <c r="G1301" s="6"/>
    </row>
    <row r="1302" spans="1:7">
      <c r="A1302" s="6"/>
      <c r="B1302" s="5"/>
      <c r="C1302" s="7"/>
      <c r="D1302" s="8" t="str">
        <f>IFERROR(VLOOKUP(C1302,产品数据!$B:$D,2,FALSE),"")</f>
        <v/>
      </c>
      <c r="E1302" s="6"/>
      <c r="F1302" s="8" t="str">
        <f>IFERROR(VLOOKUP(C1302,产品数据!$B:$D,3,FALSE),"")</f>
        <v/>
      </c>
      <c r="G1302" s="6"/>
    </row>
    <row r="1303" spans="1:7">
      <c r="A1303" s="6"/>
      <c r="B1303" s="5"/>
      <c r="C1303" s="7"/>
      <c r="D1303" s="8" t="str">
        <f>IFERROR(VLOOKUP(C1303,产品数据!$B:$D,2,FALSE),"")</f>
        <v/>
      </c>
      <c r="E1303" s="6"/>
      <c r="F1303" s="8" t="str">
        <f>IFERROR(VLOOKUP(C1303,产品数据!$B:$D,3,FALSE),"")</f>
        <v/>
      </c>
      <c r="G1303" s="6"/>
    </row>
    <row r="1304" spans="1:7">
      <c r="A1304" s="6"/>
      <c r="B1304" s="5"/>
      <c r="C1304" s="7"/>
      <c r="D1304" s="8" t="str">
        <f>IFERROR(VLOOKUP(C1304,产品数据!$B:$D,2,FALSE),"")</f>
        <v/>
      </c>
      <c r="E1304" s="6"/>
      <c r="F1304" s="8" t="str">
        <f>IFERROR(VLOOKUP(C1304,产品数据!$B:$D,3,FALSE),"")</f>
        <v/>
      </c>
      <c r="G1304" s="6"/>
    </row>
    <row r="1305" spans="1:7">
      <c r="A1305" s="6"/>
      <c r="B1305" s="5"/>
      <c r="C1305" s="7"/>
      <c r="D1305" s="8" t="str">
        <f>IFERROR(VLOOKUP(C1305,产品数据!$B:$D,2,FALSE),"")</f>
        <v/>
      </c>
      <c r="E1305" s="6"/>
      <c r="F1305" s="8" t="str">
        <f>IFERROR(VLOOKUP(C1305,产品数据!$B:$D,3,FALSE),"")</f>
        <v/>
      </c>
      <c r="G1305" s="6"/>
    </row>
    <row r="1306" spans="1:7">
      <c r="A1306" s="6"/>
      <c r="B1306" s="5"/>
      <c r="C1306" s="7"/>
      <c r="D1306" s="8" t="str">
        <f>IFERROR(VLOOKUP(C1306,产品数据!$B:$D,2,FALSE),"")</f>
        <v/>
      </c>
      <c r="E1306" s="6"/>
      <c r="F1306" s="8" t="str">
        <f>IFERROR(VLOOKUP(C1306,产品数据!$B:$D,3,FALSE),"")</f>
        <v/>
      </c>
      <c r="G1306" s="6"/>
    </row>
    <row r="1307" spans="1:7">
      <c r="A1307" s="6"/>
      <c r="B1307" s="5"/>
      <c r="C1307" s="7"/>
      <c r="D1307" s="8" t="str">
        <f>IFERROR(VLOOKUP(C1307,产品数据!$B:$D,2,FALSE),"")</f>
        <v/>
      </c>
      <c r="E1307" s="6"/>
      <c r="F1307" s="8" t="str">
        <f>IFERROR(VLOOKUP(C1307,产品数据!$B:$D,3,FALSE),"")</f>
        <v/>
      </c>
      <c r="G1307" s="6"/>
    </row>
    <row r="1308" spans="1:7">
      <c r="A1308" s="6"/>
      <c r="B1308" s="5"/>
      <c r="C1308" s="7"/>
      <c r="D1308" s="8" t="str">
        <f>IFERROR(VLOOKUP(C1308,产品数据!$B:$D,2,FALSE),"")</f>
        <v/>
      </c>
      <c r="E1308" s="6"/>
      <c r="F1308" s="8" t="str">
        <f>IFERROR(VLOOKUP(C1308,产品数据!$B:$D,3,FALSE),"")</f>
        <v/>
      </c>
      <c r="G1308" s="6"/>
    </row>
    <row r="1309" spans="1:7">
      <c r="A1309" s="6"/>
      <c r="B1309" s="5"/>
      <c r="C1309" s="7"/>
      <c r="D1309" s="8" t="str">
        <f>IFERROR(VLOOKUP(C1309,产品数据!$B:$D,2,FALSE),"")</f>
        <v/>
      </c>
      <c r="E1309" s="6"/>
      <c r="F1309" s="8" t="str">
        <f>IFERROR(VLOOKUP(C1309,产品数据!$B:$D,3,FALSE),"")</f>
        <v/>
      </c>
      <c r="G1309" s="6"/>
    </row>
    <row r="1310" spans="1:7">
      <c r="A1310" s="6"/>
      <c r="B1310" s="5"/>
      <c r="C1310" s="7"/>
      <c r="D1310" s="8" t="str">
        <f>IFERROR(VLOOKUP(C1310,产品数据!$B:$D,2,FALSE),"")</f>
        <v/>
      </c>
      <c r="E1310" s="6"/>
      <c r="F1310" s="8" t="str">
        <f>IFERROR(VLOOKUP(C1310,产品数据!$B:$D,3,FALSE),"")</f>
        <v/>
      </c>
      <c r="G1310" s="6"/>
    </row>
    <row r="1311" spans="1:7">
      <c r="A1311" s="6"/>
      <c r="B1311" s="5"/>
      <c r="C1311" s="7"/>
      <c r="D1311" s="8" t="str">
        <f>IFERROR(VLOOKUP(C1311,产品数据!$B:$D,2,FALSE),"")</f>
        <v/>
      </c>
      <c r="E1311" s="6"/>
      <c r="F1311" s="8" t="str">
        <f>IFERROR(VLOOKUP(C1311,产品数据!$B:$D,3,FALSE),"")</f>
        <v/>
      </c>
      <c r="G1311" s="6"/>
    </row>
    <row r="1312" spans="1:7">
      <c r="A1312" s="6"/>
      <c r="B1312" s="5"/>
      <c r="C1312" s="7"/>
      <c r="D1312" s="8" t="str">
        <f>IFERROR(VLOOKUP(C1312,产品数据!$B:$D,2,FALSE),"")</f>
        <v/>
      </c>
      <c r="E1312" s="6"/>
      <c r="F1312" s="8" t="str">
        <f>IFERROR(VLOOKUP(C1312,产品数据!$B:$D,3,FALSE),"")</f>
        <v/>
      </c>
      <c r="G1312" s="6"/>
    </row>
    <row r="1313" spans="1:7">
      <c r="A1313" s="6"/>
      <c r="B1313" s="5"/>
      <c r="C1313" s="7"/>
      <c r="D1313" s="8" t="str">
        <f>IFERROR(VLOOKUP(C1313,产品数据!$B:$D,2,FALSE),"")</f>
        <v/>
      </c>
      <c r="E1313" s="6"/>
      <c r="F1313" s="8" t="str">
        <f>IFERROR(VLOOKUP(C1313,产品数据!$B:$D,3,FALSE),"")</f>
        <v/>
      </c>
      <c r="G1313" s="6"/>
    </row>
    <row r="1314" spans="1:7">
      <c r="A1314" s="6"/>
      <c r="B1314" s="5"/>
      <c r="C1314" s="7"/>
      <c r="D1314" s="8" t="str">
        <f>IFERROR(VLOOKUP(C1314,产品数据!$B:$D,2,FALSE),"")</f>
        <v/>
      </c>
      <c r="E1314" s="6"/>
      <c r="F1314" s="8" t="str">
        <f>IFERROR(VLOOKUP(C1314,产品数据!$B:$D,3,FALSE),"")</f>
        <v/>
      </c>
      <c r="G1314" s="6"/>
    </row>
    <row r="1315" spans="1:7">
      <c r="A1315" s="6"/>
      <c r="B1315" s="5"/>
      <c r="C1315" s="7"/>
      <c r="D1315" s="8" t="str">
        <f>IFERROR(VLOOKUP(C1315,产品数据!$B:$D,2,FALSE),"")</f>
        <v/>
      </c>
      <c r="E1315" s="6"/>
      <c r="F1315" s="8" t="str">
        <f>IFERROR(VLOOKUP(C1315,产品数据!$B:$D,3,FALSE),"")</f>
        <v/>
      </c>
      <c r="G1315" s="6"/>
    </row>
    <row r="1316" spans="1:7">
      <c r="A1316" s="6"/>
      <c r="B1316" s="5"/>
      <c r="C1316" s="7"/>
      <c r="D1316" s="8" t="str">
        <f>IFERROR(VLOOKUP(C1316,产品数据!$B:$D,2,FALSE),"")</f>
        <v/>
      </c>
      <c r="E1316" s="6"/>
      <c r="F1316" s="8" t="str">
        <f>IFERROR(VLOOKUP(C1316,产品数据!$B:$D,3,FALSE),"")</f>
        <v/>
      </c>
      <c r="G1316" s="6"/>
    </row>
    <row r="1317" spans="1:7">
      <c r="A1317" s="6"/>
      <c r="B1317" s="5"/>
      <c r="C1317" s="7"/>
      <c r="D1317" s="8" t="str">
        <f>IFERROR(VLOOKUP(C1317,产品数据!$B:$D,2,FALSE),"")</f>
        <v/>
      </c>
      <c r="E1317" s="6"/>
      <c r="F1317" s="8" t="str">
        <f>IFERROR(VLOOKUP(C1317,产品数据!$B:$D,3,FALSE),"")</f>
        <v/>
      </c>
      <c r="G1317" s="6"/>
    </row>
    <row r="1318" spans="1:7">
      <c r="A1318" s="6"/>
      <c r="B1318" s="5"/>
      <c r="C1318" s="7"/>
      <c r="D1318" s="8" t="str">
        <f>IFERROR(VLOOKUP(C1318,产品数据!$B:$D,2,FALSE),"")</f>
        <v/>
      </c>
      <c r="E1318" s="6"/>
      <c r="F1318" s="8" t="str">
        <f>IFERROR(VLOOKUP(C1318,产品数据!$B:$D,3,FALSE),"")</f>
        <v/>
      </c>
      <c r="G1318" s="6"/>
    </row>
    <row r="1319" spans="1:7">
      <c r="A1319" s="6"/>
      <c r="B1319" s="5"/>
      <c r="C1319" s="7"/>
      <c r="D1319" s="8" t="str">
        <f>IFERROR(VLOOKUP(C1319,产品数据!$B:$D,2,FALSE),"")</f>
        <v/>
      </c>
      <c r="E1319" s="6"/>
      <c r="F1319" s="8" t="str">
        <f>IFERROR(VLOOKUP(C1319,产品数据!$B:$D,3,FALSE),"")</f>
        <v/>
      </c>
      <c r="G1319" s="6"/>
    </row>
    <row r="1320" spans="1:7">
      <c r="A1320" s="6"/>
      <c r="B1320" s="5"/>
      <c r="C1320" s="7"/>
      <c r="D1320" s="8" t="str">
        <f>IFERROR(VLOOKUP(C1320,产品数据!$B:$D,2,FALSE),"")</f>
        <v/>
      </c>
      <c r="E1320" s="6"/>
      <c r="F1320" s="8" t="str">
        <f>IFERROR(VLOOKUP(C1320,产品数据!$B:$D,3,FALSE),"")</f>
        <v/>
      </c>
      <c r="G1320" s="6"/>
    </row>
    <row r="1321" spans="1:7">
      <c r="A1321" s="6"/>
      <c r="B1321" s="5"/>
      <c r="C1321" s="7"/>
      <c r="D1321" s="8" t="str">
        <f>IFERROR(VLOOKUP(C1321,产品数据!$B:$D,2,FALSE),"")</f>
        <v/>
      </c>
      <c r="E1321" s="6"/>
      <c r="F1321" s="8" t="str">
        <f>IFERROR(VLOOKUP(C1321,产品数据!$B:$D,3,FALSE),"")</f>
        <v/>
      </c>
      <c r="G1321" s="6"/>
    </row>
    <row r="1322" spans="1:7">
      <c r="A1322" s="6"/>
      <c r="B1322" s="5"/>
      <c r="C1322" s="7"/>
      <c r="D1322" s="8" t="str">
        <f>IFERROR(VLOOKUP(C1322,产品数据!$B:$D,2,FALSE),"")</f>
        <v/>
      </c>
      <c r="E1322" s="6"/>
      <c r="F1322" s="8" t="str">
        <f>IFERROR(VLOOKUP(C1322,产品数据!$B:$D,3,FALSE),"")</f>
        <v/>
      </c>
      <c r="G1322" s="6"/>
    </row>
    <row r="1323" spans="1:7">
      <c r="A1323" s="6"/>
      <c r="B1323" s="5"/>
      <c r="C1323" s="7"/>
      <c r="D1323" s="8" t="str">
        <f>IFERROR(VLOOKUP(C1323,产品数据!$B:$D,2,FALSE),"")</f>
        <v/>
      </c>
      <c r="E1323" s="6"/>
      <c r="F1323" s="8" t="str">
        <f>IFERROR(VLOOKUP(C1323,产品数据!$B:$D,3,FALSE),"")</f>
        <v/>
      </c>
      <c r="G1323" s="6"/>
    </row>
    <row r="1324" spans="1:7">
      <c r="A1324" s="6"/>
      <c r="B1324" s="5"/>
      <c r="C1324" s="7"/>
      <c r="D1324" s="8" t="str">
        <f>IFERROR(VLOOKUP(C1324,产品数据!$B:$D,2,FALSE),"")</f>
        <v/>
      </c>
      <c r="E1324" s="6"/>
      <c r="F1324" s="8" t="str">
        <f>IFERROR(VLOOKUP(C1324,产品数据!$B:$D,3,FALSE),"")</f>
        <v/>
      </c>
      <c r="G1324" s="6"/>
    </row>
    <row r="1325" spans="1:7">
      <c r="A1325" s="6"/>
      <c r="B1325" s="5"/>
      <c r="C1325" s="7"/>
      <c r="D1325" s="8" t="str">
        <f>IFERROR(VLOOKUP(C1325,产品数据!$B:$D,2,FALSE),"")</f>
        <v/>
      </c>
      <c r="E1325" s="6"/>
      <c r="F1325" s="8" t="str">
        <f>IFERROR(VLOOKUP(C1325,产品数据!$B:$D,3,FALSE),"")</f>
        <v/>
      </c>
      <c r="G1325" s="6"/>
    </row>
    <row r="1326" spans="1:7">
      <c r="A1326" s="6"/>
      <c r="B1326" s="5"/>
      <c r="C1326" s="7"/>
      <c r="D1326" s="8" t="str">
        <f>IFERROR(VLOOKUP(C1326,产品数据!$B:$D,2,FALSE),"")</f>
        <v/>
      </c>
      <c r="E1326" s="6"/>
      <c r="F1326" s="8" t="str">
        <f>IFERROR(VLOOKUP(C1326,产品数据!$B:$D,3,FALSE),"")</f>
        <v/>
      </c>
      <c r="G1326" s="6"/>
    </row>
    <row r="1327" spans="1:7">
      <c r="A1327" s="6"/>
      <c r="B1327" s="5"/>
      <c r="C1327" s="7"/>
      <c r="D1327" s="8" t="str">
        <f>IFERROR(VLOOKUP(C1327,产品数据!$B:$D,2,FALSE),"")</f>
        <v/>
      </c>
      <c r="E1327" s="6"/>
      <c r="F1327" s="8" t="str">
        <f>IFERROR(VLOOKUP(C1327,产品数据!$B:$D,3,FALSE),"")</f>
        <v/>
      </c>
      <c r="G1327" s="6"/>
    </row>
    <row r="1328" spans="1:7">
      <c r="A1328" s="6"/>
      <c r="B1328" s="5"/>
      <c r="C1328" s="7"/>
      <c r="D1328" s="8" t="str">
        <f>IFERROR(VLOOKUP(C1328,产品数据!$B:$D,2,FALSE),"")</f>
        <v/>
      </c>
      <c r="E1328" s="6"/>
      <c r="F1328" s="8" t="str">
        <f>IFERROR(VLOOKUP(C1328,产品数据!$B:$D,3,FALSE),"")</f>
        <v/>
      </c>
      <c r="G1328" s="6"/>
    </row>
    <row r="1329" spans="1:7">
      <c r="A1329" s="6"/>
      <c r="B1329" s="5"/>
      <c r="C1329" s="7"/>
      <c r="D1329" s="8" t="str">
        <f>IFERROR(VLOOKUP(C1329,产品数据!$B:$D,2,FALSE),"")</f>
        <v/>
      </c>
      <c r="E1329" s="6"/>
      <c r="F1329" s="8" t="str">
        <f>IFERROR(VLOOKUP(C1329,产品数据!$B:$D,3,FALSE),"")</f>
        <v/>
      </c>
      <c r="G1329" s="6"/>
    </row>
    <row r="1330" spans="1:7">
      <c r="A1330" s="6"/>
      <c r="B1330" s="5"/>
      <c r="C1330" s="7"/>
      <c r="D1330" s="8" t="str">
        <f>IFERROR(VLOOKUP(C1330,产品数据!$B:$D,2,FALSE),"")</f>
        <v/>
      </c>
      <c r="E1330" s="6"/>
      <c r="F1330" s="8" t="str">
        <f>IFERROR(VLOOKUP(C1330,产品数据!$B:$D,3,FALSE),"")</f>
        <v/>
      </c>
      <c r="G1330" s="6"/>
    </row>
    <row r="1331" spans="1:7">
      <c r="A1331" s="6"/>
      <c r="B1331" s="5"/>
      <c r="C1331" s="7"/>
      <c r="D1331" s="8" t="str">
        <f>IFERROR(VLOOKUP(C1331,产品数据!$B:$D,2,FALSE),"")</f>
        <v/>
      </c>
      <c r="E1331" s="6"/>
      <c r="F1331" s="8" t="str">
        <f>IFERROR(VLOOKUP(C1331,产品数据!$B:$D,3,FALSE),"")</f>
        <v/>
      </c>
      <c r="G1331" s="6"/>
    </row>
    <row r="1332" spans="1:7">
      <c r="A1332" s="6"/>
      <c r="B1332" s="5"/>
      <c r="C1332" s="7"/>
      <c r="D1332" s="8" t="str">
        <f>IFERROR(VLOOKUP(C1332,产品数据!$B:$D,2,FALSE),"")</f>
        <v/>
      </c>
      <c r="E1332" s="6"/>
      <c r="F1332" s="8" t="str">
        <f>IFERROR(VLOOKUP(C1332,产品数据!$B:$D,3,FALSE),"")</f>
        <v/>
      </c>
      <c r="G1332" s="6"/>
    </row>
    <row r="1333" spans="1:7">
      <c r="A1333" s="6"/>
      <c r="B1333" s="5"/>
      <c r="C1333" s="7"/>
      <c r="D1333" s="8" t="str">
        <f>IFERROR(VLOOKUP(C1333,产品数据!$B:$D,2,FALSE),"")</f>
        <v/>
      </c>
      <c r="E1333" s="6"/>
      <c r="F1333" s="8" t="str">
        <f>IFERROR(VLOOKUP(C1333,产品数据!$B:$D,3,FALSE),"")</f>
        <v/>
      </c>
      <c r="G1333" s="6"/>
    </row>
    <row r="1334" spans="1:7">
      <c r="A1334" s="6"/>
      <c r="B1334" s="5"/>
      <c r="C1334" s="7"/>
      <c r="D1334" s="8" t="str">
        <f>IFERROR(VLOOKUP(C1334,产品数据!$B:$D,2,FALSE),"")</f>
        <v/>
      </c>
      <c r="E1334" s="6"/>
      <c r="F1334" s="8" t="str">
        <f>IFERROR(VLOOKUP(C1334,产品数据!$B:$D,3,FALSE),"")</f>
        <v/>
      </c>
      <c r="G1334" s="6"/>
    </row>
    <row r="1335" spans="1:7">
      <c r="A1335" s="6"/>
      <c r="B1335" s="5"/>
      <c r="C1335" s="7"/>
      <c r="D1335" s="8" t="str">
        <f>IFERROR(VLOOKUP(C1335,产品数据!$B:$D,2,FALSE),"")</f>
        <v/>
      </c>
      <c r="E1335" s="6"/>
      <c r="F1335" s="8" t="str">
        <f>IFERROR(VLOOKUP(C1335,产品数据!$B:$D,3,FALSE),"")</f>
        <v/>
      </c>
      <c r="G1335" s="6"/>
    </row>
    <row r="1336" spans="1:7">
      <c r="A1336" s="6"/>
      <c r="B1336" s="5"/>
      <c r="C1336" s="7"/>
      <c r="D1336" s="8" t="str">
        <f>IFERROR(VLOOKUP(C1336,产品数据!$B:$D,2,FALSE),"")</f>
        <v/>
      </c>
      <c r="E1336" s="6"/>
      <c r="F1336" s="8" t="str">
        <f>IFERROR(VLOOKUP(C1336,产品数据!$B:$D,3,FALSE),"")</f>
        <v/>
      </c>
      <c r="G1336" s="6"/>
    </row>
    <row r="1337" spans="1:7">
      <c r="A1337" s="6"/>
      <c r="B1337" s="5"/>
      <c r="C1337" s="7"/>
      <c r="D1337" s="8" t="str">
        <f>IFERROR(VLOOKUP(C1337,产品数据!$B:$D,2,FALSE),"")</f>
        <v/>
      </c>
      <c r="E1337" s="6"/>
      <c r="F1337" s="8" t="str">
        <f>IFERROR(VLOOKUP(C1337,产品数据!$B:$D,3,FALSE),"")</f>
        <v/>
      </c>
      <c r="G1337" s="6"/>
    </row>
    <row r="1338" spans="1:7">
      <c r="A1338" s="6"/>
      <c r="B1338" s="5"/>
      <c r="C1338" s="7"/>
      <c r="D1338" s="8" t="str">
        <f>IFERROR(VLOOKUP(C1338,产品数据!$B:$D,2,FALSE),"")</f>
        <v/>
      </c>
      <c r="E1338" s="6"/>
      <c r="F1338" s="8" t="str">
        <f>IFERROR(VLOOKUP(C1338,产品数据!$B:$D,3,FALSE),"")</f>
        <v/>
      </c>
      <c r="G1338" s="6"/>
    </row>
    <row r="1339" spans="1:7">
      <c r="A1339" s="6"/>
      <c r="B1339" s="5"/>
      <c r="C1339" s="7"/>
      <c r="D1339" s="8" t="str">
        <f>IFERROR(VLOOKUP(C1339,产品数据!$B:$D,2,FALSE),"")</f>
        <v/>
      </c>
      <c r="E1339" s="6"/>
      <c r="F1339" s="8" t="str">
        <f>IFERROR(VLOOKUP(C1339,产品数据!$B:$D,3,FALSE),"")</f>
        <v/>
      </c>
      <c r="G1339" s="6"/>
    </row>
    <row r="1340" spans="1:7">
      <c r="A1340" s="6"/>
      <c r="B1340" s="5"/>
      <c r="C1340" s="7"/>
      <c r="D1340" s="8" t="str">
        <f>IFERROR(VLOOKUP(C1340,产品数据!$B:$D,2,FALSE),"")</f>
        <v/>
      </c>
      <c r="E1340" s="6"/>
      <c r="F1340" s="8" t="str">
        <f>IFERROR(VLOOKUP(C1340,产品数据!$B:$D,3,FALSE),"")</f>
        <v/>
      </c>
      <c r="G1340" s="6"/>
    </row>
    <row r="1341" spans="1:7">
      <c r="A1341" s="6"/>
      <c r="B1341" s="5"/>
      <c r="C1341" s="7"/>
      <c r="D1341" s="8" t="str">
        <f>IFERROR(VLOOKUP(C1341,产品数据!$B:$D,2,FALSE),"")</f>
        <v/>
      </c>
      <c r="E1341" s="6"/>
      <c r="F1341" s="8" t="str">
        <f>IFERROR(VLOOKUP(C1341,产品数据!$B:$D,3,FALSE),"")</f>
        <v/>
      </c>
      <c r="G1341" s="6"/>
    </row>
    <row r="1342" spans="1:7">
      <c r="A1342" s="6"/>
      <c r="B1342" s="5"/>
      <c r="C1342" s="7"/>
      <c r="D1342" s="8" t="str">
        <f>IFERROR(VLOOKUP(C1342,产品数据!$B:$D,2,FALSE),"")</f>
        <v/>
      </c>
      <c r="E1342" s="6"/>
      <c r="F1342" s="8" t="str">
        <f>IFERROR(VLOOKUP(C1342,产品数据!$B:$D,3,FALSE),"")</f>
        <v/>
      </c>
      <c r="G1342" s="6"/>
    </row>
    <row r="1343" spans="1:7">
      <c r="A1343" s="6"/>
      <c r="B1343" s="5"/>
      <c r="C1343" s="7"/>
      <c r="D1343" s="8" t="str">
        <f>IFERROR(VLOOKUP(C1343,产品数据!$B:$D,2,FALSE),"")</f>
        <v/>
      </c>
      <c r="E1343" s="6"/>
      <c r="F1343" s="8" t="str">
        <f>IFERROR(VLOOKUP(C1343,产品数据!$B:$D,3,FALSE),"")</f>
        <v/>
      </c>
      <c r="G1343" s="6"/>
    </row>
    <row r="1344" spans="1:7">
      <c r="A1344" s="6"/>
      <c r="B1344" s="5"/>
      <c r="C1344" s="7"/>
      <c r="D1344" s="8" t="str">
        <f>IFERROR(VLOOKUP(C1344,产品数据!$B:$D,2,FALSE),"")</f>
        <v/>
      </c>
      <c r="E1344" s="6"/>
      <c r="F1344" s="8" t="str">
        <f>IFERROR(VLOOKUP(C1344,产品数据!$B:$D,3,FALSE),"")</f>
        <v/>
      </c>
      <c r="G1344" s="6"/>
    </row>
    <row r="1345" spans="1:7">
      <c r="A1345" s="6"/>
      <c r="B1345" s="5"/>
      <c r="C1345" s="7"/>
      <c r="D1345" s="8" t="str">
        <f>IFERROR(VLOOKUP(C1345,产品数据!$B:$D,2,FALSE),"")</f>
        <v/>
      </c>
      <c r="E1345" s="6"/>
      <c r="F1345" s="8" t="str">
        <f>IFERROR(VLOOKUP(C1345,产品数据!$B:$D,3,FALSE),"")</f>
        <v/>
      </c>
      <c r="G1345" s="6"/>
    </row>
    <row r="1346" spans="1:7">
      <c r="A1346" s="6"/>
      <c r="B1346" s="5"/>
      <c r="C1346" s="7"/>
      <c r="D1346" s="8" t="str">
        <f>IFERROR(VLOOKUP(C1346,产品数据!$B:$D,2,FALSE),"")</f>
        <v/>
      </c>
      <c r="E1346" s="6"/>
      <c r="F1346" s="8" t="str">
        <f>IFERROR(VLOOKUP(C1346,产品数据!$B:$D,3,FALSE),"")</f>
        <v/>
      </c>
      <c r="G1346" s="6"/>
    </row>
    <row r="1347" spans="1:7">
      <c r="A1347" s="6"/>
      <c r="B1347" s="5"/>
      <c r="C1347" s="7"/>
      <c r="D1347" s="8" t="str">
        <f>IFERROR(VLOOKUP(C1347,产品数据!$B:$D,2,FALSE),"")</f>
        <v/>
      </c>
      <c r="E1347" s="6"/>
      <c r="F1347" s="8" t="str">
        <f>IFERROR(VLOOKUP(C1347,产品数据!$B:$D,3,FALSE),"")</f>
        <v/>
      </c>
      <c r="G1347" s="6"/>
    </row>
    <row r="1348" spans="1:7">
      <c r="A1348" s="6"/>
      <c r="B1348" s="5"/>
      <c r="C1348" s="7"/>
      <c r="D1348" s="8" t="str">
        <f>IFERROR(VLOOKUP(C1348,产品数据!$B:$D,2,FALSE),"")</f>
        <v/>
      </c>
      <c r="E1348" s="6"/>
      <c r="F1348" s="8" t="str">
        <f>IFERROR(VLOOKUP(C1348,产品数据!$B:$D,3,FALSE),"")</f>
        <v/>
      </c>
      <c r="G1348" s="6"/>
    </row>
    <row r="1349" spans="1:7">
      <c r="A1349" s="6"/>
      <c r="B1349" s="5"/>
      <c r="C1349" s="7"/>
      <c r="D1349" s="8" t="str">
        <f>IFERROR(VLOOKUP(C1349,产品数据!$B:$D,2,FALSE),"")</f>
        <v/>
      </c>
      <c r="E1349" s="6"/>
      <c r="F1349" s="8" t="str">
        <f>IFERROR(VLOOKUP(C1349,产品数据!$B:$D,3,FALSE),"")</f>
        <v/>
      </c>
      <c r="G1349" s="6"/>
    </row>
    <row r="1350" spans="1:7">
      <c r="A1350" s="6"/>
      <c r="B1350" s="5"/>
      <c r="C1350" s="7"/>
      <c r="D1350" s="8" t="str">
        <f>IFERROR(VLOOKUP(C1350,产品数据!$B:$D,2,FALSE),"")</f>
        <v/>
      </c>
      <c r="E1350" s="6"/>
      <c r="F1350" s="8" t="str">
        <f>IFERROR(VLOOKUP(C1350,产品数据!$B:$D,3,FALSE),"")</f>
        <v/>
      </c>
      <c r="G1350" s="6"/>
    </row>
    <row r="1351" spans="1:7">
      <c r="A1351" s="6"/>
      <c r="B1351" s="5"/>
      <c r="C1351" s="7"/>
      <c r="D1351" s="8" t="str">
        <f>IFERROR(VLOOKUP(C1351,产品数据!$B:$D,2,FALSE),"")</f>
        <v/>
      </c>
      <c r="E1351" s="6"/>
      <c r="F1351" s="8" t="str">
        <f>IFERROR(VLOOKUP(C1351,产品数据!$B:$D,3,FALSE),"")</f>
        <v/>
      </c>
      <c r="G1351" s="6"/>
    </row>
    <row r="1352" spans="1:7">
      <c r="A1352" s="6"/>
      <c r="B1352" s="5"/>
      <c r="C1352" s="7"/>
      <c r="D1352" s="8" t="str">
        <f>IFERROR(VLOOKUP(C1352,产品数据!$B:$D,2,FALSE),"")</f>
        <v/>
      </c>
      <c r="E1352" s="6"/>
      <c r="F1352" s="8" t="str">
        <f>IFERROR(VLOOKUP(C1352,产品数据!$B:$D,3,FALSE),"")</f>
        <v/>
      </c>
      <c r="G1352" s="6"/>
    </row>
    <row r="1353" spans="1:7">
      <c r="A1353" s="6"/>
      <c r="B1353" s="5"/>
      <c r="C1353" s="7"/>
      <c r="D1353" s="8" t="str">
        <f>IFERROR(VLOOKUP(C1353,产品数据!$B:$D,2,FALSE),"")</f>
        <v/>
      </c>
      <c r="E1353" s="6"/>
      <c r="F1353" s="8" t="str">
        <f>IFERROR(VLOOKUP(C1353,产品数据!$B:$D,3,FALSE),"")</f>
        <v/>
      </c>
      <c r="G1353" s="6"/>
    </row>
    <row r="1354" spans="1:7">
      <c r="A1354" s="6"/>
      <c r="B1354" s="5"/>
      <c r="C1354" s="7"/>
      <c r="D1354" s="8" t="str">
        <f>IFERROR(VLOOKUP(C1354,产品数据!$B:$D,2,FALSE),"")</f>
        <v/>
      </c>
      <c r="E1354" s="6"/>
      <c r="F1354" s="8" t="str">
        <f>IFERROR(VLOOKUP(C1354,产品数据!$B:$D,3,FALSE),"")</f>
        <v/>
      </c>
      <c r="G1354" s="6"/>
    </row>
    <row r="1355" spans="1:7">
      <c r="A1355" s="6"/>
      <c r="B1355" s="5"/>
      <c r="C1355" s="7"/>
      <c r="D1355" s="8" t="str">
        <f>IFERROR(VLOOKUP(C1355,产品数据!$B:$D,2,FALSE),"")</f>
        <v/>
      </c>
      <c r="E1355" s="6"/>
      <c r="F1355" s="8" t="str">
        <f>IFERROR(VLOOKUP(C1355,产品数据!$B:$D,3,FALSE),"")</f>
        <v/>
      </c>
      <c r="G1355" s="6"/>
    </row>
    <row r="1356" spans="1:7">
      <c r="A1356" s="6"/>
      <c r="B1356" s="5"/>
      <c r="C1356" s="7"/>
      <c r="D1356" s="8" t="str">
        <f>IFERROR(VLOOKUP(C1356,产品数据!$B:$D,2,FALSE),"")</f>
        <v/>
      </c>
      <c r="E1356" s="6"/>
      <c r="F1356" s="8" t="str">
        <f>IFERROR(VLOOKUP(C1356,产品数据!$B:$D,3,FALSE),"")</f>
        <v/>
      </c>
      <c r="G1356" s="6"/>
    </row>
    <row r="1357" spans="1:7">
      <c r="A1357" s="6"/>
      <c r="B1357" s="5"/>
      <c r="C1357" s="7"/>
      <c r="D1357" s="8" t="str">
        <f>IFERROR(VLOOKUP(C1357,产品数据!$B:$D,2,FALSE),"")</f>
        <v/>
      </c>
      <c r="E1357" s="6"/>
      <c r="F1357" s="8" t="str">
        <f>IFERROR(VLOOKUP(C1357,产品数据!$B:$D,3,FALSE),"")</f>
        <v/>
      </c>
      <c r="G1357" s="6"/>
    </row>
    <row r="1358" spans="1:7">
      <c r="A1358" s="6"/>
      <c r="B1358" s="5"/>
      <c r="C1358" s="7"/>
      <c r="D1358" s="8" t="str">
        <f>IFERROR(VLOOKUP(C1358,产品数据!$B:$D,2,FALSE),"")</f>
        <v/>
      </c>
      <c r="E1358" s="6"/>
      <c r="F1358" s="8" t="str">
        <f>IFERROR(VLOOKUP(C1358,产品数据!$B:$D,3,FALSE),"")</f>
        <v/>
      </c>
      <c r="G1358" s="6"/>
    </row>
    <row r="1359" spans="1:7">
      <c r="A1359" s="6"/>
      <c r="B1359" s="5"/>
      <c r="C1359" s="7"/>
      <c r="D1359" s="8" t="str">
        <f>IFERROR(VLOOKUP(C1359,产品数据!$B:$D,2,FALSE),"")</f>
        <v/>
      </c>
      <c r="E1359" s="6"/>
      <c r="F1359" s="8" t="str">
        <f>IFERROR(VLOOKUP(C1359,产品数据!$B:$D,3,FALSE),"")</f>
        <v/>
      </c>
      <c r="G1359" s="6"/>
    </row>
    <row r="1360" spans="1:7">
      <c r="A1360" s="6"/>
      <c r="B1360" s="5"/>
      <c r="C1360" s="7"/>
      <c r="D1360" s="8" t="str">
        <f>IFERROR(VLOOKUP(C1360,产品数据!$B:$D,2,FALSE),"")</f>
        <v/>
      </c>
      <c r="E1360" s="6"/>
      <c r="F1360" s="8" t="str">
        <f>IFERROR(VLOOKUP(C1360,产品数据!$B:$D,3,FALSE),"")</f>
        <v/>
      </c>
      <c r="G1360" s="6"/>
    </row>
    <row r="1361" spans="1:7">
      <c r="A1361" s="6"/>
      <c r="B1361" s="5"/>
      <c r="C1361" s="7"/>
      <c r="D1361" s="8" t="str">
        <f>IFERROR(VLOOKUP(C1361,产品数据!$B:$D,2,FALSE),"")</f>
        <v/>
      </c>
      <c r="E1361" s="6"/>
      <c r="F1361" s="8" t="str">
        <f>IFERROR(VLOOKUP(C1361,产品数据!$B:$D,3,FALSE),"")</f>
        <v/>
      </c>
      <c r="G1361" s="6"/>
    </row>
    <row r="1362" spans="1:7">
      <c r="A1362" s="6"/>
      <c r="B1362" s="5"/>
      <c r="C1362" s="7"/>
      <c r="D1362" s="8" t="str">
        <f>IFERROR(VLOOKUP(C1362,产品数据!$B:$D,2,FALSE),"")</f>
        <v/>
      </c>
      <c r="E1362" s="6"/>
      <c r="F1362" s="8" t="str">
        <f>IFERROR(VLOOKUP(C1362,产品数据!$B:$D,3,FALSE),"")</f>
        <v/>
      </c>
      <c r="G1362" s="6"/>
    </row>
    <row r="1363" spans="1:7">
      <c r="A1363" s="6"/>
      <c r="B1363" s="5"/>
      <c r="C1363" s="7"/>
      <c r="D1363" s="8" t="str">
        <f>IFERROR(VLOOKUP(C1363,产品数据!$B:$D,2,FALSE),"")</f>
        <v/>
      </c>
      <c r="E1363" s="6"/>
      <c r="F1363" s="8" t="str">
        <f>IFERROR(VLOOKUP(C1363,产品数据!$B:$D,3,FALSE),"")</f>
        <v/>
      </c>
      <c r="G1363" s="6"/>
    </row>
    <row r="1364" spans="1:7">
      <c r="A1364" s="6"/>
      <c r="B1364" s="5"/>
      <c r="C1364" s="7"/>
      <c r="D1364" s="8" t="str">
        <f>IFERROR(VLOOKUP(C1364,产品数据!$B:$D,2,FALSE),"")</f>
        <v/>
      </c>
      <c r="E1364" s="6"/>
      <c r="F1364" s="8" t="str">
        <f>IFERROR(VLOOKUP(C1364,产品数据!$B:$D,3,FALSE),"")</f>
        <v/>
      </c>
      <c r="G1364" s="6"/>
    </row>
    <row r="1365" spans="1:7">
      <c r="A1365" s="6"/>
      <c r="B1365" s="5"/>
      <c r="C1365" s="7"/>
      <c r="D1365" s="8" t="str">
        <f>IFERROR(VLOOKUP(C1365,产品数据!$B:$D,2,FALSE),"")</f>
        <v/>
      </c>
      <c r="E1365" s="6"/>
      <c r="F1365" s="8" t="str">
        <f>IFERROR(VLOOKUP(C1365,产品数据!$B:$D,3,FALSE),"")</f>
        <v/>
      </c>
      <c r="G1365" s="6"/>
    </row>
    <row r="1366" spans="1:7">
      <c r="A1366" s="6"/>
      <c r="B1366" s="5"/>
      <c r="C1366" s="7"/>
      <c r="D1366" s="8" t="str">
        <f>IFERROR(VLOOKUP(C1366,产品数据!$B:$D,2,FALSE),"")</f>
        <v/>
      </c>
      <c r="E1366" s="6"/>
      <c r="F1366" s="8" t="str">
        <f>IFERROR(VLOOKUP(C1366,产品数据!$B:$D,3,FALSE),"")</f>
        <v/>
      </c>
      <c r="G1366" s="6"/>
    </row>
    <row r="1367" spans="1:7">
      <c r="A1367" s="6"/>
      <c r="B1367" s="5"/>
      <c r="C1367" s="7"/>
      <c r="D1367" s="8" t="str">
        <f>IFERROR(VLOOKUP(C1367,产品数据!$B:$D,2,FALSE),"")</f>
        <v/>
      </c>
      <c r="E1367" s="6"/>
      <c r="F1367" s="8" t="str">
        <f>IFERROR(VLOOKUP(C1367,产品数据!$B:$D,3,FALSE),"")</f>
        <v/>
      </c>
      <c r="G1367" s="6"/>
    </row>
    <row r="1368" spans="1:7">
      <c r="A1368" s="6"/>
      <c r="B1368" s="5"/>
      <c r="C1368" s="7"/>
      <c r="D1368" s="8" t="str">
        <f>IFERROR(VLOOKUP(C1368,产品数据!$B:$D,2,FALSE),"")</f>
        <v/>
      </c>
      <c r="E1368" s="6"/>
      <c r="F1368" s="8" t="str">
        <f>IFERROR(VLOOKUP(C1368,产品数据!$B:$D,3,FALSE),"")</f>
        <v/>
      </c>
      <c r="G1368" s="6"/>
    </row>
    <row r="1369" spans="1:7">
      <c r="A1369" s="6"/>
      <c r="B1369" s="5"/>
      <c r="C1369" s="7"/>
      <c r="D1369" s="8" t="str">
        <f>IFERROR(VLOOKUP(C1369,产品数据!$B:$D,2,FALSE),"")</f>
        <v/>
      </c>
      <c r="E1369" s="6"/>
      <c r="F1369" s="8" t="str">
        <f>IFERROR(VLOOKUP(C1369,产品数据!$B:$D,3,FALSE),"")</f>
        <v/>
      </c>
      <c r="G1369" s="6"/>
    </row>
    <row r="1370" spans="1:7">
      <c r="A1370" s="6"/>
      <c r="B1370" s="5"/>
      <c r="C1370" s="7"/>
      <c r="D1370" s="8" t="str">
        <f>IFERROR(VLOOKUP(C1370,产品数据!$B:$D,2,FALSE),"")</f>
        <v/>
      </c>
      <c r="E1370" s="6"/>
      <c r="F1370" s="8" t="str">
        <f>IFERROR(VLOOKUP(C1370,产品数据!$B:$D,3,FALSE),"")</f>
        <v/>
      </c>
      <c r="G1370" s="6"/>
    </row>
    <row r="1371" spans="1:7">
      <c r="A1371" s="6"/>
      <c r="B1371" s="5"/>
      <c r="C1371" s="7"/>
      <c r="D1371" s="8" t="str">
        <f>IFERROR(VLOOKUP(C1371,产品数据!$B:$D,2,FALSE),"")</f>
        <v/>
      </c>
      <c r="E1371" s="6"/>
      <c r="F1371" s="8" t="str">
        <f>IFERROR(VLOOKUP(C1371,产品数据!$B:$D,3,FALSE),"")</f>
        <v/>
      </c>
      <c r="G1371" s="6"/>
    </row>
    <row r="1372" spans="1:7">
      <c r="A1372" s="6"/>
      <c r="B1372" s="5"/>
      <c r="C1372" s="7"/>
      <c r="D1372" s="8" t="str">
        <f>IFERROR(VLOOKUP(C1372,产品数据!$B:$D,2,FALSE),"")</f>
        <v/>
      </c>
      <c r="E1372" s="6"/>
      <c r="F1372" s="8" t="str">
        <f>IFERROR(VLOOKUP(C1372,产品数据!$B:$D,3,FALSE),"")</f>
        <v/>
      </c>
      <c r="G1372" s="6"/>
    </row>
    <row r="1373" spans="1:7">
      <c r="A1373" s="6"/>
      <c r="B1373" s="5"/>
      <c r="C1373" s="7"/>
      <c r="D1373" s="8" t="str">
        <f>IFERROR(VLOOKUP(C1373,产品数据!$B:$D,2,FALSE),"")</f>
        <v/>
      </c>
      <c r="E1373" s="6"/>
      <c r="F1373" s="8" t="str">
        <f>IFERROR(VLOOKUP(C1373,产品数据!$B:$D,3,FALSE),"")</f>
        <v/>
      </c>
      <c r="G1373" s="6"/>
    </row>
    <row r="1374" spans="1:7">
      <c r="A1374" s="6"/>
      <c r="B1374" s="5"/>
      <c r="C1374" s="7"/>
      <c r="D1374" s="8" t="str">
        <f>IFERROR(VLOOKUP(C1374,产品数据!$B:$D,2,FALSE),"")</f>
        <v/>
      </c>
      <c r="E1374" s="6"/>
      <c r="F1374" s="8" t="str">
        <f>IFERROR(VLOOKUP(C1374,产品数据!$B:$D,3,FALSE),"")</f>
        <v/>
      </c>
      <c r="G1374" s="6"/>
    </row>
    <row r="1375" spans="1:7">
      <c r="A1375" s="6"/>
      <c r="B1375" s="5"/>
      <c r="C1375" s="7"/>
      <c r="D1375" s="8" t="str">
        <f>IFERROR(VLOOKUP(C1375,产品数据!$B:$D,2,FALSE),"")</f>
        <v/>
      </c>
      <c r="E1375" s="6"/>
      <c r="F1375" s="8" t="str">
        <f>IFERROR(VLOOKUP(C1375,产品数据!$B:$D,3,FALSE),"")</f>
        <v/>
      </c>
      <c r="G1375" s="6"/>
    </row>
    <row r="1376" spans="1:7">
      <c r="A1376" s="6"/>
      <c r="B1376" s="5"/>
      <c r="C1376" s="7"/>
      <c r="D1376" s="8" t="str">
        <f>IFERROR(VLOOKUP(C1376,产品数据!$B:$D,2,FALSE),"")</f>
        <v/>
      </c>
      <c r="E1376" s="6"/>
      <c r="F1376" s="8" t="str">
        <f>IFERROR(VLOOKUP(C1376,产品数据!$B:$D,3,FALSE),"")</f>
        <v/>
      </c>
      <c r="G1376" s="6"/>
    </row>
    <row r="1377" spans="1:7">
      <c r="A1377" s="6"/>
      <c r="B1377" s="5"/>
      <c r="C1377" s="7"/>
      <c r="D1377" s="8" t="str">
        <f>IFERROR(VLOOKUP(C1377,产品数据!$B:$D,2,FALSE),"")</f>
        <v/>
      </c>
      <c r="E1377" s="6"/>
      <c r="F1377" s="8" t="str">
        <f>IFERROR(VLOOKUP(C1377,产品数据!$B:$D,3,FALSE),"")</f>
        <v/>
      </c>
      <c r="G1377" s="6"/>
    </row>
    <row r="1378" spans="1:7">
      <c r="A1378" s="6"/>
      <c r="B1378" s="5"/>
      <c r="C1378" s="7"/>
      <c r="D1378" s="8" t="str">
        <f>IFERROR(VLOOKUP(C1378,产品数据!$B:$D,2,FALSE),"")</f>
        <v/>
      </c>
      <c r="E1378" s="6"/>
      <c r="F1378" s="8" t="str">
        <f>IFERROR(VLOOKUP(C1378,产品数据!$B:$D,3,FALSE),"")</f>
        <v/>
      </c>
      <c r="G1378" s="6"/>
    </row>
    <row r="1379" spans="1:7">
      <c r="A1379" s="6"/>
      <c r="B1379" s="5"/>
      <c r="C1379" s="7"/>
      <c r="D1379" s="8" t="str">
        <f>IFERROR(VLOOKUP(C1379,产品数据!$B:$D,2,FALSE),"")</f>
        <v/>
      </c>
      <c r="E1379" s="6"/>
      <c r="F1379" s="8" t="str">
        <f>IFERROR(VLOOKUP(C1379,产品数据!$B:$D,3,FALSE),"")</f>
        <v/>
      </c>
      <c r="G1379" s="6"/>
    </row>
    <row r="1380" spans="1:7">
      <c r="A1380" s="6"/>
      <c r="B1380" s="5"/>
      <c r="C1380" s="7"/>
      <c r="D1380" s="8" t="str">
        <f>IFERROR(VLOOKUP(C1380,产品数据!$B:$D,2,FALSE),"")</f>
        <v/>
      </c>
      <c r="E1380" s="6"/>
      <c r="F1380" s="8" t="str">
        <f>IFERROR(VLOOKUP(C1380,产品数据!$B:$D,3,FALSE),"")</f>
        <v/>
      </c>
      <c r="G1380" s="6"/>
    </row>
    <row r="1381" spans="1:7">
      <c r="A1381" s="6"/>
      <c r="B1381" s="5"/>
      <c r="C1381" s="7"/>
      <c r="D1381" s="8" t="str">
        <f>IFERROR(VLOOKUP(C1381,产品数据!$B:$D,2,FALSE),"")</f>
        <v/>
      </c>
      <c r="E1381" s="6"/>
      <c r="F1381" s="8" t="str">
        <f>IFERROR(VLOOKUP(C1381,产品数据!$B:$D,3,FALSE),"")</f>
        <v/>
      </c>
      <c r="G1381" s="6"/>
    </row>
    <row r="1382" spans="1:7">
      <c r="A1382" s="6"/>
      <c r="B1382" s="5"/>
      <c r="C1382" s="7"/>
      <c r="D1382" s="8" t="str">
        <f>IFERROR(VLOOKUP(C1382,产品数据!$B:$D,2,FALSE),"")</f>
        <v/>
      </c>
      <c r="E1382" s="6"/>
      <c r="F1382" s="8" t="str">
        <f>IFERROR(VLOOKUP(C1382,产品数据!$B:$D,3,FALSE),"")</f>
        <v/>
      </c>
      <c r="G1382" s="6"/>
    </row>
    <row r="1383" spans="1:7">
      <c r="A1383" s="6"/>
      <c r="B1383" s="5"/>
      <c r="C1383" s="7"/>
      <c r="D1383" s="8" t="str">
        <f>IFERROR(VLOOKUP(C1383,产品数据!$B:$D,2,FALSE),"")</f>
        <v/>
      </c>
      <c r="E1383" s="6"/>
      <c r="F1383" s="8" t="str">
        <f>IFERROR(VLOOKUP(C1383,产品数据!$B:$D,3,FALSE),"")</f>
        <v/>
      </c>
      <c r="G1383" s="6"/>
    </row>
    <row r="1384" spans="1:7">
      <c r="A1384" s="6"/>
      <c r="B1384" s="5"/>
      <c r="C1384" s="7"/>
      <c r="D1384" s="8" t="str">
        <f>IFERROR(VLOOKUP(C1384,产品数据!$B:$D,2,FALSE),"")</f>
        <v/>
      </c>
      <c r="E1384" s="6"/>
      <c r="F1384" s="8" t="str">
        <f>IFERROR(VLOOKUP(C1384,产品数据!$B:$D,3,FALSE),"")</f>
        <v/>
      </c>
      <c r="G1384" s="6"/>
    </row>
    <row r="1385" spans="1:7">
      <c r="A1385" s="6"/>
      <c r="B1385" s="5"/>
      <c r="C1385" s="7"/>
      <c r="D1385" s="8" t="str">
        <f>IFERROR(VLOOKUP(C1385,产品数据!$B:$D,2,FALSE),"")</f>
        <v/>
      </c>
      <c r="E1385" s="6"/>
      <c r="F1385" s="8" t="str">
        <f>IFERROR(VLOOKUP(C1385,产品数据!$B:$D,3,FALSE),"")</f>
        <v/>
      </c>
      <c r="G1385" s="6"/>
    </row>
    <row r="1386" spans="1:7">
      <c r="A1386" s="6"/>
      <c r="B1386" s="5"/>
      <c r="C1386" s="7"/>
      <c r="D1386" s="8" t="str">
        <f>IFERROR(VLOOKUP(C1386,产品数据!$B:$D,2,FALSE),"")</f>
        <v/>
      </c>
      <c r="E1386" s="6"/>
      <c r="F1386" s="8" t="str">
        <f>IFERROR(VLOOKUP(C1386,产品数据!$B:$D,3,FALSE),"")</f>
        <v/>
      </c>
      <c r="G1386" s="6"/>
    </row>
    <row r="1387" spans="1:7">
      <c r="A1387" s="6"/>
      <c r="B1387" s="5"/>
      <c r="C1387" s="7"/>
      <c r="D1387" s="8" t="str">
        <f>IFERROR(VLOOKUP(C1387,产品数据!$B:$D,2,FALSE),"")</f>
        <v/>
      </c>
      <c r="E1387" s="6"/>
      <c r="F1387" s="8" t="str">
        <f>IFERROR(VLOOKUP(C1387,产品数据!$B:$D,3,FALSE),"")</f>
        <v/>
      </c>
      <c r="G1387" s="6"/>
    </row>
    <row r="1388" spans="1:7">
      <c r="A1388" s="6"/>
      <c r="B1388" s="5"/>
      <c r="C1388" s="7"/>
      <c r="D1388" s="8" t="str">
        <f>IFERROR(VLOOKUP(C1388,产品数据!$B:$D,2,FALSE),"")</f>
        <v/>
      </c>
      <c r="E1388" s="6"/>
      <c r="F1388" s="8" t="str">
        <f>IFERROR(VLOOKUP(C1388,产品数据!$B:$D,3,FALSE),"")</f>
        <v/>
      </c>
      <c r="G1388" s="6"/>
    </row>
    <row r="1389" spans="1:7">
      <c r="A1389" s="6"/>
      <c r="B1389" s="5"/>
      <c r="C1389" s="7"/>
      <c r="D1389" s="8" t="str">
        <f>IFERROR(VLOOKUP(C1389,产品数据!$B:$D,2,FALSE),"")</f>
        <v/>
      </c>
      <c r="E1389" s="6"/>
      <c r="F1389" s="8" t="str">
        <f>IFERROR(VLOOKUP(C1389,产品数据!$B:$D,3,FALSE),"")</f>
        <v/>
      </c>
      <c r="G1389" s="6"/>
    </row>
    <row r="1390" spans="1:7">
      <c r="A1390" s="6"/>
      <c r="B1390" s="5"/>
      <c r="C1390" s="7"/>
      <c r="D1390" s="8" t="str">
        <f>IFERROR(VLOOKUP(C1390,产品数据!$B:$D,2,FALSE),"")</f>
        <v/>
      </c>
      <c r="E1390" s="6"/>
      <c r="F1390" s="8" t="str">
        <f>IFERROR(VLOOKUP(C1390,产品数据!$B:$D,3,FALSE),"")</f>
        <v/>
      </c>
      <c r="G1390" s="6"/>
    </row>
    <row r="1391" spans="1:7">
      <c r="A1391" s="6"/>
      <c r="B1391" s="5"/>
      <c r="C1391" s="7"/>
      <c r="D1391" s="8" t="str">
        <f>IFERROR(VLOOKUP(C1391,产品数据!$B:$D,2,FALSE),"")</f>
        <v/>
      </c>
      <c r="E1391" s="6"/>
      <c r="F1391" s="8" t="str">
        <f>IFERROR(VLOOKUP(C1391,产品数据!$B:$D,3,FALSE),"")</f>
        <v/>
      </c>
      <c r="G1391" s="6"/>
    </row>
    <row r="1392" spans="1:7">
      <c r="A1392" s="6"/>
      <c r="B1392" s="5"/>
      <c r="C1392" s="7"/>
      <c r="D1392" s="8" t="str">
        <f>IFERROR(VLOOKUP(C1392,产品数据!$B:$D,2,FALSE),"")</f>
        <v/>
      </c>
      <c r="E1392" s="6"/>
      <c r="F1392" s="8" t="str">
        <f>IFERROR(VLOOKUP(C1392,产品数据!$B:$D,3,FALSE),"")</f>
        <v/>
      </c>
      <c r="G1392" s="6"/>
    </row>
    <row r="1393" spans="1:7">
      <c r="A1393" s="6"/>
      <c r="B1393" s="5"/>
      <c r="C1393" s="7"/>
      <c r="D1393" s="8" t="str">
        <f>IFERROR(VLOOKUP(C1393,产品数据!$B:$D,2,FALSE),"")</f>
        <v/>
      </c>
      <c r="E1393" s="6"/>
      <c r="F1393" s="8" t="str">
        <f>IFERROR(VLOOKUP(C1393,产品数据!$B:$D,3,FALSE),"")</f>
        <v/>
      </c>
      <c r="G1393" s="6"/>
    </row>
    <row r="1394" spans="1:7">
      <c r="A1394" s="6"/>
      <c r="B1394" s="5"/>
      <c r="C1394" s="7"/>
      <c r="D1394" s="8" t="str">
        <f>IFERROR(VLOOKUP(C1394,产品数据!$B:$D,2,FALSE),"")</f>
        <v/>
      </c>
      <c r="E1394" s="6"/>
      <c r="F1394" s="8" t="str">
        <f>IFERROR(VLOOKUP(C1394,产品数据!$B:$D,3,FALSE),"")</f>
        <v/>
      </c>
      <c r="G1394" s="6"/>
    </row>
    <row r="1395" spans="1:7">
      <c r="A1395" s="6"/>
      <c r="B1395" s="5"/>
      <c r="C1395" s="7"/>
      <c r="D1395" s="8" t="str">
        <f>IFERROR(VLOOKUP(C1395,产品数据!$B:$D,2,FALSE),"")</f>
        <v/>
      </c>
      <c r="E1395" s="6"/>
      <c r="F1395" s="8" t="str">
        <f>IFERROR(VLOOKUP(C1395,产品数据!$B:$D,3,FALSE),"")</f>
        <v/>
      </c>
      <c r="G1395" s="6"/>
    </row>
    <row r="1396" spans="1:7">
      <c r="A1396" s="6"/>
      <c r="B1396" s="5"/>
      <c r="C1396" s="7"/>
      <c r="D1396" s="8" t="str">
        <f>IFERROR(VLOOKUP(C1396,产品数据!$B:$D,2,FALSE),"")</f>
        <v/>
      </c>
      <c r="E1396" s="6"/>
      <c r="F1396" s="8" t="str">
        <f>IFERROR(VLOOKUP(C1396,产品数据!$B:$D,3,FALSE),"")</f>
        <v/>
      </c>
      <c r="G1396" s="6"/>
    </row>
    <row r="1397" spans="1:7">
      <c r="A1397" s="6"/>
      <c r="B1397" s="5"/>
      <c r="C1397" s="7"/>
      <c r="D1397" s="8" t="str">
        <f>IFERROR(VLOOKUP(C1397,产品数据!$B:$D,2,FALSE),"")</f>
        <v/>
      </c>
      <c r="E1397" s="6"/>
      <c r="F1397" s="8" t="str">
        <f>IFERROR(VLOOKUP(C1397,产品数据!$B:$D,3,FALSE),"")</f>
        <v/>
      </c>
      <c r="G1397" s="6"/>
    </row>
    <row r="1398" spans="1:7">
      <c r="A1398" s="6"/>
      <c r="B1398" s="5"/>
      <c r="C1398" s="7"/>
      <c r="D1398" s="8" t="str">
        <f>IFERROR(VLOOKUP(C1398,产品数据!$B:$D,2,FALSE),"")</f>
        <v/>
      </c>
      <c r="E1398" s="6"/>
      <c r="F1398" s="8" t="str">
        <f>IFERROR(VLOOKUP(C1398,产品数据!$B:$D,3,FALSE),"")</f>
        <v/>
      </c>
      <c r="G1398" s="6"/>
    </row>
    <row r="1399" spans="1:7">
      <c r="A1399" s="6"/>
      <c r="B1399" s="5"/>
      <c r="C1399" s="7"/>
      <c r="D1399" s="8" t="str">
        <f>IFERROR(VLOOKUP(C1399,产品数据!$B:$D,2,FALSE),"")</f>
        <v/>
      </c>
      <c r="E1399" s="6"/>
      <c r="F1399" s="8" t="str">
        <f>IFERROR(VLOOKUP(C1399,产品数据!$B:$D,3,FALSE),"")</f>
        <v/>
      </c>
      <c r="G1399" s="6"/>
    </row>
    <row r="1400" spans="1:7">
      <c r="A1400" s="6"/>
      <c r="B1400" s="5"/>
      <c r="C1400" s="7"/>
      <c r="D1400" s="8" t="str">
        <f>IFERROR(VLOOKUP(C1400,产品数据!$B:$D,2,FALSE),"")</f>
        <v/>
      </c>
      <c r="E1400" s="6"/>
      <c r="F1400" s="8" t="str">
        <f>IFERROR(VLOOKUP(C1400,产品数据!$B:$D,3,FALSE),"")</f>
        <v/>
      </c>
      <c r="G1400" s="6"/>
    </row>
    <row r="1401" spans="1:7">
      <c r="A1401" s="6"/>
      <c r="B1401" s="5"/>
      <c r="C1401" s="7"/>
      <c r="D1401" s="8" t="str">
        <f>IFERROR(VLOOKUP(C1401,产品数据!$B:$D,2,FALSE),"")</f>
        <v/>
      </c>
      <c r="E1401" s="6"/>
      <c r="F1401" s="8" t="str">
        <f>IFERROR(VLOOKUP(C1401,产品数据!$B:$D,3,FALSE),"")</f>
        <v/>
      </c>
      <c r="G1401" s="6"/>
    </row>
    <row r="1402" spans="1:7">
      <c r="A1402" s="6"/>
      <c r="B1402" s="5"/>
      <c r="C1402" s="7"/>
      <c r="D1402" s="8" t="str">
        <f>IFERROR(VLOOKUP(C1402,产品数据!$B:$D,2,FALSE),"")</f>
        <v/>
      </c>
      <c r="E1402" s="6"/>
      <c r="F1402" s="8" t="str">
        <f>IFERROR(VLOOKUP(C1402,产品数据!$B:$D,3,FALSE),"")</f>
        <v/>
      </c>
      <c r="G1402" s="6"/>
    </row>
    <row r="1403" spans="1:7">
      <c r="A1403" s="6"/>
      <c r="B1403" s="5"/>
      <c r="C1403" s="7"/>
      <c r="D1403" s="8" t="str">
        <f>IFERROR(VLOOKUP(C1403,产品数据!$B:$D,2,FALSE),"")</f>
        <v/>
      </c>
      <c r="E1403" s="6"/>
      <c r="F1403" s="8" t="str">
        <f>IFERROR(VLOOKUP(C1403,产品数据!$B:$D,3,FALSE),"")</f>
        <v/>
      </c>
      <c r="G1403" s="6"/>
    </row>
    <row r="1404" spans="1:7">
      <c r="A1404" s="6"/>
      <c r="B1404" s="5"/>
      <c r="C1404" s="7"/>
      <c r="D1404" s="8" t="str">
        <f>IFERROR(VLOOKUP(C1404,产品数据!$B:$D,2,FALSE),"")</f>
        <v/>
      </c>
      <c r="E1404" s="6"/>
      <c r="F1404" s="8" t="str">
        <f>IFERROR(VLOOKUP(C1404,产品数据!$B:$D,3,FALSE),"")</f>
        <v/>
      </c>
      <c r="G1404" s="6"/>
    </row>
    <row r="1405" spans="1:7">
      <c r="A1405" s="6"/>
      <c r="B1405" s="5"/>
      <c r="C1405" s="7"/>
      <c r="D1405" s="8" t="str">
        <f>IFERROR(VLOOKUP(C1405,产品数据!$B:$D,2,FALSE),"")</f>
        <v/>
      </c>
      <c r="E1405" s="6"/>
      <c r="F1405" s="8" t="str">
        <f>IFERROR(VLOOKUP(C1405,产品数据!$B:$D,3,FALSE),"")</f>
        <v/>
      </c>
      <c r="G1405" s="6"/>
    </row>
    <row r="1406" spans="1:7">
      <c r="A1406" s="6"/>
      <c r="B1406" s="5"/>
      <c r="C1406" s="7"/>
      <c r="D1406" s="8" t="str">
        <f>IFERROR(VLOOKUP(C1406,产品数据!$B:$D,2,FALSE),"")</f>
        <v/>
      </c>
      <c r="E1406" s="6"/>
      <c r="F1406" s="8" t="str">
        <f>IFERROR(VLOOKUP(C1406,产品数据!$B:$D,3,FALSE),"")</f>
        <v/>
      </c>
      <c r="G1406" s="6"/>
    </row>
    <row r="1407" spans="1:7">
      <c r="A1407" s="6"/>
      <c r="B1407" s="5"/>
      <c r="C1407" s="7"/>
      <c r="D1407" s="8" t="str">
        <f>IFERROR(VLOOKUP(C1407,产品数据!$B:$D,2,FALSE),"")</f>
        <v/>
      </c>
      <c r="E1407" s="6"/>
      <c r="F1407" s="8" t="str">
        <f>IFERROR(VLOOKUP(C1407,产品数据!$B:$D,3,FALSE),"")</f>
        <v/>
      </c>
      <c r="G1407" s="6"/>
    </row>
    <row r="1408" spans="1:7">
      <c r="A1408" s="6"/>
      <c r="B1408" s="5"/>
      <c r="C1408" s="7"/>
      <c r="D1408" s="8" t="str">
        <f>IFERROR(VLOOKUP(C1408,产品数据!$B:$D,2,FALSE),"")</f>
        <v/>
      </c>
      <c r="E1408" s="6"/>
      <c r="F1408" s="8" t="str">
        <f>IFERROR(VLOOKUP(C1408,产品数据!$B:$D,3,FALSE),"")</f>
        <v/>
      </c>
      <c r="G1408" s="6"/>
    </row>
    <row r="1409" spans="1:7">
      <c r="A1409" s="6"/>
      <c r="B1409" s="5"/>
      <c r="C1409" s="7"/>
      <c r="D1409" s="8" t="str">
        <f>IFERROR(VLOOKUP(C1409,产品数据!$B:$D,2,FALSE),"")</f>
        <v/>
      </c>
      <c r="E1409" s="6"/>
      <c r="F1409" s="8" t="str">
        <f>IFERROR(VLOOKUP(C1409,产品数据!$B:$D,3,FALSE),"")</f>
        <v/>
      </c>
      <c r="G1409" s="6"/>
    </row>
    <row r="1410" spans="1:7">
      <c r="A1410" s="6"/>
      <c r="B1410" s="5"/>
      <c r="C1410" s="7"/>
      <c r="D1410" s="8" t="str">
        <f>IFERROR(VLOOKUP(C1410,产品数据!$B:$D,2,FALSE),"")</f>
        <v/>
      </c>
      <c r="E1410" s="6"/>
      <c r="F1410" s="8" t="str">
        <f>IFERROR(VLOOKUP(C1410,产品数据!$B:$D,3,FALSE),"")</f>
        <v/>
      </c>
      <c r="G1410" s="6"/>
    </row>
    <row r="1411" spans="1:7">
      <c r="A1411" s="6"/>
      <c r="B1411" s="5"/>
      <c r="C1411" s="7"/>
      <c r="D1411" s="8" t="str">
        <f>IFERROR(VLOOKUP(C1411,产品数据!$B:$D,2,FALSE),"")</f>
        <v/>
      </c>
      <c r="E1411" s="6"/>
      <c r="F1411" s="8" t="str">
        <f>IFERROR(VLOOKUP(C1411,产品数据!$B:$D,3,FALSE),"")</f>
        <v/>
      </c>
      <c r="G1411" s="6"/>
    </row>
    <row r="1412" spans="1:7">
      <c r="A1412" s="6"/>
      <c r="B1412" s="5"/>
      <c r="C1412" s="7"/>
      <c r="D1412" s="8" t="str">
        <f>IFERROR(VLOOKUP(C1412,产品数据!$B:$D,2,FALSE),"")</f>
        <v/>
      </c>
      <c r="E1412" s="6"/>
      <c r="F1412" s="8" t="str">
        <f>IFERROR(VLOOKUP(C1412,产品数据!$B:$D,3,FALSE),"")</f>
        <v/>
      </c>
      <c r="G1412" s="6"/>
    </row>
    <row r="1413" spans="1:7">
      <c r="A1413" s="6"/>
      <c r="B1413" s="5"/>
      <c r="C1413" s="7"/>
      <c r="D1413" s="8" t="str">
        <f>IFERROR(VLOOKUP(C1413,产品数据!$B:$D,2,FALSE),"")</f>
        <v/>
      </c>
      <c r="E1413" s="6"/>
      <c r="F1413" s="8" t="str">
        <f>IFERROR(VLOOKUP(C1413,产品数据!$B:$D,3,FALSE),"")</f>
        <v/>
      </c>
      <c r="G1413" s="6"/>
    </row>
    <row r="1414" spans="1:7">
      <c r="A1414" s="6"/>
      <c r="B1414" s="5"/>
      <c r="C1414" s="7"/>
      <c r="D1414" s="8" t="str">
        <f>IFERROR(VLOOKUP(C1414,产品数据!$B:$D,2,FALSE),"")</f>
        <v/>
      </c>
      <c r="E1414" s="6"/>
      <c r="F1414" s="8" t="str">
        <f>IFERROR(VLOOKUP(C1414,产品数据!$B:$D,3,FALSE),"")</f>
        <v/>
      </c>
      <c r="G1414" s="6"/>
    </row>
    <row r="1415" spans="1:7">
      <c r="A1415" s="6"/>
      <c r="B1415" s="5"/>
      <c r="C1415" s="7"/>
      <c r="D1415" s="8" t="str">
        <f>IFERROR(VLOOKUP(C1415,产品数据!$B:$D,2,FALSE),"")</f>
        <v/>
      </c>
      <c r="E1415" s="6"/>
      <c r="F1415" s="8" t="str">
        <f>IFERROR(VLOOKUP(C1415,产品数据!$B:$D,3,FALSE),"")</f>
        <v/>
      </c>
      <c r="G1415" s="6"/>
    </row>
    <row r="1416" spans="1:7">
      <c r="A1416" s="6"/>
      <c r="B1416" s="5"/>
      <c r="C1416" s="7"/>
      <c r="D1416" s="8" t="str">
        <f>IFERROR(VLOOKUP(C1416,产品数据!$B:$D,2,FALSE),"")</f>
        <v/>
      </c>
      <c r="E1416" s="6"/>
      <c r="F1416" s="8" t="str">
        <f>IFERROR(VLOOKUP(C1416,产品数据!$B:$D,3,FALSE),"")</f>
        <v/>
      </c>
      <c r="G1416" s="6"/>
    </row>
    <row r="1417" spans="1:7">
      <c r="A1417" s="6"/>
      <c r="B1417" s="5"/>
      <c r="C1417" s="7"/>
      <c r="D1417" s="8" t="str">
        <f>IFERROR(VLOOKUP(C1417,产品数据!$B:$D,2,FALSE),"")</f>
        <v/>
      </c>
      <c r="E1417" s="6"/>
      <c r="F1417" s="8" t="str">
        <f>IFERROR(VLOOKUP(C1417,产品数据!$B:$D,3,FALSE),"")</f>
        <v/>
      </c>
      <c r="G1417" s="6"/>
    </row>
    <row r="1418" spans="1:7">
      <c r="A1418" s="6"/>
      <c r="B1418" s="5"/>
      <c r="C1418" s="7"/>
      <c r="D1418" s="8" t="str">
        <f>IFERROR(VLOOKUP(C1418,产品数据!$B:$D,2,FALSE),"")</f>
        <v/>
      </c>
      <c r="E1418" s="6"/>
      <c r="F1418" s="8" t="str">
        <f>IFERROR(VLOOKUP(C1418,产品数据!$B:$D,3,FALSE),"")</f>
        <v/>
      </c>
      <c r="G1418" s="6"/>
    </row>
    <row r="1419" spans="1:7">
      <c r="A1419" s="6"/>
      <c r="B1419" s="5"/>
      <c r="C1419" s="7"/>
      <c r="D1419" s="8" t="str">
        <f>IFERROR(VLOOKUP(C1419,产品数据!$B:$D,2,FALSE),"")</f>
        <v/>
      </c>
      <c r="E1419" s="6"/>
      <c r="F1419" s="8" t="str">
        <f>IFERROR(VLOOKUP(C1419,产品数据!$B:$D,3,FALSE),"")</f>
        <v/>
      </c>
      <c r="G1419" s="6"/>
    </row>
    <row r="1420" spans="1:7">
      <c r="A1420" s="6"/>
      <c r="B1420" s="5"/>
      <c r="C1420" s="7"/>
      <c r="D1420" s="8" t="str">
        <f>IFERROR(VLOOKUP(C1420,产品数据!$B:$D,2,FALSE),"")</f>
        <v/>
      </c>
      <c r="E1420" s="6"/>
      <c r="F1420" s="8" t="str">
        <f>IFERROR(VLOOKUP(C1420,产品数据!$B:$D,3,FALSE),"")</f>
        <v/>
      </c>
      <c r="G1420" s="6"/>
    </row>
    <row r="1421" spans="1:7">
      <c r="A1421" s="6"/>
      <c r="B1421" s="5"/>
      <c r="C1421" s="7"/>
      <c r="D1421" s="8" t="str">
        <f>IFERROR(VLOOKUP(C1421,产品数据!$B:$D,2,FALSE),"")</f>
        <v/>
      </c>
      <c r="E1421" s="6"/>
      <c r="F1421" s="8" t="str">
        <f>IFERROR(VLOOKUP(C1421,产品数据!$B:$D,3,FALSE),"")</f>
        <v/>
      </c>
      <c r="G1421" s="6"/>
    </row>
    <row r="1422" spans="1:7">
      <c r="A1422" s="6"/>
      <c r="B1422" s="5"/>
      <c r="C1422" s="7"/>
      <c r="D1422" s="8" t="str">
        <f>IFERROR(VLOOKUP(C1422,产品数据!$B:$D,2,FALSE),"")</f>
        <v/>
      </c>
      <c r="E1422" s="6"/>
      <c r="F1422" s="8" t="str">
        <f>IFERROR(VLOOKUP(C1422,产品数据!$B:$D,3,FALSE),"")</f>
        <v/>
      </c>
      <c r="G1422" s="6"/>
    </row>
    <row r="1423" spans="1:7">
      <c r="A1423" s="6"/>
      <c r="B1423" s="5"/>
      <c r="C1423" s="7"/>
      <c r="D1423" s="8" t="str">
        <f>IFERROR(VLOOKUP(C1423,产品数据!$B:$D,2,FALSE),"")</f>
        <v/>
      </c>
      <c r="E1423" s="6"/>
      <c r="F1423" s="8" t="str">
        <f>IFERROR(VLOOKUP(C1423,产品数据!$B:$D,3,FALSE),"")</f>
        <v/>
      </c>
      <c r="G1423" s="6"/>
    </row>
    <row r="1424" spans="1:7">
      <c r="A1424" s="6"/>
      <c r="B1424" s="5"/>
      <c r="C1424" s="7"/>
      <c r="D1424" s="8" t="str">
        <f>IFERROR(VLOOKUP(C1424,产品数据!$B:$D,2,FALSE),"")</f>
        <v/>
      </c>
      <c r="E1424" s="6"/>
      <c r="F1424" s="8" t="str">
        <f>IFERROR(VLOOKUP(C1424,产品数据!$B:$D,3,FALSE),"")</f>
        <v/>
      </c>
      <c r="G1424" s="6"/>
    </row>
    <row r="1425" spans="1:7">
      <c r="A1425" s="6"/>
      <c r="B1425" s="5"/>
      <c r="C1425" s="7"/>
      <c r="D1425" s="8" t="str">
        <f>IFERROR(VLOOKUP(C1425,产品数据!$B:$D,2,FALSE),"")</f>
        <v/>
      </c>
      <c r="E1425" s="6"/>
      <c r="F1425" s="8" t="str">
        <f>IFERROR(VLOOKUP(C1425,产品数据!$B:$D,3,FALSE),"")</f>
        <v/>
      </c>
      <c r="G1425" s="6"/>
    </row>
    <row r="1426" spans="1:7">
      <c r="A1426" s="6"/>
      <c r="B1426" s="5"/>
      <c r="C1426" s="7"/>
      <c r="D1426" s="8" t="str">
        <f>IFERROR(VLOOKUP(C1426,产品数据!$B:$D,2,FALSE),"")</f>
        <v/>
      </c>
      <c r="E1426" s="6"/>
      <c r="F1426" s="8" t="str">
        <f>IFERROR(VLOOKUP(C1426,产品数据!$B:$D,3,FALSE),"")</f>
        <v/>
      </c>
      <c r="G1426" s="6"/>
    </row>
    <row r="1427" spans="1:7">
      <c r="A1427" s="6"/>
      <c r="B1427" s="5"/>
      <c r="C1427" s="7"/>
      <c r="D1427" s="8" t="str">
        <f>IFERROR(VLOOKUP(C1427,产品数据!$B:$D,2,FALSE),"")</f>
        <v/>
      </c>
      <c r="E1427" s="6"/>
      <c r="F1427" s="8" t="str">
        <f>IFERROR(VLOOKUP(C1427,产品数据!$B:$D,3,FALSE),"")</f>
        <v/>
      </c>
      <c r="G1427" s="6"/>
    </row>
    <row r="1428" spans="1:7">
      <c r="A1428" s="6"/>
      <c r="B1428" s="5"/>
      <c r="C1428" s="7"/>
      <c r="D1428" s="8" t="str">
        <f>IFERROR(VLOOKUP(C1428,产品数据!$B:$D,2,FALSE),"")</f>
        <v/>
      </c>
      <c r="E1428" s="6"/>
      <c r="F1428" s="8" t="str">
        <f>IFERROR(VLOOKUP(C1428,产品数据!$B:$D,3,FALSE),"")</f>
        <v/>
      </c>
      <c r="G1428" s="6"/>
    </row>
    <row r="1429" spans="1:7">
      <c r="A1429" s="6"/>
      <c r="B1429" s="5"/>
      <c r="C1429" s="7"/>
      <c r="D1429" s="8" t="str">
        <f>IFERROR(VLOOKUP(C1429,产品数据!$B:$D,2,FALSE),"")</f>
        <v/>
      </c>
      <c r="E1429" s="6"/>
      <c r="F1429" s="8" t="str">
        <f>IFERROR(VLOOKUP(C1429,产品数据!$B:$D,3,FALSE),"")</f>
        <v/>
      </c>
      <c r="G1429" s="6"/>
    </row>
    <row r="1430" spans="1:7">
      <c r="A1430" s="6"/>
      <c r="B1430" s="5"/>
      <c r="C1430" s="7"/>
      <c r="D1430" s="8" t="str">
        <f>IFERROR(VLOOKUP(C1430,产品数据!$B:$D,2,FALSE),"")</f>
        <v/>
      </c>
      <c r="E1430" s="6"/>
      <c r="F1430" s="8" t="str">
        <f>IFERROR(VLOOKUP(C1430,产品数据!$B:$D,3,FALSE),"")</f>
        <v/>
      </c>
      <c r="G1430" s="6"/>
    </row>
    <row r="1431" spans="1:7">
      <c r="A1431" s="6"/>
      <c r="B1431" s="5"/>
      <c r="C1431" s="7"/>
      <c r="D1431" s="8" t="str">
        <f>IFERROR(VLOOKUP(C1431,产品数据!$B:$D,2,FALSE),"")</f>
        <v/>
      </c>
      <c r="E1431" s="6"/>
      <c r="F1431" s="8" t="str">
        <f>IFERROR(VLOOKUP(C1431,产品数据!$B:$D,3,FALSE),"")</f>
        <v/>
      </c>
      <c r="G1431" s="6"/>
    </row>
    <row r="1432" spans="1:7">
      <c r="A1432" s="6"/>
      <c r="B1432" s="5"/>
      <c r="C1432" s="7"/>
      <c r="D1432" s="8" t="str">
        <f>IFERROR(VLOOKUP(C1432,产品数据!$B:$D,2,FALSE),"")</f>
        <v/>
      </c>
      <c r="E1432" s="6"/>
      <c r="F1432" s="8" t="str">
        <f>IFERROR(VLOOKUP(C1432,产品数据!$B:$D,3,FALSE),"")</f>
        <v/>
      </c>
      <c r="G1432" s="6"/>
    </row>
    <row r="1433" spans="1:7">
      <c r="A1433" s="6"/>
      <c r="B1433" s="5"/>
      <c r="C1433" s="7"/>
      <c r="D1433" s="8" t="str">
        <f>IFERROR(VLOOKUP(C1433,产品数据!$B:$D,2,FALSE),"")</f>
        <v/>
      </c>
      <c r="E1433" s="6"/>
      <c r="F1433" s="8" t="str">
        <f>IFERROR(VLOOKUP(C1433,产品数据!$B:$D,3,FALSE),"")</f>
        <v/>
      </c>
      <c r="G1433" s="6"/>
    </row>
    <row r="1434" spans="1:7">
      <c r="A1434" s="6"/>
      <c r="B1434" s="5"/>
      <c r="C1434" s="7"/>
      <c r="D1434" s="8" t="str">
        <f>IFERROR(VLOOKUP(C1434,产品数据!$B:$D,2,FALSE),"")</f>
        <v/>
      </c>
      <c r="E1434" s="6"/>
      <c r="F1434" s="8" t="str">
        <f>IFERROR(VLOOKUP(C1434,产品数据!$B:$D,3,FALSE),"")</f>
        <v/>
      </c>
      <c r="G1434" s="6"/>
    </row>
    <row r="1435" spans="1:7">
      <c r="A1435" s="6"/>
      <c r="B1435" s="5"/>
      <c r="C1435" s="7"/>
      <c r="D1435" s="8" t="str">
        <f>IFERROR(VLOOKUP(C1435,产品数据!$B:$D,2,FALSE),"")</f>
        <v/>
      </c>
      <c r="E1435" s="6"/>
      <c r="F1435" s="8" t="str">
        <f>IFERROR(VLOOKUP(C1435,产品数据!$B:$D,3,FALSE),"")</f>
        <v/>
      </c>
      <c r="G1435" s="6"/>
    </row>
    <row r="1436" spans="1:7">
      <c r="A1436" s="6"/>
      <c r="B1436" s="5"/>
      <c r="C1436" s="7"/>
      <c r="D1436" s="8" t="str">
        <f>IFERROR(VLOOKUP(C1436,产品数据!$B:$D,2,FALSE),"")</f>
        <v/>
      </c>
      <c r="E1436" s="6"/>
      <c r="F1436" s="8" t="str">
        <f>IFERROR(VLOOKUP(C1436,产品数据!$B:$D,3,FALSE),"")</f>
        <v/>
      </c>
      <c r="G1436" s="6"/>
    </row>
    <row r="1437" spans="1:7">
      <c r="A1437" s="6"/>
      <c r="B1437" s="5"/>
      <c r="C1437" s="7"/>
      <c r="D1437" s="8" t="str">
        <f>IFERROR(VLOOKUP(C1437,产品数据!$B:$D,2,FALSE),"")</f>
        <v/>
      </c>
      <c r="E1437" s="6"/>
      <c r="F1437" s="8" t="str">
        <f>IFERROR(VLOOKUP(C1437,产品数据!$B:$D,3,FALSE),"")</f>
        <v/>
      </c>
      <c r="G1437" s="6"/>
    </row>
    <row r="1438" spans="1:7">
      <c r="A1438" s="6"/>
      <c r="B1438" s="5"/>
      <c r="C1438" s="7"/>
      <c r="D1438" s="8" t="str">
        <f>IFERROR(VLOOKUP(C1438,产品数据!$B:$D,2,FALSE),"")</f>
        <v/>
      </c>
      <c r="E1438" s="6"/>
      <c r="F1438" s="8" t="str">
        <f>IFERROR(VLOOKUP(C1438,产品数据!$B:$D,3,FALSE),"")</f>
        <v/>
      </c>
      <c r="G1438" s="6"/>
    </row>
    <row r="1439" spans="1:7">
      <c r="A1439" s="6"/>
      <c r="B1439" s="5"/>
      <c r="C1439" s="7"/>
      <c r="D1439" s="8" t="str">
        <f>IFERROR(VLOOKUP(C1439,产品数据!$B:$D,2,FALSE),"")</f>
        <v/>
      </c>
      <c r="E1439" s="6"/>
      <c r="F1439" s="8" t="str">
        <f>IFERROR(VLOOKUP(C1439,产品数据!$B:$D,3,FALSE),"")</f>
        <v/>
      </c>
      <c r="G1439" s="6"/>
    </row>
    <row r="1440" spans="1:7">
      <c r="A1440" s="6"/>
      <c r="B1440" s="5"/>
      <c r="C1440" s="7"/>
      <c r="D1440" s="8" t="str">
        <f>IFERROR(VLOOKUP(C1440,产品数据!$B:$D,2,FALSE),"")</f>
        <v/>
      </c>
      <c r="E1440" s="6"/>
      <c r="F1440" s="8" t="str">
        <f>IFERROR(VLOOKUP(C1440,产品数据!$B:$D,3,FALSE),"")</f>
        <v/>
      </c>
      <c r="G1440" s="6"/>
    </row>
    <row r="1441" spans="1:7">
      <c r="A1441" s="6"/>
      <c r="B1441" s="5"/>
      <c r="C1441" s="7"/>
      <c r="D1441" s="8" t="str">
        <f>IFERROR(VLOOKUP(C1441,产品数据!$B:$D,2,FALSE),"")</f>
        <v/>
      </c>
      <c r="E1441" s="6"/>
      <c r="F1441" s="8" t="str">
        <f>IFERROR(VLOOKUP(C1441,产品数据!$B:$D,3,FALSE),"")</f>
        <v/>
      </c>
      <c r="G1441" s="6"/>
    </row>
    <row r="1442" spans="1:7">
      <c r="A1442" s="6"/>
      <c r="B1442" s="5"/>
      <c r="C1442" s="7"/>
      <c r="D1442" s="8" t="str">
        <f>IFERROR(VLOOKUP(C1442,产品数据!$B:$D,2,FALSE),"")</f>
        <v/>
      </c>
      <c r="E1442" s="6"/>
      <c r="F1442" s="8" t="str">
        <f>IFERROR(VLOOKUP(C1442,产品数据!$B:$D,3,FALSE),"")</f>
        <v/>
      </c>
      <c r="G1442" s="6"/>
    </row>
    <row r="1443" spans="1:7">
      <c r="A1443" s="6"/>
      <c r="B1443" s="5"/>
      <c r="C1443" s="7"/>
      <c r="D1443" s="8" t="str">
        <f>IFERROR(VLOOKUP(C1443,产品数据!$B:$D,2,FALSE),"")</f>
        <v/>
      </c>
      <c r="E1443" s="6"/>
      <c r="F1443" s="8" t="str">
        <f>IFERROR(VLOOKUP(C1443,产品数据!$B:$D,3,FALSE),"")</f>
        <v/>
      </c>
      <c r="G1443" s="6"/>
    </row>
    <row r="1444" spans="1:7">
      <c r="A1444" s="6"/>
      <c r="B1444" s="5"/>
      <c r="C1444" s="7"/>
      <c r="D1444" s="8" t="str">
        <f>IFERROR(VLOOKUP(C1444,产品数据!$B:$D,2,FALSE),"")</f>
        <v/>
      </c>
      <c r="E1444" s="6"/>
      <c r="F1444" s="8" t="str">
        <f>IFERROR(VLOOKUP(C1444,产品数据!$B:$D,3,FALSE),"")</f>
        <v/>
      </c>
      <c r="G1444" s="6"/>
    </row>
    <row r="1445" spans="1:7">
      <c r="A1445" s="6"/>
      <c r="B1445" s="5"/>
      <c r="C1445" s="7"/>
      <c r="D1445" s="8" t="str">
        <f>IFERROR(VLOOKUP(C1445,产品数据!$B:$D,2,FALSE),"")</f>
        <v/>
      </c>
      <c r="E1445" s="6"/>
      <c r="F1445" s="8" t="str">
        <f>IFERROR(VLOOKUP(C1445,产品数据!$B:$D,3,FALSE),"")</f>
        <v/>
      </c>
      <c r="G1445" s="6"/>
    </row>
    <row r="1446" spans="1:7">
      <c r="A1446" s="6"/>
      <c r="B1446" s="5"/>
      <c r="C1446" s="7"/>
      <c r="D1446" s="8" t="str">
        <f>IFERROR(VLOOKUP(C1446,产品数据!$B:$D,2,FALSE),"")</f>
        <v/>
      </c>
      <c r="E1446" s="6"/>
      <c r="F1446" s="8" t="str">
        <f>IFERROR(VLOOKUP(C1446,产品数据!$B:$D,3,FALSE),"")</f>
        <v/>
      </c>
      <c r="G1446" s="6"/>
    </row>
    <row r="1447" spans="1:7">
      <c r="A1447" s="6"/>
      <c r="B1447" s="5"/>
      <c r="C1447" s="7"/>
      <c r="D1447" s="8" t="str">
        <f>IFERROR(VLOOKUP(C1447,产品数据!$B:$D,2,FALSE),"")</f>
        <v/>
      </c>
      <c r="E1447" s="6"/>
      <c r="F1447" s="8" t="str">
        <f>IFERROR(VLOOKUP(C1447,产品数据!$B:$D,3,FALSE),"")</f>
        <v/>
      </c>
      <c r="G1447" s="6"/>
    </row>
    <row r="1448" spans="1:7">
      <c r="A1448" s="6"/>
      <c r="B1448" s="5"/>
      <c r="C1448" s="7"/>
      <c r="D1448" s="8" t="str">
        <f>IFERROR(VLOOKUP(C1448,产品数据!$B:$D,2,FALSE),"")</f>
        <v/>
      </c>
      <c r="E1448" s="6"/>
      <c r="F1448" s="8" t="str">
        <f>IFERROR(VLOOKUP(C1448,产品数据!$B:$D,3,FALSE),"")</f>
        <v/>
      </c>
      <c r="G1448" s="6"/>
    </row>
    <row r="1449" spans="1:7">
      <c r="A1449" s="6"/>
      <c r="B1449" s="5"/>
      <c r="C1449" s="7"/>
      <c r="D1449" s="8" t="str">
        <f>IFERROR(VLOOKUP(C1449,产品数据!$B:$D,2,FALSE),"")</f>
        <v/>
      </c>
      <c r="E1449" s="6"/>
      <c r="F1449" s="8" t="str">
        <f>IFERROR(VLOOKUP(C1449,产品数据!$B:$D,3,FALSE),"")</f>
        <v/>
      </c>
      <c r="G1449" s="6"/>
    </row>
    <row r="1450" spans="1:7">
      <c r="A1450" s="6"/>
      <c r="B1450" s="5"/>
      <c r="C1450" s="7"/>
      <c r="D1450" s="8" t="str">
        <f>IFERROR(VLOOKUP(C1450,产品数据!$B:$D,2,FALSE),"")</f>
        <v/>
      </c>
      <c r="E1450" s="6"/>
      <c r="F1450" s="8" t="str">
        <f>IFERROR(VLOOKUP(C1450,产品数据!$B:$D,3,FALSE),"")</f>
        <v/>
      </c>
      <c r="G1450" s="6"/>
    </row>
    <row r="1451" spans="1:7">
      <c r="A1451" s="6"/>
      <c r="B1451" s="5"/>
      <c r="C1451" s="7"/>
      <c r="D1451" s="8" t="str">
        <f>IFERROR(VLOOKUP(C1451,产品数据!$B:$D,2,FALSE),"")</f>
        <v/>
      </c>
      <c r="E1451" s="6"/>
      <c r="F1451" s="8" t="str">
        <f>IFERROR(VLOOKUP(C1451,产品数据!$B:$D,3,FALSE),"")</f>
        <v/>
      </c>
      <c r="G1451" s="6"/>
    </row>
    <row r="1452" spans="1:7">
      <c r="A1452" s="6"/>
      <c r="B1452" s="5"/>
      <c r="C1452" s="7"/>
      <c r="D1452" s="8" t="str">
        <f>IFERROR(VLOOKUP(C1452,产品数据!$B:$D,2,FALSE),"")</f>
        <v/>
      </c>
      <c r="E1452" s="6"/>
      <c r="F1452" s="8" t="str">
        <f>IFERROR(VLOOKUP(C1452,产品数据!$B:$D,3,FALSE),"")</f>
        <v/>
      </c>
      <c r="G1452" s="6"/>
    </row>
    <row r="1453" spans="1:7">
      <c r="A1453" s="6"/>
      <c r="B1453" s="5"/>
      <c r="C1453" s="7"/>
      <c r="D1453" s="8" t="str">
        <f>IFERROR(VLOOKUP(C1453,产品数据!$B:$D,2,FALSE),"")</f>
        <v/>
      </c>
      <c r="E1453" s="6"/>
      <c r="F1453" s="8" t="str">
        <f>IFERROR(VLOOKUP(C1453,产品数据!$B:$D,3,FALSE),"")</f>
        <v/>
      </c>
      <c r="G1453" s="6"/>
    </row>
    <row r="1454" spans="1:7">
      <c r="A1454" s="6"/>
      <c r="B1454" s="5"/>
      <c r="C1454" s="7"/>
      <c r="D1454" s="8" t="str">
        <f>IFERROR(VLOOKUP(C1454,产品数据!$B:$D,2,FALSE),"")</f>
        <v/>
      </c>
      <c r="E1454" s="6"/>
      <c r="F1454" s="8" t="str">
        <f>IFERROR(VLOOKUP(C1454,产品数据!$B:$D,3,FALSE),"")</f>
        <v/>
      </c>
      <c r="G1454" s="6"/>
    </row>
    <row r="1455" spans="1:7">
      <c r="A1455" s="6"/>
      <c r="B1455" s="5"/>
      <c r="C1455" s="7"/>
      <c r="D1455" s="8" t="str">
        <f>IFERROR(VLOOKUP(C1455,产品数据!$B:$D,2,FALSE),"")</f>
        <v/>
      </c>
      <c r="E1455" s="6"/>
      <c r="F1455" s="8" t="str">
        <f>IFERROR(VLOOKUP(C1455,产品数据!$B:$D,3,FALSE),"")</f>
        <v/>
      </c>
      <c r="G1455" s="6"/>
    </row>
    <row r="1456" spans="1:7">
      <c r="A1456" s="6"/>
      <c r="B1456" s="5"/>
      <c r="C1456" s="7"/>
      <c r="D1456" s="8" t="str">
        <f>IFERROR(VLOOKUP(C1456,产品数据!$B:$D,2,FALSE),"")</f>
        <v/>
      </c>
      <c r="E1456" s="6"/>
      <c r="F1456" s="8" t="str">
        <f>IFERROR(VLOOKUP(C1456,产品数据!$B:$D,3,FALSE),"")</f>
        <v/>
      </c>
      <c r="G1456" s="6"/>
    </row>
    <row r="1457" spans="1:7">
      <c r="A1457" s="6"/>
      <c r="B1457" s="5"/>
      <c r="C1457" s="7"/>
      <c r="D1457" s="8" t="str">
        <f>IFERROR(VLOOKUP(C1457,产品数据!$B:$D,2,FALSE),"")</f>
        <v/>
      </c>
      <c r="E1457" s="6"/>
      <c r="F1457" s="8" t="str">
        <f>IFERROR(VLOOKUP(C1457,产品数据!$B:$D,3,FALSE),"")</f>
        <v/>
      </c>
      <c r="G1457" s="6"/>
    </row>
    <row r="1458" spans="1:7">
      <c r="A1458" s="6"/>
      <c r="B1458" s="5"/>
      <c r="C1458" s="7"/>
      <c r="D1458" s="8" t="str">
        <f>IFERROR(VLOOKUP(C1458,产品数据!$B:$D,2,FALSE),"")</f>
        <v/>
      </c>
      <c r="E1458" s="6"/>
      <c r="F1458" s="8" t="str">
        <f>IFERROR(VLOOKUP(C1458,产品数据!$B:$D,3,FALSE),"")</f>
        <v/>
      </c>
      <c r="G1458" s="6"/>
    </row>
    <row r="1459" spans="1:7">
      <c r="A1459" s="6"/>
      <c r="B1459" s="5"/>
      <c r="C1459" s="7"/>
      <c r="D1459" s="8" t="str">
        <f>IFERROR(VLOOKUP(C1459,产品数据!$B:$D,2,FALSE),"")</f>
        <v/>
      </c>
      <c r="E1459" s="6"/>
      <c r="F1459" s="8" t="str">
        <f>IFERROR(VLOOKUP(C1459,产品数据!$B:$D,3,FALSE),"")</f>
        <v/>
      </c>
      <c r="G1459" s="6"/>
    </row>
    <row r="1460" spans="1:7">
      <c r="A1460" s="6"/>
      <c r="B1460" s="5"/>
      <c r="C1460" s="7"/>
      <c r="D1460" s="8" t="str">
        <f>IFERROR(VLOOKUP(C1460,产品数据!$B:$D,2,FALSE),"")</f>
        <v/>
      </c>
      <c r="E1460" s="6"/>
      <c r="F1460" s="8" t="str">
        <f>IFERROR(VLOOKUP(C1460,产品数据!$B:$D,3,FALSE),"")</f>
        <v/>
      </c>
      <c r="G1460" s="6"/>
    </row>
    <row r="1461" spans="1:7">
      <c r="A1461" s="6"/>
      <c r="B1461" s="5"/>
      <c r="C1461" s="7"/>
      <c r="D1461" s="8" t="str">
        <f>IFERROR(VLOOKUP(C1461,产品数据!$B:$D,2,FALSE),"")</f>
        <v/>
      </c>
      <c r="E1461" s="6"/>
      <c r="F1461" s="8" t="str">
        <f>IFERROR(VLOOKUP(C1461,产品数据!$B:$D,3,FALSE),"")</f>
        <v/>
      </c>
      <c r="G1461" s="6"/>
    </row>
    <row r="1462" spans="1:7">
      <c r="A1462" s="6"/>
      <c r="B1462" s="5"/>
      <c r="C1462" s="7"/>
      <c r="D1462" s="8" t="str">
        <f>IFERROR(VLOOKUP(C1462,产品数据!$B:$D,2,FALSE),"")</f>
        <v/>
      </c>
      <c r="E1462" s="6"/>
      <c r="F1462" s="8" t="str">
        <f>IFERROR(VLOOKUP(C1462,产品数据!$B:$D,3,FALSE),"")</f>
        <v/>
      </c>
      <c r="G1462" s="6"/>
    </row>
    <row r="1463" spans="1:7">
      <c r="A1463" s="6"/>
      <c r="B1463" s="5"/>
      <c r="C1463" s="7"/>
      <c r="D1463" s="8" t="str">
        <f>IFERROR(VLOOKUP(C1463,产品数据!$B:$D,2,FALSE),"")</f>
        <v/>
      </c>
      <c r="E1463" s="6"/>
      <c r="F1463" s="8" t="str">
        <f>IFERROR(VLOOKUP(C1463,产品数据!$B:$D,3,FALSE),"")</f>
        <v/>
      </c>
      <c r="G1463" s="6"/>
    </row>
    <row r="1464" spans="1:7">
      <c r="A1464" s="6"/>
      <c r="B1464" s="5"/>
      <c r="C1464" s="7"/>
      <c r="D1464" s="8" t="str">
        <f>IFERROR(VLOOKUP(C1464,产品数据!$B:$D,2,FALSE),"")</f>
        <v/>
      </c>
      <c r="E1464" s="6"/>
      <c r="F1464" s="8" t="str">
        <f>IFERROR(VLOOKUP(C1464,产品数据!$B:$D,3,FALSE),"")</f>
        <v/>
      </c>
      <c r="G1464" s="6"/>
    </row>
    <row r="1465" spans="1:7">
      <c r="A1465" s="6"/>
      <c r="B1465" s="5"/>
      <c r="C1465" s="7"/>
      <c r="D1465" s="8" t="str">
        <f>IFERROR(VLOOKUP(C1465,产品数据!$B:$D,2,FALSE),"")</f>
        <v/>
      </c>
      <c r="E1465" s="6"/>
      <c r="F1465" s="8" t="str">
        <f>IFERROR(VLOOKUP(C1465,产品数据!$B:$D,3,FALSE),"")</f>
        <v/>
      </c>
      <c r="G1465" s="6"/>
    </row>
    <row r="1466" spans="1:7">
      <c r="A1466" s="6"/>
      <c r="B1466" s="5"/>
      <c r="C1466" s="7"/>
      <c r="D1466" s="8" t="str">
        <f>IFERROR(VLOOKUP(C1466,产品数据!$B:$D,2,FALSE),"")</f>
        <v/>
      </c>
      <c r="E1466" s="6"/>
      <c r="F1466" s="8" t="str">
        <f>IFERROR(VLOOKUP(C1466,产品数据!$B:$D,3,FALSE),"")</f>
        <v/>
      </c>
      <c r="G1466" s="6"/>
    </row>
    <row r="1467" spans="1:7">
      <c r="A1467" s="6"/>
      <c r="B1467" s="5"/>
      <c r="C1467" s="7"/>
      <c r="D1467" s="8" t="str">
        <f>IFERROR(VLOOKUP(C1467,产品数据!$B:$D,2,FALSE),"")</f>
        <v/>
      </c>
      <c r="E1467" s="6"/>
      <c r="F1467" s="8" t="str">
        <f>IFERROR(VLOOKUP(C1467,产品数据!$B:$D,3,FALSE),"")</f>
        <v/>
      </c>
      <c r="G1467" s="6"/>
    </row>
    <row r="1468" spans="1:7">
      <c r="A1468" s="6"/>
      <c r="B1468" s="5"/>
      <c r="C1468" s="7"/>
      <c r="D1468" s="8" t="str">
        <f>IFERROR(VLOOKUP(C1468,产品数据!$B:$D,2,FALSE),"")</f>
        <v/>
      </c>
      <c r="E1468" s="6"/>
      <c r="F1468" s="8" t="str">
        <f>IFERROR(VLOOKUP(C1468,产品数据!$B:$D,3,FALSE),"")</f>
        <v/>
      </c>
      <c r="G1468" s="6"/>
    </row>
    <row r="1469" spans="1:7">
      <c r="A1469" s="6"/>
      <c r="B1469" s="5"/>
      <c r="C1469" s="7"/>
      <c r="D1469" s="8" t="str">
        <f>IFERROR(VLOOKUP(C1469,产品数据!$B:$D,2,FALSE),"")</f>
        <v/>
      </c>
      <c r="E1469" s="6"/>
      <c r="F1469" s="8" t="str">
        <f>IFERROR(VLOOKUP(C1469,产品数据!$B:$D,3,FALSE),"")</f>
        <v/>
      </c>
      <c r="G1469" s="6"/>
    </row>
    <row r="1470" spans="1:7">
      <c r="A1470" s="6"/>
      <c r="B1470" s="5"/>
      <c r="C1470" s="7"/>
      <c r="D1470" s="8" t="str">
        <f>IFERROR(VLOOKUP(C1470,产品数据!$B:$D,2,FALSE),"")</f>
        <v/>
      </c>
      <c r="E1470" s="6"/>
      <c r="F1470" s="8" t="str">
        <f>IFERROR(VLOOKUP(C1470,产品数据!$B:$D,3,FALSE),"")</f>
        <v/>
      </c>
      <c r="G1470" s="6"/>
    </row>
    <row r="1471" spans="1:7">
      <c r="A1471" s="6"/>
      <c r="B1471" s="5"/>
      <c r="C1471" s="7"/>
      <c r="D1471" s="8" t="str">
        <f>IFERROR(VLOOKUP(C1471,产品数据!$B:$D,2,FALSE),"")</f>
        <v/>
      </c>
      <c r="E1471" s="6"/>
      <c r="F1471" s="8" t="str">
        <f>IFERROR(VLOOKUP(C1471,产品数据!$B:$D,3,FALSE),"")</f>
        <v/>
      </c>
      <c r="G1471" s="6"/>
    </row>
    <row r="1472" spans="1:7">
      <c r="A1472" s="6"/>
      <c r="B1472" s="5"/>
      <c r="C1472" s="7"/>
      <c r="D1472" s="8" t="str">
        <f>IFERROR(VLOOKUP(C1472,产品数据!$B:$D,2,FALSE),"")</f>
        <v/>
      </c>
      <c r="E1472" s="6"/>
      <c r="F1472" s="8" t="str">
        <f>IFERROR(VLOOKUP(C1472,产品数据!$B:$D,3,FALSE),"")</f>
        <v/>
      </c>
      <c r="G1472" s="6"/>
    </row>
    <row r="1473" spans="1:7">
      <c r="A1473" s="6"/>
      <c r="B1473" s="5"/>
      <c r="C1473" s="7"/>
      <c r="D1473" s="8" t="str">
        <f>IFERROR(VLOOKUP(C1473,产品数据!$B:$D,2,FALSE),"")</f>
        <v/>
      </c>
      <c r="E1473" s="6"/>
      <c r="F1473" s="8" t="str">
        <f>IFERROR(VLOOKUP(C1473,产品数据!$B:$D,3,FALSE),"")</f>
        <v/>
      </c>
      <c r="G1473" s="6"/>
    </row>
    <row r="1474" spans="1:7">
      <c r="A1474" s="6"/>
      <c r="B1474" s="5"/>
      <c r="C1474" s="7"/>
      <c r="D1474" s="8" t="str">
        <f>IFERROR(VLOOKUP(C1474,产品数据!$B:$D,2,FALSE),"")</f>
        <v/>
      </c>
      <c r="E1474" s="6"/>
      <c r="F1474" s="8" t="str">
        <f>IFERROR(VLOOKUP(C1474,产品数据!$B:$D,3,FALSE),"")</f>
        <v/>
      </c>
      <c r="G1474" s="6"/>
    </row>
    <row r="1475" spans="1:7">
      <c r="A1475" s="6"/>
      <c r="B1475" s="5"/>
      <c r="C1475" s="7"/>
      <c r="D1475" s="8" t="str">
        <f>IFERROR(VLOOKUP(C1475,产品数据!$B:$D,2,FALSE),"")</f>
        <v/>
      </c>
      <c r="E1475" s="6"/>
      <c r="F1475" s="8" t="str">
        <f>IFERROR(VLOOKUP(C1475,产品数据!$B:$D,3,FALSE),"")</f>
        <v/>
      </c>
      <c r="G1475" s="6"/>
    </row>
    <row r="1476" spans="1:7">
      <c r="A1476" s="6"/>
      <c r="B1476" s="5"/>
      <c r="C1476" s="7"/>
      <c r="D1476" s="8" t="str">
        <f>IFERROR(VLOOKUP(C1476,产品数据!$B:$D,2,FALSE),"")</f>
        <v/>
      </c>
      <c r="E1476" s="6"/>
      <c r="F1476" s="8" t="str">
        <f>IFERROR(VLOOKUP(C1476,产品数据!$B:$D,3,FALSE),"")</f>
        <v/>
      </c>
      <c r="G1476" s="6"/>
    </row>
    <row r="1477" spans="1:7">
      <c r="A1477" s="6"/>
      <c r="B1477" s="5"/>
      <c r="C1477" s="7"/>
      <c r="D1477" s="8" t="str">
        <f>IFERROR(VLOOKUP(C1477,产品数据!$B:$D,2,FALSE),"")</f>
        <v/>
      </c>
      <c r="E1477" s="6"/>
      <c r="F1477" s="8" t="str">
        <f>IFERROR(VLOOKUP(C1477,产品数据!$B:$D,3,FALSE),"")</f>
        <v/>
      </c>
      <c r="G1477" s="6"/>
    </row>
    <row r="1478" spans="1:7">
      <c r="A1478" s="6"/>
      <c r="B1478" s="5"/>
      <c r="C1478" s="7"/>
      <c r="D1478" s="8" t="str">
        <f>IFERROR(VLOOKUP(C1478,产品数据!$B:$D,2,FALSE),"")</f>
        <v/>
      </c>
      <c r="E1478" s="6"/>
      <c r="F1478" s="8" t="str">
        <f>IFERROR(VLOOKUP(C1478,产品数据!$B:$D,3,FALSE),"")</f>
        <v/>
      </c>
      <c r="G1478" s="6"/>
    </row>
    <row r="1479" spans="1:7">
      <c r="A1479" s="6"/>
      <c r="B1479" s="5"/>
      <c r="C1479" s="7"/>
      <c r="D1479" s="8" t="str">
        <f>IFERROR(VLOOKUP(C1479,产品数据!$B:$D,2,FALSE),"")</f>
        <v/>
      </c>
      <c r="E1479" s="6"/>
      <c r="F1479" s="8" t="str">
        <f>IFERROR(VLOOKUP(C1479,产品数据!$B:$D,3,FALSE),"")</f>
        <v/>
      </c>
      <c r="G1479" s="6"/>
    </row>
    <row r="1480" spans="1:7">
      <c r="A1480" s="6"/>
      <c r="B1480" s="5"/>
      <c r="C1480" s="7"/>
      <c r="D1480" s="8" t="str">
        <f>IFERROR(VLOOKUP(C1480,产品数据!$B:$D,2,FALSE),"")</f>
        <v/>
      </c>
      <c r="E1480" s="6"/>
      <c r="F1480" s="8" t="str">
        <f>IFERROR(VLOOKUP(C1480,产品数据!$B:$D,3,FALSE),"")</f>
        <v/>
      </c>
      <c r="G1480" s="6"/>
    </row>
    <row r="1481" spans="1:7">
      <c r="A1481" s="6"/>
      <c r="B1481" s="5"/>
      <c r="C1481" s="7"/>
      <c r="D1481" s="8" t="str">
        <f>IFERROR(VLOOKUP(C1481,产品数据!$B:$D,2,FALSE),"")</f>
        <v/>
      </c>
      <c r="E1481" s="6"/>
      <c r="F1481" s="8" t="str">
        <f>IFERROR(VLOOKUP(C1481,产品数据!$B:$D,3,FALSE),"")</f>
        <v/>
      </c>
      <c r="G1481" s="6"/>
    </row>
    <row r="1482" spans="1:7">
      <c r="A1482" s="6"/>
      <c r="B1482" s="5"/>
      <c r="C1482" s="7"/>
      <c r="D1482" s="8" t="str">
        <f>IFERROR(VLOOKUP(C1482,产品数据!$B:$D,2,FALSE),"")</f>
        <v/>
      </c>
      <c r="E1482" s="6"/>
      <c r="F1482" s="8" t="str">
        <f>IFERROR(VLOOKUP(C1482,产品数据!$B:$D,3,FALSE),"")</f>
        <v/>
      </c>
      <c r="G1482" s="6"/>
    </row>
    <row r="1483" spans="1:7">
      <c r="A1483" s="6"/>
      <c r="B1483" s="5"/>
      <c r="C1483" s="7"/>
      <c r="D1483" s="8" t="str">
        <f>IFERROR(VLOOKUP(C1483,产品数据!$B:$D,2,FALSE),"")</f>
        <v/>
      </c>
      <c r="E1483" s="6"/>
      <c r="F1483" s="8" t="str">
        <f>IFERROR(VLOOKUP(C1483,产品数据!$B:$D,3,FALSE),"")</f>
        <v/>
      </c>
      <c r="G1483" s="6"/>
    </row>
    <row r="1484" spans="1:7">
      <c r="A1484" s="6"/>
      <c r="B1484" s="5"/>
      <c r="C1484" s="7"/>
      <c r="D1484" s="8" t="str">
        <f>IFERROR(VLOOKUP(C1484,产品数据!$B:$D,2,FALSE),"")</f>
        <v/>
      </c>
      <c r="E1484" s="6"/>
      <c r="F1484" s="8" t="str">
        <f>IFERROR(VLOOKUP(C1484,产品数据!$B:$D,3,FALSE),"")</f>
        <v/>
      </c>
      <c r="G1484" s="6"/>
    </row>
    <row r="1485" spans="1:7">
      <c r="A1485" s="6"/>
      <c r="B1485" s="5"/>
      <c r="C1485" s="7"/>
      <c r="D1485" s="8" t="str">
        <f>IFERROR(VLOOKUP(C1485,产品数据!$B:$D,2,FALSE),"")</f>
        <v/>
      </c>
      <c r="E1485" s="6"/>
      <c r="F1485" s="8" t="str">
        <f>IFERROR(VLOOKUP(C1485,产品数据!$B:$D,3,FALSE),"")</f>
        <v/>
      </c>
      <c r="G1485" s="6"/>
    </row>
    <row r="1486" spans="1:7">
      <c r="A1486" s="6"/>
      <c r="B1486" s="5"/>
      <c r="C1486" s="7"/>
      <c r="D1486" s="8" t="str">
        <f>IFERROR(VLOOKUP(C1486,产品数据!$B:$D,2,FALSE),"")</f>
        <v/>
      </c>
      <c r="E1486" s="6"/>
      <c r="F1486" s="8" t="str">
        <f>IFERROR(VLOOKUP(C1486,产品数据!$B:$D,3,FALSE),"")</f>
        <v/>
      </c>
      <c r="G1486" s="6"/>
    </row>
    <row r="1487" spans="1:7">
      <c r="A1487" s="6"/>
      <c r="B1487" s="5"/>
      <c r="C1487" s="7"/>
      <c r="D1487" s="8" t="str">
        <f>IFERROR(VLOOKUP(C1487,产品数据!$B:$D,2,FALSE),"")</f>
        <v/>
      </c>
      <c r="E1487" s="6"/>
      <c r="F1487" s="8" t="str">
        <f>IFERROR(VLOOKUP(C1487,产品数据!$B:$D,3,FALSE),"")</f>
        <v/>
      </c>
      <c r="G1487" s="6"/>
    </row>
    <row r="1488" spans="1:7">
      <c r="A1488" s="6"/>
      <c r="B1488" s="5"/>
      <c r="C1488" s="7"/>
      <c r="D1488" s="8" t="str">
        <f>IFERROR(VLOOKUP(C1488,产品数据!$B:$D,2,FALSE),"")</f>
        <v/>
      </c>
      <c r="E1488" s="6"/>
      <c r="F1488" s="8" t="str">
        <f>IFERROR(VLOOKUP(C1488,产品数据!$B:$D,3,FALSE),"")</f>
        <v/>
      </c>
      <c r="G1488" s="6"/>
    </row>
    <row r="1489" spans="1:7">
      <c r="A1489" s="6"/>
      <c r="B1489" s="5"/>
      <c r="C1489" s="7"/>
      <c r="D1489" s="8" t="str">
        <f>IFERROR(VLOOKUP(C1489,产品数据!$B:$D,2,FALSE),"")</f>
        <v/>
      </c>
      <c r="E1489" s="6"/>
      <c r="F1489" s="8" t="str">
        <f>IFERROR(VLOOKUP(C1489,产品数据!$B:$D,3,FALSE),"")</f>
        <v/>
      </c>
      <c r="G1489" s="6"/>
    </row>
    <row r="1490" spans="1:7">
      <c r="A1490" s="6"/>
      <c r="B1490" s="5"/>
      <c r="C1490" s="7"/>
      <c r="D1490" s="8" t="str">
        <f>IFERROR(VLOOKUP(C1490,产品数据!$B:$D,2,FALSE),"")</f>
        <v/>
      </c>
      <c r="E1490" s="6"/>
      <c r="F1490" s="8" t="str">
        <f>IFERROR(VLOOKUP(C1490,产品数据!$B:$D,3,FALSE),"")</f>
        <v/>
      </c>
      <c r="G1490" s="6"/>
    </row>
    <row r="1491" spans="1:7">
      <c r="A1491" s="6"/>
      <c r="B1491" s="5"/>
      <c r="C1491" s="7"/>
      <c r="D1491" s="8" t="str">
        <f>IFERROR(VLOOKUP(C1491,产品数据!$B:$D,2,FALSE),"")</f>
        <v/>
      </c>
      <c r="E1491" s="6"/>
      <c r="F1491" s="8" t="str">
        <f>IFERROR(VLOOKUP(C1491,产品数据!$B:$D,3,FALSE),"")</f>
        <v/>
      </c>
      <c r="G1491" s="6"/>
    </row>
    <row r="1492" spans="1:7">
      <c r="A1492" s="6"/>
      <c r="B1492" s="5"/>
      <c r="C1492" s="7"/>
      <c r="D1492" s="8" t="str">
        <f>IFERROR(VLOOKUP(C1492,产品数据!$B:$D,2,FALSE),"")</f>
        <v/>
      </c>
      <c r="E1492" s="6"/>
      <c r="F1492" s="8" t="str">
        <f>IFERROR(VLOOKUP(C1492,产品数据!$B:$D,3,FALSE),"")</f>
        <v/>
      </c>
      <c r="G1492" s="6"/>
    </row>
    <row r="1493" spans="1:7">
      <c r="A1493" s="6"/>
      <c r="B1493" s="5"/>
      <c r="C1493" s="7"/>
      <c r="D1493" s="8" t="str">
        <f>IFERROR(VLOOKUP(C1493,产品数据!$B:$D,2,FALSE),"")</f>
        <v/>
      </c>
      <c r="E1493" s="6"/>
      <c r="F1493" s="8" t="str">
        <f>IFERROR(VLOOKUP(C1493,产品数据!$B:$D,3,FALSE),"")</f>
        <v/>
      </c>
      <c r="G1493" s="6"/>
    </row>
    <row r="1494" spans="1:7">
      <c r="A1494" s="6"/>
      <c r="B1494" s="5"/>
      <c r="C1494" s="7"/>
      <c r="D1494" s="8" t="str">
        <f>IFERROR(VLOOKUP(C1494,产品数据!$B:$D,2,FALSE),"")</f>
        <v/>
      </c>
      <c r="E1494" s="6"/>
      <c r="F1494" s="8" t="str">
        <f>IFERROR(VLOOKUP(C1494,产品数据!$B:$D,3,FALSE),"")</f>
        <v/>
      </c>
      <c r="G1494" s="6"/>
    </row>
    <row r="1495" spans="1:7">
      <c r="A1495" s="6"/>
      <c r="B1495" s="5"/>
      <c r="C1495" s="7"/>
      <c r="D1495" s="8" t="str">
        <f>IFERROR(VLOOKUP(C1495,产品数据!$B:$D,2,FALSE),"")</f>
        <v/>
      </c>
      <c r="E1495" s="6"/>
      <c r="F1495" s="8" t="str">
        <f>IFERROR(VLOOKUP(C1495,产品数据!$B:$D,3,FALSE),"")</f>
        <v/>
      </c>
      <c r="G1495" s="6"/>
    </row>
    <row r="1496" spans="1:7">
      <c r="A1496" s="6"/>
      <c r="B1496" s="5"/>
      <c r="C1496" s="7"/>
      <c r="D1496" s="8" t="str">
        <f>IFERROR(VLOOKUP(C1496,产品数据!$B:$D,2,FALSE),"")</f>
        <v/>
      </c>
      <c r="E1496" s="6"/>
      <c r="F1496" s="8" t="str">
        <f>IFERROR(VLOOKUP(C1496,产品数据!$B:$D,3,FALSE),"")</f>
        <v/>
      </c>
      <c r="G1496" s="6"/>
    </row>
    <row r="1497" spans="1:7">
      <c r="A1497" s="6"/>
      <c r="B1497" s="5"/>
      <c r="C1497" s="7"/>
      <c r="D1497" s="8" t="str">
        <f>IFERROR(VLOOKUP(C1497,产品数据!$B:$D,2,FALSE),"")</f>
        <v/>
      </c>
      <c r="E1497" s="6"/>
      <c r="F1497" s="8" t="str">
        <f>IFERROR(VLOOKUP(C1497,产品数据!$B:$D,3,FALSE),"")</f>
        <v/>
      </c>
      <c r="G1497" s="6"/>
    </row>
    <row r="1498" spans="1:7">
      <c r="A1498" s="6"/>
      <c r="B1498" s="5"/>
      <c r="C1498" s="7"/>
      <c r="D1498" s="8" t="str">
        <f>IFERROR(VLOOKUP(C1498,产品数据!$B:$D,2,FALSE),"")</f>
        <v/>
      </c>
      <c r="E1498" s="6"/>
      <c r="F1498" s="8" t="str">
        <f>IFERROR(VLOOKUP(C1498,产品数据!$B:$D,3,FALSE),"")</f>
        <v/>
      </c>
      <c r="G1498" s="6"/>
    </row>
    <row r="1499" spans="1:7">
      <c r="A1499" s="6"/>
      <c r="B1499" s="5"/>
      <c r="C1499" s="7"/>
      <c r="D1499" s="8" t="str">
        <f>IFERROR(VLOOKUP(C1499,产品数据!$B:$D,2,FALSE),"")</f>
        <v/>
      </c>
      <c r="E1499" s="6"/>
      <c r="F1499" s="8" t="str">
        <f>IFERROR(VLOOKUP(C1499,产品数据!$B:$D,3,FALSE),"")</f>
        <v/>
      </c>
      <c r="G1499" s="6"/>
    </row>
    <row r="1500" spans="1:7">
      <c r="A1500" s="6"/>
      <c r="B1500" s="5"/>
      <c r="C1500" s="7"/>
      <c r="D1500" s="8" t="str">
        <f>IFERROR(VLOOKUP(C1500,产品数据!$B:$D,2,FALSE),"")</f>
        <v/>
      </c>
      <c r="E1500" s="6"/>
      <c r="F1500" s="8" t="str">
        <f>IFERROR(VLOOKUP(C1500,产品数据!$B:$D,3,FALSE),"")</f>
        <v/>
      </c>
      <c r="G1500" s="6"/>
    </row>
    <row r="1501" spans="1:7">
      <c r="A1501" s="6"/>
      <c r="B1501" s="5"/>
      <c r="C1501" s="7"/>
      <c r="D1501" s="8" t="str">
        <f>IFERROR(VLOOKUP(C1501,产品数据!$B:$D,2,FALSE),"")</f>
        <v/>
      </c>
      <c r="E1501" s="6"/>
      <c r="F1501" s="8" t="str">
        <f>IFERROR(VLOOKUP(C1501,产品数据!$B:$D,3,FALSE),"")</f>
        <v/>
      </c>
      <c r="G1501" s="6"/>
    </row>
    <row r="1502" spans="1:7">
      <c r="A1502" s="6"/>
      <c r="B1502" s="5"/>
      <c r="C1502" s="7"/>
      <c r="D1502" s="8" t="str">
        <f>IFERROR(VLOOKUP(C1502,产品数据!$B:$D,2,FALSE),"")</f>
        <v/>
      </c>
      <c r="E1502" s="6"/>
      <c r="F1502" s="8" t="str">
        <f>IFERROR(VLOOKUP(C1502,产品数据!$B:$D,3,FALSE),"")</f>
        <v/>
      </c>
      <c r="G1502" s="6"/>
    </row>
    <row r="1503" spans="1:7">
      <c r="A1503" s="6"/>
      <c r="B1503" s="5"/>
      <c r="C1503" s="7"/>
      <c r="D1503" s="8" t="str">
        <f>IFERROR(VLOOKUP(C1503,产品数据!$B:$D,2,FALSE),"")</f>
        <v/>
      </c>
      <c r="E1503" s="6"/>
      <c r="F1503" s="8" t="str">
        <f>IFERROR(VLOOKUP(C1503,产品数据!$B:$D,3,FALSE),"")</f>
        <v/>
      </c>
      <c r="G1503" s="6"/>
    </row>
    <row r="1504" spans="1:7">
      <c r="A1504" s="6"/>
      <c r="B1504" s="5"/>
      <c r="C1504" s="7"/>
      <c r="D1504" s="8" t="str">
        <f>IFERROR(VLOOKUP(C1504,产品数据!$B:$D,2,FALSE),"")</f>
        <v/>
      </c>
      <c r="E1504" s="6"/>
      <c r="F1504" s="8" t="str">
        <f>IFERROR(VLOOKUP(C1504,产品数据!$B:$D,3,FALSE),"")</f>
        <v/>
      </c>
      <c r="G1504" s="6"/>
    </row>
    <row r="1505" spans="1:7">
      <c r="A1505" s="6"/>
      <c r="B1505" s="5"/>
      <c r="C1505" s="7"/>
      <c r="D1505" s="8" t="str">
        <f>IFERROR(VLOOKUP(C1505,产品数据!$B:$D,2,FALSE),"")</f>
        <v/>
      </c>
      <c r="E1505" s="6"/>
      <c r="F1505" s="8" t="str">
        <f>IFERROR(VLOOKUP(C1505,产品数据!$B:$D,3,FALSE),"")</f>
        <v/>
      </c>
      <c r="G1505" s="6"/>
    </row>
    <row r="1506" spans="1:7">
      <c r="A1506" s="6"/>
      <c r="B1506" s="5"/>
      <c r="C1506" s="7"/>
      <c r="D1506" s="8" t="str">
        <f>IFERROR(VLOOKUP(C1506,产品数据!$B:$D,2,FALSE),"")</f>
        <v/>
      </c>
      <c r="E1506" s="6"/>
      <c r="F1506" s="8" t="str">
        <f>IFERROR(VLOOKUP(C1506,产品数据!$B:$D,3,FALSE),"")</f>
        <v/>
      </c>
      <c r="G1506" s="6"/>
    </row>
    <row r="1507" spans="1:7">
      <c r="A1507" s="6"/>
      <c r="B1507" s="5"/>
      <c r="C1507" s="7"/>
      <c r="D1507" s="8" t="str">
        <f>IFERROR(VLOOKUP(C1507,产品数据!$B:$D,2,FALSE),"")</f>
        <v/>
      </c>
      <c r="E1507" s="6"/>
      <c r="F1507" s="8" t="str">
        <f>IFERROR(VLOOKUP(C1507,产品数据!$B:$D,3,FALSE),"")</f>
        <v/>
      </c>
      <c r="G1507" s="6"/>
    </row>
    <row r="1508" spans="1:7">
      <c r="A1508" s="6"/>
      <c r="B1508" s="5"/>
      <c r="C1508" s="7"/>
      <c r="D1508" s="8" t="str">
        <f>IFERROR(VLOOKUP(C1508,产品数据!$B:$D,2,FALSE),"")</f>
        <v/>
      </c>
      <c r="E1508" s="6"/>
      <c r="F1508" s="8" t="str">
        <f>IFERROR(VLOOKUP(C1508,产品数据!$B:$D,3,FALSE),"")</f>
        <v/>
      </c>
      <c r="G1508" s="6"/>
    </row>
    <row r="1509" spans="1:7">
      <c r="A1509" s="6"/>
      <c r="B1509" s="5"/>
      <c r="C1509" s="7"/>
      <c r="D1509" s="8" t="str">
        <f>IFERROR(VLOOKUP(C1509,产品数据!$B:$D,2,FALSE),"")</f>
        <v/>
      </c>
      <c r="E1509" s="6"/>
      <c r="F1509" s="8" t="str">
        <f>IFERROR(VLOOKUP(C1509,产品数据!$B:$D,3,FALSE),"")</f>
        <v/>
      </c>
      <c r="G1509" s="6"/>
    </row>
    <row r="1510" spans="1:7">
      <c r="A1510" s="6"/>
      <c r="B1510" s="5"/>
      <c r="C1510" s="7"/>
      <c r="D1510" s="8" t="str">
        <f>IFERROR(VLOOKUP(C1510,产品数据!$B:$D,2,FALSE),"")</f>
        <v/>
      </c>
      <c r="E1510" s="6"/>
      <c r="F1510" s="8" t="str">
        <f>IFERROR(VLOOKUP(C1510,产品数据!$B:$D,3,FALSE),"")</f>
        <v/>
      </c>
      <c r="G1510" s="6"/>
    </row>
    <row r="1511" spans="1:7">
      <c r="A1511" s="6"/>
      <c r="B1511" s="5"/>
      <c r="C1511" s="7"/>
      <c r="D1511" s="8" t="str">
        <f>IFERROR(VLOOKUP(C1511,产品数据!$B:$D,2,FALSE),"")</f>
        <v/>
      </c>
      <c r="E1511" s="6"/>
      <c r="F1511" s="8" t="str">
        <f>IFERROR(VLOOKUP(C1511,产品数据!$B:$D,3,FALSE),"")</f>
        <v/>
      </c>
      <c r="G1511" s="6"/>
    </row>
    <row r="1512" spans="1:7">
      <c r="A1512" s="6"/>
      <c r="B1512" s="5"/>
      <c r="C1512" s="7"/>
      <c r="D1512" s="8" t="str">
        <f>IFERROR(VLOOKUP(C1512,产品数据!$B:$D,2,FALSE),"")</f>
        <v/>
      </c>
      <c r="E1512" s="6"/>
      <c r="F1512" s="8" t="str">
        <f>IFERROR(VLOOKUP(C1512,产品数据!$B:$D,3,FALSE),"")</f>
        <v/>
      </c>
      <c r="G1512" s="6"/>
    </row>
    <row r="1513" spans="1:7">
      <c r="A1513" s="6"/>
      <c r="B1513" s="5"/>
      <c r="C1513" s="7"/>
      <c r="D1513" s="8" t="str">
        <f>IFERROR(VLOOKUP(C1513,产品数据!$B:$D,2,FALSE),"")</f>
        <v/>
      </c>
      <c r="E1513" s="6"/>
      <c r="F1513" s="8" t="str">
        <f>IFERROR(VLOOKUP(C1513,产品数据!$B:$D,3,FALSE),"")</f>
        <v/>
      </c>
      <c r="G1513" s="6"/>
    </row>
    <row r="1514" spans="1:7">
      <c r="A1514" s="6"/>
      <c r="B1514" s="5"/>
      <c r="C1514" s="7"/>
      <c r="D1514" s="8" t="str">
        <f>IFERROR(VLOOKUP(C1514,产品数据!$B:$D,2,FALSE),"")</f>
        <v/>
      </c>
      <c r="E1514" s="6"/>
      <c r="F1514" s="8" t="str">
        <f>IFERROR(VLOOKUP(C1514,产品数据!$B:$D,3,FALSE),"")</f>
        <v/>
      </c>
      <c r="G1514" s="6"/>
    </row>
    <row r="1515" spans="1:7">
      <c r="A1515" s="6"/>
      <c r="B1515" s="5"/>
      <c r="C1515" s="7"/>
      <c r="D1515" s="8" t="str">
        <f>IFERROR(VLOOKUP(C1515,产品数据!$B:$D,2,FALSE),"")</f>
        <v/>
      </c>
      <c r="E1515" s="6"/>
      <c r="F1515" s="8" t="str">
        <f>IFERROR(VLOOKUP(C1515,产品数据!$B:$D,3,FALSE),"")</f>
        <v/>
      </c>
      <c r="G1515" s="6"/>
    </row>
    <row r="1516" spans="1:7">
      <c r="A1516" s="6"/>
      <c r="B1516" s="5"/>
      <c r="C1516" s="7"/>
      <c r="D1516" s="8" t="str">
        <f>IFERROR(VLOOKUP(C1516,产品数据!$B:$D,2,FALSE),"")</f>
        <v/>
      </c>
      <c r="E1516" s="6"/>
      <c r="F1516" s="8" t="str">
        <f>IFERROR(VLOOKUP(C1516,产品数据!$B:$D,3,FALSE),"")</f>
        <v/>
      </c>
      <c r="G1516" s="6"/>
    </row>
    <row r="1517" spans="1:7">
      <c r="A1517" s="6"/>
      <c r="B1517" s="5"/>
      <c r="C1517" s="7"/>
      <c r="D1517" s="8" t="str">
        <f>IFERROR(VLOOKUP(C1517,产品数据!$B:$D,2,FALSE),"")</f>
        <v/>
      </c>
      <c r="E1517" s="6"/>
      <c r="F1517" s="8" t="str">
        <f>IFERROR(VLOOKUP(C1517,产品数据!$B:$D,3,FALSE),"")</f>
        <v/>
      </c>
      <c r="G1517" s="6"/>
    </row>
    <row r="1518" spans="1:7">
      <c r="A1518" s="6"/>
      <c r="B1518" s="5"/>
      <c r="C1518" s="7"/>
      <c r="D1518" s="8" t="str">
        <f>IFERROR(VLOOKUP(C1518,产品数据!$B:$D,2,FALSE),"")</f>
        <v/>
      </c>
      <c r="E1518" s="6"/>
      <c r="F1518" s="8" t="str">
        <f>IFERROR(VLOOKUP(C1518,产品数据!$B:$D,3,FALSE),"")</f>
        <v/>
      </c>
      <c r="G1518" s="6"/>
    </row>
    <row r="1519" spans="1:7">
      <c r="A1519" s="6"/>
      <c r="B1519" s="5"/>
      <c r="C1519" s="7"/>
      <c r="D1519" s="8" t="str">
        <f>IFERROR(VLOOKUP(C1519,产品数据!$B:$D,2,FALSE),"")</f>
        <v/>
      </c>
      <c r="E1519" s="6"/>
      <c r="F1519" s="8" t="str">
        <f>IFERROR(VLOOKUP(C1519,产品数据!$B:$D,3,FALSE),"")</f>
        <v/>
      </c>
      <c r="G1519" s="6"/>
    </row>
    <row r="1520" spans="1:7">
      <c r="A1520" s="6"/>
      <c r="B1520" s="5"/>
      <c r="C1520" s="7"/>
      <c r="D1520" s="8" t="str">
        <f>IFERROR(VLOOKUP(C1520,产品数据!$B:$D,2,FALSE),"")</f>
        <v/>
      </c>
      <c r="E1520" s="6"/>
      <c r="F1520" s="8" t="str">
        <f>IFERROR(VLOOKUP(C1520,产品数据!$B:$D,3,FALSE),"")</f>
        <v/>
      </c>
      <c r="G1520" s="6"/>
    </row>
    <row r="1521" spans="1:7">
      <c r="A1521" s="6"/>
      <c r="B1521" s="5"/>
      <c r="C1521" s="7"/>
      <c r="D1521" s="8" t="str">
        <f>IFERROR(VLOOKUP(C1521,产品数据!$B:$D,2,FALSE),"")</f>
        <v/>
      </c>
      <c r="E1521" s="6"/>
      <c r="F1521" s="8" t="str">
        <f>IFERROR(VLOOKUP(C1521,产品数据!$B:$D,3,FALSE),"")</f>
        <v/>
      </c>
      <c r="G1521" s="6"/>
    </row>
    <row r="1522" spans="1:7">
      <c r="A1522" s="6"/>
      <c r="B1522" s="5"/>
      <c r="C1522" s="7"/>
      <c r="D1522" s="8" t="str">
        <f>IFERROR(VLOOKUP(C1522,产品数据!$B:$D,2,FALSE),"")</f>
        <v/>
      </c>
      <c r="E1522" s="6"/>
      <c r="F1522" s="8" t="str">
        <f>IFERROR(VLOOKUP(C1522,产品数据!$B:$D,3,FALSE),"")</f>
        <v/>
      </c>
      <c r="G1522" s="6"/>
    </row>
    <row r="1523" spans="1:7">
      <c r="A1523" s="6"/>
      <c r="B1523" s="5"/>
      <c r="C1523" s="7"/>
      <c r="D1523" s="8" t="str">
        <f>IFERROR(VLOOKUP(C1523,产品数据!$B:$D,2,FALSE),"")</f>
        <v/>
      </c>
      <c r="E1523" s="6"/>
      <c r="F1523" s="8" t="str">
        <f>IFERROR(VLOOKUP(C1523,产品数据!$B:$D,3,FALSE),"")</f>
        <v/>
      </c>
      <c r="G1523" s="6"/>
    </row>
    <row r="1524" spans="1:7">
      <c r="A1524" s="6"/>
      <c r="B1524" s="5"/>
      <c r="C1524" s="7"/>
      <c r="D1524" s="8" t="str">
        <f>IFERROR(VLOOKUP(C1524,产品数据!$B:$D,2,FALSE),"")</f>
        <v/>
      </c>
      <c r="E1524" s="6"/>
      <c r="F1524" s="8" t="str">
        <f>IFERROR(VLOOKUP(C1524,产品数据!$B:$D,3,FALSE),"")</f>
        <v/>
      </c>
      <c r="G1524" s="6"/>
    </row>
    <row r="1525" spans="1:7">
      <c r="A1525" s="6"/>
      <c r="B1525" s="5"/>
      <c r="C1525" s="7"/>
      <c r="D1525" s="8" t="str">
        <f>IFERROR(VLOOKUP(C1525,产品数据!$B:$D,2,FALSE),"")</f>
        <v/>
      </c>
      <c r="E1525" s="6"/>
      <c r="F1525" s="8" t="str">
        <f>IFERROR(VLOOKUP(C1525,产品数据!$B:$D,3,FALSE),"")</f>
        <v/>
      </c>
      <c r="G1525" s="6"/>
    </row>
    <row r="1526" spans="1:7">
      <c r="A1526" s="6"/>
      <c r="B1526" s="5"/>
      <c r="C1526" s="7"/>
      <c r="D1526" s="8" t="str">
        <f>IFERROR(VLOOKUP(C1526,产品数据!$B:$D,2,FALSE),"")</f>
        <v/>
      </c>
      <c r="E1526" s="6"/>
      <c r="F1526" s="8" t="str">
        <f>IFERROR(VLOOKUP(C1526,产品数据!$B:$D,3,FALSE),"")</f>
        <v/>
      </c>
      <c r="G1526" s="6"/>
    </row>
    <row r="1527" spans="1:7">
      <c r="A1527" s="6"/>
      <c r="B1527" s="5"/>
      <c r="C1527" s="7"/>
      <c r="D1527" s="8" t="str">
        <f>IFERROR(VLOOKUP(C1527,产品数据!$B:$D,2,FALSE),"")</f>
        <v/>
      </c>
      <c r="E1527" s="6"/>
      <c r="F1527" s="8" t="str">
        <f>IFERROR(VLOOKUP(C1527,产品数据!$B:$D,3,FALSE),"")</f>
        <v/>
      </c>
      <c r="G1527" s="6"/>
    </row>
    <row r="1528" spans="1:7">
      <c r="A1528" s="6"/>
      <c r="B1528" s="5"/>
      <c r="C1528" s="7"/>
      <c r="D1528" s="8" t="str">
        <f>IFERROR(VLOOKUP(C1528,产品数据!$B:$D,2,FALSE),"")</f>
        <v/>
      </c>
      <c r="E1528" s="6"/>
      <c r="F1528" s="8" t="str">
        <f>IFERROR(VLOOKUP(C1528,产品数据!$B:$D,3,FALSE),"")</f>
        <v/>
      </c>
      <c r="G1528" s="6"/>
    </row>
    <row r="1529" spans="1:7">
      <c r="A1529" s="6"/>
      <c r="B1529" s="5"/>
      <c r="C1529" s="7"/>
      <c r="D1529" s="8" t="str">
        <f>IFERROR(VLOOKUP(C1529,产品数据!$B:$D,2,FALSE),"")</f>
        <v/>
      </c>
      <c r="E1529" s="6"/>
      <c r="F1529" s="8" t="str">
        <f>IFERROR(VLOOKUP(C1529,产品数据!$B:$D,3,FALSE),"")</f>
        <v/>
      </c>
      <c r="G1529" s="6"/>
    </row>
    <row r="1530" spans="1:7">
      <c r="A1530" s="6"/>
      <c r="B1530" s="5"/>
      <c r="C1530" s="7"/>
      <c r="D1530" s="8" t="str">
        <f>IFERROR(VLOOKUP(C1530,产品数据!$B:$D,2,FALSE),"")</f>
        <v/>
      </c>
      <c r="E1530" s="6"/>
      <c r="F1530" s="8" t="str">
        <f>IFERROR(VLOOKUP(C1530,产品数据!$B:$D,3,FALSE),"")</f>
        <v/>
      </c>
      <c r="G1530" s="6"/>
    </row>
    <row r="1531" spans="1:7">
      <c r="A1531" s="6"/>
      <c r="B1531" s="5"/>
      <c r="C1531" s="7"/>
      <c r="D1531" s="8" t="str">
        <f>IFERROR(VLOOKUP(C1531,产品数据!$B:$D,2,FALSE),"")</f>
        <v/>
      </c>
      <c r="E1531" s="6"/>
      <c r="F1531" s="8" t="str">
        <f>IFERROR(VLOOKUP(C1531,产品数据!$B:$D,3,FALSE),"")</f>
        <v/>
      </c>
      <c r="G1531" s="6"/>
    </row>
    <row r="1532" spans="1:7">
      <c r="A1532" s="6"/>
      <c r="B1532" s="5"/>
      <c r="C1532" s="7"/>
      <c r="D1532" s="8" t="str">
        <f>IFERROR(VLOOKUP(C1532,产品数据!$B:$D,2,FALSE),"")</f>
        <v/>
      </c>
      <c r="E1532" s="6"/>
      <c r="F1532" s="8" t="str">
        <f>IFERROR(VLOOKUP(C1532,产品数据!$B:$D,3,FALSE),"")</f>
        <v/>
      </c>
      <c r="G1532" s="6"/>
    </row>
    <row r="1533" spans="1:7">
      <c r="A1533" s="6"/>
      <c r="B1533" s="5"/>
      <c r="C1533" s="7"/>
      <c r="D1533" s="8" t="str">
        <f>IFERROR(VLOOKUP(C1533,产品数据!$B:$D,2,FALSE),"")</f>
        <v/>
      </c>
      <c r="E1533" s="6"/>
      <c r="F1533" s="8" t="str">
        <f>IFERROR(VLOOKUP(C1533,产品数据!$B:$D,3,FALSE),"")</f>
        <v/>
      </c>
      <c r="G1533" s="6"/>
    </row>
    <row r="1534" spans="1:7">
      <c r="A1534" s="6"/>
      <c r="B1534" s="5"/>
      <c r="C1534" s="7"/>
      <c r="D1534" s="8" t="str">
        <f>IFERROR(VLOOKUP(C1534,产品数据!$B:$D,2,FALSE),"")</f>
        <v/>
      </c>
      <c r="E1534" s="6"/>
      <c r="F1534" s="8" t="str">
        <f>IFERROR(VLOOKUP(C1534,产品数据!$B:$D,3,FALSE),"")</f>
        <v/>
      </c>
      <c r="G1534" s="6"/>
    </row>
    <row r="1535" spans="1:7">
      <c r="A1535" s="6"/>
      <c r="B1535" s="5"/>
      <c r="C1535" s="7"/>
      <c r="D1535" s="8" t="str">
        <f>IFERROR(VLOOKUP(C1535,产品数据!$B:$D,2,FALSE),"")</f>
        <v/>
      </c>
      <c r="E1535" s="6"/>
      <c r="F1535" s="8" t="str">
        <f>IFERROR(VLOOKUP(C1535,产品数据!$B:$D,3,FALSE),"")</f>
        <v/>
      </c>
      <c r="G1535" s="6"/>
    </row>
    <row r="1536" spans="1:7">
      <c r="A1536" s="6"/>
      <c r="B1536" s="5"/>
      <c r="C1536" s="7"/>
      <c r="D1536" s="8" t="str">
        <f>IFERROR(VLOOKUP(C1536,产品数据!$B:$D,2,FALSE),"")</f>
        <v/>
      </c>
      <c r="E1536" s="6"/>
      <c r="F1536" s="8" t="str">
        <f>IFERROR(VLOOKUP(C1536,产品数据!$B:$D,3,FALSE),"")</f>
        <v/>
      </c>
      <c r="G1536" s="6"/>
    </row>
    <row r="1537" spans="1:7">
      <c r="A1537" s="6"/>
      <c r="B1537" s="5"/>
      <c r="C1537" s="7"/>
      <c r="D1537" s="8" t="str">
        <f>IFERROR(VLOOKUP(C1537,产品数据!$B:$D,2,FALSE),"")</f>
        <v/>
      </c>
      <c r="E1537" s="6"/>
      <c r="F1537" s="8" t="str">
        <f>IFERROR(VLOOKUP(C1537,产品数据!$B:$D,3,FALSE),"")</f>
        <v/>
      </c>
      <c r="G1537" s="6"/>
    </row>
    <row r="1538" spans="1:7">
      <c r="A1538" s="6"/>
      <c r="B1538" s="5"/>
      <c r="C1538" s="7"/>
      <c r="D1538" s="8" t="str">
        <f>IFERROR(VLOOKUP(C1538,产品数据!$B:$D,2,FALSE),"")</f>
        <v/>
      </c>
      <c r="E1538" s="6"/>
      <c r="F1538" s="8" t="str">
        <f>IFERROR(VLOOKUP(C1538,产品数据!$B:$D,3,FALSE),"")</f>
        <v/>
      </c>
      <c r="G1538" s="6"/>
    </row>
    <row r="1539" spans="1:7">
      <c r="A1539" s="6"/>
      <c r="B1539" s="5"/>
      <c r="C1539" s="7"/>
      <c r="D1539" s="8" t="str">
        <f>IFERROR(VLOOKUP(C1539,产品数据!$B:$D,2,FALSE),"")</f>
        <v/>
      </c>
      <c r="E1539" s="6"/>
      <c r="F1539" s="8" t="str">
        <f>IFERROR(VLOOKUP(C1539,产品数据!$B:$D,3,FALSE),"")</f>
        <v/>
      </c>
      <c r="G1539" s="6"/>
    </row>
    <row r="1540" spans="1:7">
      <c r="A1540" s="6"/>
      <c r="B1540" s="5"/>
      <c r="C1540" s="7"/>
      <c r="D1540" s="8" t="str">
        <f>IFERROR(VLOOKUP(C1540,产品数据!$B:$D,2,FALSE),"")</f>
        <v/>
      </c>
      <c r="E1540" s="6"/>
      <c r="F1540" s="8" t="str">
        <f>IFERROR(VLOOKUP(C1540,产品数据!$B:$D,3,FALSE),"")</f>
        <v/>
      </c>
      <c r="G1540" s="6"/>
    </row>
    <row r="1541" spans="1:7">
      <c r="A1541" s="6"/>
      <c r="B1541" s="5"/>
      <c r="C1541" s="7"/>
      <c r="D1541" s="8" t="str">
        <f>IFERROR(VLOOKUP(C1541,产品数据!$B:$D,2,FALSE),"")</f>
        <v/>
      </c>
      <c r="E1541" s="6"/>
      <c r="F1541" s="8" t="str">
        <f>IFERROR(VLOOKUP(C1541,产品数据!$B:$D,3,FALSE),"")</f>
        <v/>
      </c>
      <c r="G1541" s="6"/>
    </row>
    <row r="1542" spans="1:7">
      <c r="A1542" s="6"/>
      <c r="B1542" s="5"/>
      <c r="C1542" s="7"/>
      <c r="D1542" s="8" t="str">
        <f>IFERROR(VLOOKUP(C1542,产品数据!$B:$D,2,FALSE),"")</f>
        <v/>
      </c>
      <c r="E1542" s="6"/>
      <c r="F1542" s="8" t="str">
        <f>IFERROR(VLOOKUP(C1542,产品数据!$B:$D,3,FALSE),"")</f>
        <v/>
      </c>
      <c r="G1542" s="6"/>
    </row>
    <row r="1543" spans="1:7">
      <c r="A1543" s="6"/>
      <c r="B1543" s="5"/>
      <c r="C1543" s="7"/>
      <c r="D1543" s="8" t="str">
        <f>IFERROR(VLOOKUP(C1543,产品数据!$B:$D,2,FALSE),"")</f>
        <v/>
      </c>
      <c r="E1543" s="6"/>
      <c r="F1543" s="8" t="str">
        <f>IFERROR(VLOOKUP(C1543,产品数据!$B:$D,3,FALSE),"")</f>
        <v/>
      </c>
      <c r="G1543" s="6"/>
    </row>
    <row r="1544" spans="1:7">
      <c r="A1544" s="6"/>
      <c r="B1544" s="5"/>
      <c r="C1544" s="7"/>
      <c r="D1544" s="8" t="str">
        <f>IFERROR(VLOOKUP(C1544,产品数据!$B:$D,2,FALSE),"")</f>
        <v/>
      </c>
      <c r="E1544" s="6"/>
      <c r="F1544" s="8" t="str">
        <f>IFERROR(VLOOKUP(C1544,产品数据!$B:$D,3,FALSE),"")</f>
        <v/>
      </c>
      <c r="G1544" s="6"/>
    </row>
    <row r="1545" spans="1:7">
      <c r="A1545" s="6"/>
      <c r="B1545" s="5"/>
      <c r="C1545" s="7"/>
      <c r="D1545" s="8" t="str">
        <f>IFERROR(VLOOKUP(C1545,产品数据!$B:$D,2,FALSE),"")</f>
        <v/>
      </c>
      <c r="E1545" s="6"/>
      <c r="F1545" s="8" t="str">
        <f>IFERROR(VLOOKUP(C1545,产品数据!$B:$D,3,FALSE),"")</f>
        <v/>
      </c>
      <c r="G1545" s="6"/>
    </row>
    <row r="1546" spans="1:7">
      <c r="A1546" s="6"/>
      <c r="B1546" s="5"/>
      <c r="C1546" s="7"/>
      <c r="D1546" s="8" t="str">
        <f>IFERROR(VLOOKUP(C1546,产品数据!$B:$D,2,FALSE),"")</f>
        <v/>
      </c>
      <c r="E1546" s="6"/>
      <c r="F1546" s="8" t="str">
        <f>IFERROR(VLOOKUP(C1546,产品数据!$B:$D,3,FALSE),"")</f>
        <v/>
      </c>
      <c r="G1546" s="6"/>
    </row>
    <row r="1547" spans="1:7">
      <c r="A1547" s="6"/>
      <c r="B1547" s="5"/>
      <c r="C1547" s="7"/>
      <c r="D1547" s="8" t="str">
        <f>IFERROR(VLOOKUP(C1547,产品数据!$B:$D,2,FALSE),"")</f>
        <v/>
      </c>
      <c r="E1547" s="6"/>
      <c r="F1547" s="8" t="str">
        <f>IFERROR(VLOOKUP(C1547,产品数据!$B:$D,3,FALSE),"")</f>
        <v/>
      </c>
      <c r="G1547" s="6"/>
    </row>
    <row r="1548" spans="1:7">
      <c r="A1548" s="6"/>
      <c r="B1548" s="5"/>
      <c r="C1548" s="7"/>
      <c r="D1548" s="8" t="str">
        <f>IFERROR(VLOOKUP(C1548,产品数据!$B:$D,2,FALSE),"")</f>
        <v/>
      </c>
      <c r="E1548" s="6"/>
      <c r="F1548" s="8" t="str">
        <f>IFERROR(VLOOKUP(C1548,产品数据!$B:$D,3,FALSE),"")</f>
        <v/>
      </c>
      <c r="G1548" s="6"/>
    </row>
    <row r="1549" spans="1:7">
      <c r="A1549" s="6"/>
      <c r="B1549" s="5"/>
      <c r="C1549" s="7"/>
      <c r="D1549" s="8" t="str">
        <f>IFERROR(VLOOKUP(C1549,产品数据!$B:$D,2,FALSE),"")</f>
        <v/>
      </c>
      <c r="E1549" s="6"/>
      <c r="F1549" s="8" t="str">
        <f>IFERROR(VLOOKUP(C1549,产品数据!$B:$D,3,FALSE),"")</f>
        <v/>
      </c>
      <c r="G1549" s="6"/>
    </row>
    <row r="1550" spans="1:7">
      <c r="A1550" s="6"/>
      <c r="B1550" s="5"/>
      <c r="C1550" s="7"/>
      <c r="D1550" s="8" t="str">
        <f>IFERROR(VLOOKUP(C1550,产品数据!$B:$D,2,FALSE),"")</f>
        <v/>
      </c>
      <c r="E1550" s="6"/>
      <c r="F1550" s="8" t="str">
        <f>IFERROR(VLOOKUP(C1550,产品数据!$B:$D,3,FALSE),"")</f>
        <v/>
      </c>
      <c r="G1550" s="6"/>
    </row>
    <row r="1551" spans="1:7">
      <c r="A1551" s="6"/>
      <c r="B1551" s="5"/>
      <c r="C1551" s="7"/>
      <c r="D1551" s="8" t="str">
        <f>IFERROR(VLOOKUP(C1551,产品数据!$B:$D,2,FALSE),"")</f>
        <v/>
      </c>
      <c r="E1551" s="6"/>
      <c r="F1551" s="8" t="str">
        <f>IFERROR(VLOOKUP(C1551,产品数据!$B:$D,3,FALSE),"")</f>
        <v/>
      </c>
      <c r="G1551" s="6"/>
    </row>
    <row r="1552" spans="1:7">
      <c r="A1552" s="6"/>
      <c r="B1552" s="5"/>
      <c r="C1552" s="7"/>
      <c r="D1552" s="8" t="str">
        <f>IFERROR(VLOOKUP(C1552,产品数据!$B:$D,2,FALSE),"")</f>
        <v/>
      </c>
      <c r="E1552" s="6"/>
      <c r="F1552" s="8" t="str">
        <f>IFERROR(VLOOKUP(C1552,产品数据!$B:$D,3,FALSE),"")</f>
        <v/>
      </c>
      <c r="G1552" s="6"/>
    </row>
    <row r="1553" spans="1:7">
      <c r="A1553" s="6"/>
      <c r="B1553" s="5"/>
      <c r="C1553" s="7"/>
      <c r="D1553" s="8" t="str">
        <f>IFERROR(VLOOKUP(C1553,产品数据!$B:$D,2,FALSE),"")</f>
        <v/>
      </c>
      <c r="E1553" s="6"/>
      <c r="F1553" s="8" t="str">
        <f>IFERROR(VLOOKUP(C1553,产品数据!$B:$D,3,FALSE),"")</f>
        <v/>
      </c>
      <c r="G1553" s="6"/>
    </row>
    <row r="1554" spans="1:7">
      <c r="A1554" s="6"/>
      <c r="B1554" s="5"/>
      <c r="C1554" s="7"/>
      <c r="D1554" s="8" t="str">
        <f>IFERROR(VLOOKUP(C1554,产品数据!$B:$D,2,FALSE),"")</f>
        <v/>
      </c>
      <c r="E1554" s="6"/>
      <c r="F1554" s="8" t="str">
        <f>IFERROR(VLOOKUP(C1554,产品数据!$B:$D,3,FALSE),"")</f>
        <v/>
      </c>
      <c r="G1554" s="6"/>
    </row>
    <row r="1555" spans="1:7">
      <c r="A1555" s="6"/>
      <c r="B1555" s="5"/>
      <c r="C1555" s="7"/>
      <c r="D1555" s="8" t="str">
        <f>IFERROR(VLOOKUP(C1555,产品数据!$B:$D,2,FALSE),"")</f>
        <v/>
      </c>
      <c r="E1555" s="6"/>
      <c r="F1555" s="8" t="str">
        <f>IFERROR(VLOOKUP(C1555,产品数据!$B:$D,3,FALSE),"")</f>
        <v/>
      </c>
      <c r="G1555" s="6"/>
    </row>
    <row r="1556" spans="1:7">
      <c r="A1556" s="6"/>
      <c r="B1556" s="5"/>
      <c r="C1556" s="7"/>
      <c r="D1556" s="8" t="str">
        <f>IFERROR(VLOOKUP(C1556,产品数据!$B:$D,2,FALSE),"")</f>
        <v/>
      </c>
      <c r="E1556" s="6"/>
      <c r="F1556" s="8" t="str">
        <f>IFERROR(VLOOKUP(C1556,产品数据!$B:$D,3,FALSE),"")</f>
        <v/>
      </c>
      <c r="G1556" s="6"/>
    </row>
    <row r="1557" spans="1:7">
      <c r="A1557" s="6"/>
      <c r="B1557" s="5"/>
      <c r="C1557" s="7"/>
      <c r="D1557" s="8" t="str">
        <f>IFERROR(VLOOKUP(C1557,产品数据!$B:$D,2,FALSE),"")</f>
        <v/>
      </c>
      <c r="E1557" s="6"/>
      <c r="F1557" s="8" t="str">
        <f>IFERROR(VLOOKUP(C1557,产品数据!$B:$D,3,FALSE),"")</f>
        <v/>
      </c>
      <c r="G1557" s="6"/>
    </row>
    <row r="1558" spans="1:7">
      <c r="A1558" s="6"/>
      <c r="B1558" s="5"/>
      <c r="C1558" s="7"/>
      <c r="D1558" s="8" t="str">
        <f>IFERROR(VLOOKUP(C1558,产品数据!$B:$D,2,FALSE),"")</f>
        <v/>
      </c>
      <c r="E1558" s="6"/>
      <c r="F1558" s="8" t="str">
        <f>IFERROR(VLOOKUP(C1558,产品数据!$B:$D,3,FALSE),"")</f>
        <v/>
      </c>
      <c r="G1558" s="6"/>
    </row>
    <row r="1559" spans="1:7">
      <c r="A1559" s="6"/>
      <c r="B1559" s="5"/>
      <c r="C1559" s="7"/>
      <c r="D1559" s="8" t="str">
        <f>IFERROR(VLOOKUP(C1559,产品数据!$B:$D,2,FALSE),"")</f>
        <v/>
      </c>
      <c r="E1559" s="6"/>
      <c r="F1559" s="8" t="str">
        <f>IFERROR(VLOOKUP(C1559,产品数据!$B:$D,3,FALSE),"")</f>
        <v/>
      </c>
      <c r="G1559" s="6"/>
    </row>
    <row r="1560" spans="1:7">
      <c r="A1560" s="6"/>
      <c r="B1560" s="5"/>
      <c r="C1560" s="7"/>
      <c r="D1560" s="8" t="str">
        <f>IFERROR(VLOOKUP(C1560,产品数据!$B:$D,2,FALSE),"")</f>
        <v/>
      </c>
      <c r="E1560" s="6"/>
      <c r="F1560" s="8" t="str">
        <f>IFERROR(VLOOKUP(C1560,产品数据!$B:$D,3,FALSE),"")</f>
        <v/>
      </c>
      <c r="G1560" s="6"/>
    </row>
    <row r="1561" spans="1:7">
      <c r="A1561" s="6"/>
      <c r="B1561" s="5"/>
      <c r="C1561" s="7"/>
      <c r="D1561" s="8" t="str">
        <f>IFERROR(VLOOKUP(C1561,产品数据!$B:$D,2,FALSE),"")</f>
        <v/>
      </c>
      <c r="E1561" s="6"/>
      <c r="F1561" s="8" t="str">
        <f>IFERROR(VLOOKUP(C1561,产品数据!$B:$D,3,FALSE),"")</f>
        <v/>
      </c>
      <c r="G1561" s="6"/>
    </row>
    <row r="1562" spans="1:7">
      <c r="A1562" s="6"/>
      <c r="B1562" s="5"/>
      <c r="C1562" s="7"/>
      <c r="D1562" s="8" t="str">
        <f>IFERROR(VLOOKUP(C1562,产品数据!$B:$D,2,FALSE),"")</f>
        <v/>
      </c>
      <c r="E1562" s="6"/>
      <c r="F1562" s="8" t="str">
        <f>IFERROR(VLOOKUP(C1562,产品数据!$B:$D,3,FALSE),"")</f>
        <v/>
      </c>
      <c r="G1562" s="6"/>
    </row>
    <row r="1563" spans="1:7">
      <c r="A1563" s="6"/>
      <c r="B1563" s="5"/>
      <c r="C1563" s="7"/>
      <c r="D1563" s="8" t="str">
        <f>IFERROR(VLOOKUP(C1563,产品数据!$B:$D,2,FALSE),"")</f>
        <v/>
      </c>
      <c r="E1563" s="6"/>
      <c r="F1563" s="8" t="str">
        <f>IFERROR(VLOOKUP(C1563,产品数据!$B:$D,3,FALSE),"")</f>
        <v/>
      </c>
      <c r="G1563" s="6"/>
    </row>
    <row r="1564" spans="1:7">
      <c r="A1564" s="6"/>
      <c r="B1564" s="5"/>
      <c r="C1564" s="7"/>
      <c r="D1564" s="8" t="str">
        <f>IFERROR(VLOOKUP(C1564,产品数据!$B:$D,2,FALSE),"")</f>
        <v/>
      </c>
      <c r="E1564" s="6"/>
      <c r="F1564" s="8" t="str">
        <f>IFERROR(VLOOKUP(C1564,产品数据!$B:$D,3,FALSE),"")</f>
        <v/>
      </c>
      <c r="G1564" s="6"/>
    </row>
    <row r="1565" spans="1:7">
      <c r="A1565" s="6"/>
      <c r="B1565" s="5"/>
      <c r="C1565" s="7"/>
      <c r="D1565" s="8" t="str">
        <f>IFERROR(VLOOKUP(C1565,产品数据!$B:$D,2,FALSE),"")</f>
        <v/>
      </c>
      <c r="E1565" s="6"/>
      <c r="F1565" s="8" t="str">
        <f>IFERROR(VLOOKUP(C1565,产品数据!$B:$D,3,FALSE),"")</f>
        <v/>
      </c>
      <c r="G1565" s="6"/>
    </row>
    <row r="1566" spans="1:7">
      <c r="A1566" s="6"/>
      <c r="B1566" s="5"/>
      <c r="C1566" s="7"/>
      <c r="D1566" s="8" t="str">
        <f>IFERROR(VLOOKUP(C1566,产品数据!$B:$D,2,FALSE),"")</f>
        <v/>
      </c>
      <c r="E1566" s="6"/>
      <c r="F1566" s="8" t="str">
        <f>IFERROR(VLOOKUP(C1566,产品数据!$B:$D,3,FALSE),"")</f>
        <v/>
      </c>
      <c r="G1566" s="6"/>
    </row>
    <row r="1567" spans="1:7">
      <c r="A1567" s="6"/>
      <c r="B1567" s="5"/>
      <c r="C1567" s="7"/>
      <c r="D1567" s="8" t="str">
        <f>IFERROR(VLOOKUP(C1567,产品数据!$B:$D,2,FALSE),"")</f>
        <v/>
      </c>
      <c r="E1567" s="6"/>
      <c r="F1567" s="8" t="str">
        <f>IFERROR(VLOOKUP(C1567,产品数据!$B:$D,3,FALSE),"")</f>
        <v/>
      </c>
      <c r="G1567" s="6"/>
    </row>
    <row r="1568" spans="1:7">
      <c r="A1568" s="6"/>
      <c r="B1568" s="5"/>
      <c r="C1568" s="7"/>
      <c r="D1568" s="8" t="str">
        <f>IFERROR(VLOOKUP(C1568,产品数据!$B:$D,2,FALSE),"")</f>
        <v/>
      </c>
      <c r="E1568" s="6"/>
      <c r="F1568" s="8" t="str">
        <f>IFERROR(VLOOKUP(C1568,产品数据!$B:$D,3,FALSE),"")</f>
        <v/>
      </c>
      <c r="G1568" s="6"/>
    </row>
    <row r="1569" spans="1:7">
      <c r="A1569" s="6"/>
      <c r="B1569" s="5"/>
      <c r="C1569" s="7"/>
      <c r="D1569" s="8" t="str">
        <f>IFERROR(VLOOKUP(C1569,产品数据!$B:$D,2,FALSE),"")</f>
        <v/>
      </c>
      <c r="E1569" s="6"/>
      <c r="F1569" s="8" t="str">
        <f>IFERROR(VLOOKUP(C1569,产品数据!$B:$D,3,FALSE),"")</f>
        <v/>
      </c>
      <c r="G1569" s="6"/>
    </row>
    <row r="1570" spans="1:7">
      <c r="A1570" s="6"/>
      <c r="B1570" s="5"/>
      <c r="C1570" s="7"/>
      <c r="D1570" s="8" t="str">
        <f>IFERROR(VLOOKUP(C1570,产品数据!$B:$D,2,FALSE),"")</f>
        <v/>
      </c>
      <c r="E1570" s="6"/>
      <c r="F1570" s="8" t="str">
        <f>IFERROR(VLOOKUP(C1570,产品数据!$B:$D,3,FALSE),"")</f>
        <v/>
      </c>
      <c r="G1570" s="6"/>
    </row>
    <row r="1571" spans="1:7">
      <c r="A1571" s="6"/>
      <c r="B1571" s="5"/>
      <c r="C1571" s="7"/>
      <c r="D1571" s="8" t="str">
        <f>IFERROR(VLOOKUP(C1571,产品数据!$B:$D,2,FALSE),"")</f>
        <v/>
      </c>
      <c r="E1571" s="6"/>
      <c r="F1571" s="8" t="str">
        <f>IFERROR(VLOOKUP(C1571,产品数据!$B:$D,3,FALSE),"")</f>
        <v/>
      </c>
      <c r="G1571" s="6"/>
    </row>
    <row r="1572" spans="1:7">
      <c r="A1572" s="6"/>
      <c r="B1572" s="5"/>
      <c r="C1572" s="7"/>
      <c r="D1572" s="8" t="str">
        <f>IFERROR(VLOOKUP(C1572,产品数据!$B:$D,2,FALSE),"")</f>
        <v/>
      </c>
      <c r="E1572" s="6"/>
      <c r="F1572" s="8" t="str">
        <f>IFERROR(VLOOKUP(C1572,产品数据!$B:$D,3,FALSE),"")</f>
        <v/>
      </c>
      <c r="G1572" s="6"/>
    </row>
    <row r="1573" spans="1:7">
      <c r="A1573" s="6"/>
      <c r="B1573" s="5"/>
      <c r="C1573" s="7"/>
      <c r="D1573" s="8" t="str">
        <f>IFERROR(VLOOKUP(C1573,产品数据!$B:$D,2,FALSE),"")</f>
        <v/>
      </c>
      <c r="E1573" s="6"/>
      <c r="F1573" s="8" t="str">
        <f>IFERROR(VLOOKUP(C1573,产品数据!$B:$D,3,FALSE),"")</f>
        <v/>
      </c>
      <c r="G1573" s="6"/>
    </row>
    <row r="1574" spans="1:7">
      <c r="A1574" s="6"/>
      <c r="B1574" s="5"/>
      <c r="C1574" s="7"/>
      <c r="D1574" s="8" t="str">
        <f>IFERROR(VLOOKUP(C1574,产品数据!$B:$D,2,FALSE),"")</f>
        <v/>
      </c>
      <c r="E1574" s="6"/>
      <c r="F1574" s="8" t="str">
        <f>IFERROR(VLOOKUP(C1574,产品数据!$B:$D,3,FALSE),"")</f>
        <v/>
      </c>
      <c r="G1574" s="6"/>
    </row>
    <row r="1575" spans="1:7">
      <c r="A1575" s="6"/>
      <c r="B1575" s="5"/>
      <c r="C1575" s="7"/>
      <c r="D1575" s="8" t="str">
        <f>IFERROR(VLOOKUP(C1575,产品数据!$B:$D,2,FALSE),"")</f>
        <v/>
      </c>
      <c r="E1575" s="6"/>
      <c r="F1575" s="8" t="str">
        <f>IFERROR(VLOOKUP(C1575,产品数据!$B:$D,3,FALSE),"")</f>
        <v/>
      </c>
      <c r="G1575" s="6"/>
    </row>
    <row r="1576" spans="1:7">
      <c r="A1576" s="6"/>
      <c r="B1576" s="5"/>
      <c r="C1576" s="7"/>
      <c r="D1576" s="8" t="str">
        <f>IFERROR(VLOOKUP(C1576,产品数据!$B:$D,2,FALSE),"")</f>
        <v/>
      </c>
      <c r="E1576" s="6"/>
      <c r="F1576" s="8" t="str">
        <f>IFERROR(VLOOKUP(C1576,产品数据!$B:$D,3,FALSE),"")</f>
        <v/>
      </c>
      <c r="G1576" s="6"/>
    </row>
    <row r="1577" spans="1:7">
      <c r="A1577" s="6"/>
      <c r="B1577" s="5"/>
      <c r="C1577" s="7"/>
      <c r="D1577" s="8" t="str">
        <f>IFERROR(VLOOKUP(C1577,产品数据!$B:$D,2,FALSE),"")</f>
        <v/>
      </c>
      <c r="E1577" s="6"/>
      <c r="F1577" s="8" t="str">
        <f>IFERROR(VLOOKUP(C1577,产品数据!$B:$D,3,FALSE),"")</f>
        <v/>
      </c>
      <c r="G1577" s="6"/>
    </row>
    <row r="1578" spans="1:7">
      <c r="A1578" s="6"/>
      <c r="B1578" s="5"/>
      <c r="C1578" s="7"/>
      <c r="D1578" s="8" t="str">
        <f>IFERROR(VLOOKUP(C1578,产品数据!$B:$D,2,FALSE),"")</f>
        <v/>
      </c>
      <c r="E1578" s="6"/>
      <c r="F1578" s="8" t="str">
        <f>IFERROR(VLOOKUP(C1578,产品数据!$B:$D,3,FALSE),"")</f>
        <v/>
      </c>
      <c r="G1578" s="6"/>
    </row>
    <row r="1579" spans="1:7">
      <c r="A1579" s="6"/>
      <c r="B1579" s="5"/>
      <c r="C1579" s="7"/>
      <c r="D1579" s="8" t="str">
        <f>IFERROR(VLOOKUP(C1579,产品数据!$B:$D,2,FALSE),"")</f>
        <v/>
      </c>
      <c r="E1579" s="6"/>
      <c r="F1579" s="8" t="str">
        <f>IFERROR(VLOOKUP(C1579,产品数据!$B:$D,3,FALSE),"")</f>
        <v/>
      </c>
      <c r="G1579" s="6"/>
    </row>
    <row r="1580" spans="1:7">
      <c r="A1580" s="6"/>
      <c r="B1580" s="5"/>
      <c r="C1580" s="7"/>
      <c r="D1580" s="8" t="str">
        <f>IFERROR(VLOOKUP(C1580,产品数据!$B:$D,2,FALSE),"")</f>
        <v/>
      </c>
      <c r="E1580" s="6"/>
      <c r="F1580" s="8" t="str">
        <f>IFERROR(VLOOKUP(C1580,产品数据!$B:$D,3,FALSE),"")</f>
        <v/>
      </c>
      <c r="G1580" s="6"/>
    </row>
    <row r="1581" spans="1:7">
      <c r="A1581" s="6"/>
      <c r="B1581" s="5"/>
      <c r="C1581" s="7"/>
      <c r="D1581" s="8" t="str">
        <f>IFERROR(VLOOKUP(C1581,产品数据!$B:$D,2,FALSE),"")</f>
        <v/>
      </c>
      <c r="E1581" s="6"/>
      <c r="F1581" s="8" t="str">
        <f>IFERROR(VLOOKUP(C1581,产品数据!$B:$D,3,FALSE),"")</f>
        <v/>
      </c>
      <c r="G1581" s="6"/>
    </row>
    <row r="1582" spans="1:7">
      <c r="A1582" s="6"/>
      <c r="B1582" s="5"/>
      <c r="C1582" s="7"/>
      <c r="D1582" s="8" t="str">
        <f>IFERROR(VLOOKUP(C1582,产品数据!$B:$D,2,FALSE),"")</f>
        <v/>
      </c>
      <c r="E1582" s="6"/>
      <c r="F1582" s="8" t="str">
        <f>IFERROR(VLOOKUP(C1582,产品数据!$B:$D,3,FALSE),"")</f>
        <v/>
      </c>
      <c r="G1582" s="6"/>
    </row>
    <row r="1583" spans="1:7">
      <c r="A1583" s="6"/>
      <c r="B1583" s="5"/>
      <c r="C1583" s="7"/>
      <c r="D1583" s="8" t="str">
        <f>IFERROR(VLOOKUP(C1583,产品数据!$B:$D,2,FALSE),"")</f>
        <v/>
      </c>
      <c r="E1583" s="6"/>
      <c r="F1583" s="8" t="str">
        <f>IFERROR(VLOOKUP(C1583,产品数据!$B:$D,3,FALSE),"")</f>
        <v/>
      </c>
      <c r="G1583" s="6"/>
    </row>
    <row r="1584" spans="1:7">
      <c r="A1584" s="6"/>
      <c r="B1584" s="5"/>
      <c r="C1584" s="7"/>
      <c r="D1584" s="8" t="str">
        <f>IFERROR(VLOOKUP(C1584,产品数据!$B:$D,2,FALSE),"")</f>
        <v/>
      </c>
      <c r="E1584" s="6"/>
      <c r="F1584" s="8" t="str">
        <f>IFERROR(VLOOKUP(C1584,产品数据!$B:$D,3,FALSE),"")</f>
        <v/>
      </c>
      <c r="G1584" s="6"/>
    </row>
    <row r="1585" spans="1:7">
      <c r="A1585" s="6"/>
      <c r="B1585" s="5"/>
      <c r="C1585" s="7"/>
      <c r="D1585" s="8" t="str">
        <f>IFERROR(VLOOKUP(C1585,产品数据!$B:$D,2,FALSE),"")</f>
        <v/>
      </c>
      <c r="E1585" s="6"/>
      <c r="F1585" s="8" t="str">
        <f>IFERROR(VLOOKUP(C1585,产品数据!$B:$D,3,FALSE),"")</f>
        <v/>
      </c>
      <c r="G1585" s="6"/>
    </row>
    <row r="1586" spans="1:7">
      <c r="A1586" s="6"/>
      <c r="B1586" s="5"/>
      <c r="C1586" s="7"/>
      <c r="D1586" s="8" t="str">
        <f>IFERROR(VLOOKUP(C1586,产品数据!$B:$D,2,FALSE),"")</f>
        <v/>
      </c>
      <c r="E1586" s="6"/>
      <c r="F1586" s="8" t="str">
        <f>IFERROR(VLOOKUP(C1586,产品数据!$B:$D,3,FALSE),"")</f>
        <v/>
      </c>
      <c r="G1586" s="6"/>
    </row>
    <row r="1587" spans="1:7">
      <c r="A1587" s="6"/>
      <c r="B1587" s="5"/>
      <c r="C1587" s="7"/>
      <c r="D1587" s="8" t="str">
        <f>IFERROR(VLOOKUP(C1587,产品数据!$B:$D,2,FALSE),"")</f>
        <v/>
      </c>
      <c r="E1587" s="6"/>
      <c r="F1587" s="8" t="str">
        <f>IFERROR(VLOOKUP(C1587,产品数据!$B:$D,3,FALSE),"")</f>
        <v/>
      </c>
      <c r="G1587" s="6"/>
    </row>
    <row r="1588" spans="1:7">
      <c r="A1588" s="6"/>
      <c r="B1588" s="5"/>
      <c r="C1588" s="7"/>
      <c r="D1588" s="8" t="str">
        <f>IFERROR(VLOOKUP(C1588,产品数据!$B:$D,2,FALSE),"")</f>
        <v/>
      </c>
      <c r="E1588" s="6"/>
      <c r="F1588" s="8" t="str">
        <f>IFERROR(VLOOKUP(C1588,产品数据!$B:$D,3,FALSE),"")</f>
        <v/>
      </c>
      <c r="G1588" s="6"/>
    </row>
    <row r="1589" spans="1:7">
      <c r="A1589" s="6"/>
      <c r="B1589" s="5"/>
      <c r="C1589" s="7"/>
      <c r="D1589" s="8" t="str">
        <f>IFERROR(VLOOKUP(C1589,产品数据!$B:$D,2,FALSE),"")</f>
        <v/>
      </c>
      <c r="E1589" s="6"/>
      <c r="F1589" s="8" t="str">
        <f>IFERROR(VLOOKUP(C1589,产品数据!$B:$D,3,FALSE),"")</f>
        <v/>
      </c>
      <c r="G1589" s="6"/>
    </row>
    <row r="1590" spans="1:7">
      <c r="A1590" s="6"/>
      <c r="B1590" s="5"/>
      <c r="C1590" s="7"/>
      <c r="D1590" s="8" t="str">
        <f>IFERROR(VLOOKUP(C1590,产品数据!$B:$D,2,FALSE),"")</f>
        <v/>
      </c>
      <c r="E1590" s="6"/>
      <c r="F1590" s="8" t="str">
        <f>IFERROR(VLOOKUP(C1590,产品数据!$B:$D,3,FALSE),"")</f>
        <v/>
      </c>
      <c r="G1590" s="6"/>
    </row>
    <row r="1591" spans="1:7">
      <c r="A1591" s="6"/>
      <c r="B1591" s="5"/>
      <c r="C1591" s="7"/>
      <c r="D1591" s="8" t="str">
        <f>IFERROR(VLOOKUP(C1591,产品数据!$B:$D,2,FALSE),"")</f>
        <v/>
      </c>
      <c r="E1591" s="6"/>
      <c r="F1591" s="8" t="str">
        <f>IFERROR(VLOOKUP(C1591,产品数据!$B:$D,3,FALSE),"")</f>
        <v/>
      </c>
      <c r="G1591" s="6"/>
    </row>
    <row r="1592" spans="1:7">
      <c r="A1592" s="6"/>
      <c r="B1592" s="5"/>
      <c r="C1592" s="7"/>
      <c r="D1592" s="8" t="str">
        <f>IFERROR(VLOOKUP(C1592,产品数据!$B:$D,2,FALSE),"")</f>
        <v/>
      </c>
      <c r="E1592" s="6"/>
      <c r="F1592" s="8" t="str">
        <f>IFERROR(VLOOKUP(C1592,产品数据!$B:$D,3,FALSE),"")</f>
        <v/>
      </c>
      <c r="G1592" s="6"/>
    </row>
    <row r="1593" spans="1:7">
      <c r="A1593" s="6"/>
      <c r="B1593" s="5"/>
      <c r="C1593" s="7"/>
      <c r="D1593" s="8" t="str">
        <f>IFERROR(VLOOKUP(C1593,产品数据!$B:$D,2,FALSE),"")</f>
        <v/>
      </c>
      <c r="E1593" s="6"/>
      <c r="F1593" s="8" t="str">
        <f>IFERROR(VLOOKUP(C1593,产品数据!$B:$D,3,FALSE),"")</f>
        <v/>
      </c>
      <c r="G1593" s="6"/>
    </row>
    <row r="1594" spans="1:7">
      <c r="A1594" s="6"/>
      <c r="B1594" s="5"/>
      <c r="C1594" s="7"/>
      <c r="D1594" s="8" t="str">
        <f>IFERROR(VLOOKUP(C1594,产品数据!$B:$D,2,FALSE),"")</f>
        <v/>
      </c>
      <c r="E1594" s="6"/>
      <c r="F1594" s="8" t="str">
        <f>IFERROR(VLOOKUP(C1594,产品数据!$B:$D,3,FALSE),"")</f>
        <v/>
      </c>
      <c r="G1594" s="6"/>
    </row>
    <row r="1595" spans="1:7">
      <c r="A1595" s="6"/>
      <c r="B1595" s="5"/>
      <c r="C1595" s="7"/>
      <c r="D1595" s="8" t="str">
        <f>IFERROR(VLOOKUP(C1595,产品数据!$B:$D,2,FALSE),"")</f>
        <v/>
      </c>
      <c r="E1595" s="6"/>
      <c r="F1595" s="8" t="str">
        <f>IFERROR(VLOOKUP(C1595,产品数据!$B:$D,3,FALSE),"")</f>
        <v/>
      </c>
      <c r="G1595" s="6"/>
    </row>
    <row r="1596" spans="1:7">
      <c r="A1596" s="6"/>
      <c r="B1596" s="5"/>
      <c r="C1596" s="7"/>
      <c r="D1596" s="8" t="str">
        <f>IFERROR(VLOOKUP(C1596,产品数据!$B:$D,2,FALSE),"")</f>
        <v/>
      </c>
      <c r="E1596" s="6"/>
      <c r="F1596" s="8" t="str">
        <f>IFERROR(VLOOKUP(C1596,产品数据!$B:$D,3,FALSE),"")</f>
        <v/>
      </c>
      <c r="G1596" s="6"/>
    </row>
    <row r="1597" spans="1:7">
      <c r="A1597" s="6"/>
      <c r="B1597" s="5"/>
      <c r="C1597" s="7"/>
      <c r="D1597" s="8" t="str">
        <f>IFERROR(VLOOKUP(C1597,产品数据!$B:$D,2,FALSE),"")</f>
        <v/>
      </c>
      <c r="E1597" s="6"/>
      <c r="F1597" s="8" t="str">
        <f>IFERROR(VLOOKUP(C1597,产品数据!$B:$D,3,FALSE),"")</f>
        <v/>
      </c>
      <c r="G1597" s="6"/>
    </row>
    <row r="1598" spans="1:7">
      <c r="A1598" s="6"/>
      <c r="B1598" s="5"/>
      <c r="C1598" s="7"/>
      <c r="D1598" s="8" t="str">
        <f>IFERROR(VLOOKUP(C1598,产品数据!$B:$D,2,FALSE),"")</f>
        <v/>
      </c>
      <c r="E1598" s="6"/>
      <c r="F1598" s="8" t="str">
        <f>IFERROR(VLOOKUP(C1598,产品数据!$B:$D,3,FALSE),"")</f>
        <v/>
      </c>
      <c r="G1598" s="6"/>
    </row>
    <row r="1599" spans="1:7">
      <c r="A1599" s="6"/>
      <c r="B1599" s="5"/>
      <c r="C1599" s="7"/>
      <c r="D1599" s="8" t="str">
        <f>IFERROR(VLOOKUP(C1599,产品数据!$B:$D,2,FALSE),"")</f>
        <v/>
      </c>
      <c r="E1599" s="6"/>
      <c r="F1599" s="8" t="str">
        <f>IFERROR(VLOOKUP(C1599,产品数据!$B:$D,3,FALSE),"")</f>
        <v/>
      </c>
      <c r="G1599" s="6"/>
    </row>
    <row r="1600" spans="1:7">
      <c r="A1600" s="6"/>
      <c r="B1600" s="5"/>
      <c r="C1600" s="7"/>
      <c r="D1600" s="8" t="str">
        <f>IFERROR(VLOOKUP(C1600,产品数据!$B:$D,2,FALSE),"")</f>
        <v/>
      </c>
      <c r="E1600" s="6"/>
      <c r="F1600" s="8" t="str">
        <f>IFERROR(VLOOKUP(C1600,产品数据!$B:$D,3,FALSE),"")</f>
        <v/>
      </c>
      <c r="G1600" s="6"/>
    </row>
    <row r="1601" spans="1:7">
      <c r="A1601" s="6"/>
      <c r="B1601" s="5"/>
      <c r="C1601" s="7"/>
      <c r="D1601" s="8" t="str">
        <f>IFERROR(VLOOKUP(C1601,产品数据!$B:$D,2,FALSE),"")</f>
        <v/>
      </c>
      <c r="E1601" s="6"/>
      <c r="F1601" s="8" t="str">
        <f>IFERROR(VLOOKUP(C1601,产品数据!$B:$D,3,FALSE),"")</f>
        <v/>
      </c>
      <c r="G1601" s="6"/>
    </row>
    <row r="1602" spans="1:7">
      <c r="A1602" s="6"/>
      <c r="B1602" s="5"/>
      <c r="C1602" s="7"/>
      <c r="D1602" s="8" t="str">
        <f>IFERROR(VLOOKUP(C1602,产品数据!$B:$D,2,FALSE),"")</f>
        <v/>
      </c>
      <c r="E1602" s="6"/>
      <c r="F1602" s="8" t="str">
        <f>IFERROR(VLOOKUP(C1602,产品数据!$B:$D,3,FALSE),"")</f>
        <v/>
      </c>
      <c r="G1602" s="6"/>
    </row>
    <row r="1603" spans="1:7">
      <c r="A1603" s="6"/>
      <c r="B1603" s="5"/>
      <c r="C1603" s="7"/>
      <c r="D1603" s="8" t="str">
        <f>IFERROR(VLOOKUP(C1603,产品数据!$B:$D,2,FALSE),"")</f>
        <v/>
      </c>
      <c r="E1603" s="6"/>
      <c r="F1603" s="8" t="str">
        <f>IFERROR(VLOOKUP(C1603,产品数据!$B:$D,3,FALSE),"")</f>
        <v/>
      </c>
      <c r="G1603" s="6"/>
    </row>
    <row r="1604" spans="1:7">
      <c r="A1604" s="6"/>
      <c r="B1604" s="5"/>
      <c r="C1604" s="7"/>
      <c r="D1604" s="8" t="str">
        <f>IFERROR(VLOOKUP(C1604,产品数据!$B:$D,2,FALSE),"")</f>
        <v/>
      </c>
      <c r="E1604" s="6"/>
      <c r="F1604" s="8" t="str">
        <f>IFERROR(VLOOKUP(C1604,产品数据!$B:$D,3,FALSE),"")</f>
        <v/>
      </c>
      <c r="G1604" s="6"/>
    </row>
    <row r="1605" spans="1:7">
      <c r="A1605" s="6"/>
      <c r="B1605" s="5"/>
      <c r="C1605" s="7"/>
      <c r="D1605" s="8" t="str">
        <f>IFERROR(VLOOKUP(C1605,产品数据!$B:$D,2,FALSE),"")</f>
        <v/>
      </c>
      <c r="E1605" s="6"/>
      <c r="F1605" s="8" t="str">
        <f>IFERROR(VLOOKUP(C1605,产品数据!$B:$D,3,FALSE),"")</f>
        <v/>
      </c>
      <c r="G1605" s="6"/>
    </row>
    <row r="1606" spans="1:7">
      <c r="A1606" s="6"/>
      <c r="B1606" s="5"/>
      <c r="C1606" s="7"/>
      <c r="D1606" s="8" t="str">
        <f>IFERROR(VLOOKUP(C1606,产品数据!$B:$D,2,FALSE),"")</f>
        <v/>
      </c>
      <c r="E1606" s="6"/>
      <c r="F1606" s="8" t="str">
        <f>IFERROR(VLOOKUP(C1606,产品数据!$B:$D,3,FALSE),"")</f>
        <v/>
      </c>
      <c r="G1606" s="6"/>
    </row>
    <row r="1607" spans="1:7">
      <c r="A1607" s="6"/>
      <c r="B1607" s="5"/>
      <c r="C1607" s="7"/>
      <c r="D1607" s="8" t="str">
        <f>IFERROR(VLOOKUP(C1607,产品数据!$B:$D,2,FALSE),"")</f>
        <v/>
      </c>
      <c r="E1607" s="6"/>
      <c r="F1607" s="8" t="str">
        <f>IFERROR(VLOOKUP(C1607,产品数据!$B:$D,3,FALSE),"")</f>
        <v/>
      </c>
      <c r="G1607" s="6"/>
    </row>
    <row r="1608" spans="1:7">
      <c r="A1608" s="6"/>
      <c r="B1608" s="5"/>
      <c r="C1608" s="7"/>
      <c r="D1608" s="8" t="str">
        <f>IFERROR(VLOOKUP(C1608,产品数据!$B:$D,2,FALSE),"")</f>
        <v/>
      </c>
      <c r="E1608" s="6"/>
      <c r="F1608" s="8" t="str">
        <f>IFERROR(VLOOKUP(C1608,产品数据!$B:$D,3,FALSE),"")</f>
        <v/>
      </c>
      <c r="G1608" s="6"/>
    </row>
    <row r="1609" spans="1:7">
      <c r="A1609" s="6"/>
      <c r="B1609" s="5"/>
      <c r="C1609" s="7"/>
      <c r="D1609" s="8" t="str">
        <f>IFERROR(VLOOKUP(C1609,产品数据!$B:$D,2,FALSE),"")</f>
        <v/>
      </c>
      <c r="E1609" s="6"/>
      <c r="F1609" s="8" t="str">
        <f>IFERROR(VLOOKUP(C1609,产品数据!$B:$D,3,FALSE),"")</f>
        <v/>
      </c>
      <c r="G1609" s="6"/>
    </row>
    <row r="1610" spans="1:7">
      <c r="A1610" s="6"/>
      <c r="B1610" s="5"/>
      <c r="C1610" s="7"/>
      <c r="D1610" s="8" t="str">
        <f>IFERROR(VLOOKUP(C1610,产品数据!$B:$D,2,FALSE),"")</f>
        <v/>
      </c>
      <c r="E1610" s="6"/>
      <c r="F1610" s="8" t="str">
        <f>IFERROR(VLOOKUP(C1610,产品数据!$B:$D,3,FALSE),"")</f>
        <v/>
      </c>
      <c r="G1610" s="6"/>
    </row>
    <row r="1611" spans="1:7">
      <c r="A1611" s="6"/>
      <c r="B1611" s="5"/>
      <c r="C1611" s="7"/>
      <c r="D1611" s="8" t="str">
        <f>IFERROR(VLOOKUP(C1611,产品数据!$B:$D,2,FALSE),"")</f>
        <v/>
      </c>
      <c r="E1611" s="6"/>
      <c r="F1611" s="8" t="str">
        <f>IFERROR(VLOOKUP(C1611,产品数据!$B:$D,3,FALSE),"")</f>
        <v/>
      </c>
      <c r="G1611" s="6"/>
    </row>
    <row r="1612" spans="1:7">
      <c r="A1612" s="6"/>
      <c r="B1612" s="5"/>
      <c r="C1612" s="7"/>
      <c r="D1612" s="8" t="str">
        <f>IFERROR(VLOOKUP(C1612,产品数据!$B:$D,2,FALSE),"")</f>
        <v/>
      </c>
      <c r="E1612" s="6"/>
      <c r="F1612" s="8" t="str">
        <f>IFERROR(VLOOKUP(C1612,产品数据!$B:$D,3,FALSE),"")</f>
        <v/>
      </c>
      <c r="G1612" s="6"/>
    </row>
    <row r="1613" spans="1:7">
      <c r="A1613" s="6"/>
      <c r="B1613" s="5"/>
      <c r="C1613" s="7"/>
      <c r="D1613" s="8" t="str">
        <f>IFERROR(VLOOKUP(C1613,产品数据!$B:$D,2,FALSE),"")</f>
        <v/>
      </c>
      <c r="E1613" s="6"/>
      <c r="F1613" s="8" t="str">
        <f>IFERROR(VLOOKUP(C1613,产品数据!$B:$D,3,FALSE),"")</f>
        <v/>
      </c>
      <c r="G1613" s="6"/>
    </row>
    <row r="1614" spans="1:7">
      <c r="A1614" s="6"/>
      <c r="B1614" s="5"/>
      <c r="C1614" s="7"/>
      <c r="D1614" s="8" t="str">
        <f>IFERROR(VLOOKUP(C1614,产品数据!$B:$D,2,FALSE),"")</f>
        <v/>
      </c>
      <c r="E1614" s="6"/>
      <c r="F1614" s="8" t="str">
        <f>IFERROR(VLOOKUP(C1614,产品数据!$B:$D,3,FALSE),"")</f>
        <v/>
      </c>
      <c r="G1614" s="6"/>
    </row>
    <row r="1615" spans="1:7">
      <c r="A1615" s="6"/>
      <c r="B1615" s="5"/>
      <c r="C1615" s="7"/>
      <c r="D1615" s="8" t="str">
        <f>IFERROR(VLOOKUP(C1615,产品数据!$B:$D,2,FALSE),"")</f>
        <v/>
      </c>
      <c r="E1615" s="6"/>
      <c r="F1615" s="8" t="str">
        <f>IFERROR(VLOOKUP(C1615,产品数据!$B:$D,3,FALSE),"")</f>
        <v/>
      </c>
      <c r="G1615" s="6"/>
    </row>
    <row r="1616" spans="1:7">
      <c r="A1616" s="6"/>
      <c r="B1616" s="5"/>
      <c r="C1616" s="7"/>
      <c r="D1616" s="8" t="str">
        <f>IFERROR(VLOOKUP(C1616,产品数据!$B:$D,2,FALSE),"")</f>
        <v/>
      </c>
      <c r="E1616" s="6"/>
      <c r="F1616" s="8" t="str">
        <f>IFERROR(VLOOKUP(C1616,产品数据!$B:$D,3,FALSE),"")</f>
        <v/>
      </c>
      <c r="G1616" s="6"/>
    </row>
    <row r="1617" spans="1:7">
      <c r="A1617" s="6"/>
      <c r="B1617" s="5"/>
      <c r="C1617" s="7"/>
      <c r="D1617" s="8" t="str">
        <f>IFERROR(VLOOKUP(C1617,产品数据!$B:$D,2,FALSE),"")</f>
        <v/>
      </c>
      <c r="E1617" s="6"/>
      <c r="F1617" s="8" t="str">
        <f>IFERROR(VLOOKUP(C1617,产品数据!$B:$D,3,FALSE),"")</f>
        <v/>
      </c>
      <c r="G1617" s="6"/>
    </row>
    <row r="1618" spans="1:7">
      <c r="A1618" s="6"/>
      <c r="B1618" s="5"/>
      <c r="C1618" s="7"/>
      <c r="D1618" s="8" t="str">
        <f>IFERROR(VLOOKUP(C1618,产品数据!$B:$D,2,FALSE),"")</f>
        <v/>
      </c>
      <c r="E1618" s="6"/>
      <c r="F1618" s="8" t="str">
        <f>IFERROR(VLOOKUP(C1618,产品数据!$B:$D,3,FALSE),"")</f>
        <v/>
      </c>
      <c r="G1618" s="6"/>
    </row>
    <row r="1619" spans="1:7">
      <c r="A1619" s="6"/>
      <c r="B1619" s="5"/>
      <c r="C1619" s="7"/>
      <c r="D1619" s="8" t="str">
        <f>IFERROR(VLOOKUP(C1619,产品数据!$B:$D,2,FALSE),"")</f>
        <v/>
      </c>
      <c r="E1619" s="6"/>
      <c r="F1619" s="8" t="str">
        <f>IFERROR(VLOOKUP(C1619,产品数据!$B:$D,3,FALSE),"")</f>
        <v/>
      </c>
      <c r="G1619" s="6"/>
    </row>
    <row r="1620" spans="1:7">
      <c r="A1620" s="6"/>
      <c r="B1620" s="5"/>
      <c r="C1620" s="7"/>
      <c r="D1620" s="8" t="str">
        <f>IFERROR(VLOOKUP(C1620,产品数据!$B:$D,2,FALSE),"")</f>
        <v/>
      </c>
      <c r="E1620" s="6"/>
      <c r="F1620" s="8" t="str">
        <f>IFERROR(VLOOKUP(C1620,产品数据!$B:$D,3,FALSE),"")</f>
        <v/>
      </c>
      <c r="G1620" s="6"/>
    </row>
    <row r="1621" spans="1:7">
      <c r="A1621" s="6"/>
      <c r="B1621" s="5"/>
      <c r="C1621" s="7"/>
      <c r="D1621" s="8" t="str">
        <f>IFERROR(VLOOKUP(C1621,产品数据!$B:$D,2,FALSE),"")</f>
        <v/>
      </c>
      <c r="E1621" s="6"/>
      <c r="F1621" s="8" t="str">
        <f>IFERROR(VLOOKUP(C1621,产品数据!$B:$D,3,FALSE),"")</f>
        <v/>
      </c>
      <c r="G1621" s="6"/>
    </row>
    <row r="1622" spans="1:7">
      <c r="A1622" s="6"/>
      <c r="B1622" s="5"/>
      <c r="C1622" s="7"/>
      <c r="D1622" s="8" t="str">
        <f>IFERROR(VLOOKUP(C1622,产品数据!$B:$D,2,FALSE),"")</f>
        <v/>
      </c>
      <c r="E1622" s="6"/>
      <c r="F1622" s="8" t="str">
        <f>IFERROR(VLOOKUP(C1622,产品数据!$B:$D,3,FALSE),"")</f>
        <v/>
      </c>
      <c r="G1622" s="6"/>
    </row>
    <row r="1623" spans="1:7">
      <c r="A1623" s="6"/>
      <c r="B1623" s="5"/>
      <c r="C1623" s="7"/>
      <c r="D1623" s="8" t="str">
        <f>IFERROR(VLOOKUP(C1623,产品数据!$B:$D,2,FALSE),"")</f>
        <v/>
      </c>
      <c r="E1623" s="6"/>
      <c r="F1623" s="8" t="str">
        <f>IFERROR(VLOOKUP(C1623,产品数据!$B:$D,3,FALSE),"")</f>
        <v/>
      </c>
      <c r="G1623" s="6"/>
    </row>
    <row r="1624" spans="1:7">
      <c r="A1624" s="6"/>
      <c r="B1624" s="5"/>
      <c r="C1624" s="7"/>
      <c r="D1624" s="8" t="str">
        <f>IFERROR(VLOOKUP(C1624,产品数据!$B:$D,2,FALSE),"")</f>
        <v/>
      </c>
      <c r="E1624" s="6"/>
      <c r="F1624" s="8" t="str">
        <f>IFERROR(VLOOKUP(C1624,产品数据!$B:$D,3,FALSE),"")</f>
        <v/>
      </c>
      <c r="G1624" s="6"/>
    </row>
    <row r="1625" spans="1:7">
      <c r="A1625" s="6"/>
      <c r="B1625" s="5"/>
      <c r="C1625" s="7"/>
      <c r="D1625" s="8" t="str">
        <f>IFERROR(VLOOKUP(C1625,产品数据!$B:$D,2,FALSE),"")</f>
        <v/>
      </c>
      <c r="E1625" s="6"/>
      <c r="F1625" s="8" t="str">
        <f>IFERROR(VLOOKUP(C1625,产品数据!$B:$D,3,FALSE),"")</f>
        <v/>
      </c>
      <c r="G1625" s="6"/>
    </row>
    <row r="1626" spans="1:7">
      <c r="A1626" s="6"/>
      <c r="B1626" s="5"/>
      <c r="C1626" s="7"/>
      <c r="D1626" s="8" t="str">
        <f>IFERROR(VLOOKUP(C1626,产品数据!$B:$D,2,FALSE),"")</f>
        <v/>
      </c>
      <c r="E1626" s="6"/>
      <c r="F1626" s="8" t="str">
        <f>IFERROR(VLOOKUP(C1626,产品数据!$B:$D,3,FALSE),"")</f>
        <v/>
      </c>
      <c r="G1626" s="6"/>
    </row>
    <row r="1627" spans="1:7">
      <c r="A1627" s="6"/>
      <c r="B1627" s="5"/>
      <c r="C1627" s="7"/>
      <c r="D1627" s="8" t="str">
        <f>IFERROR(VLOOKUP(C1627,产品数据!$B:$D,2,FALSE),"")</f>
        <v/>
      </c>
      <c r="E1627" s="6"/>
      <c r="F1627" s="8" t="str">
        <f>IFERROR(VLOOKUP(C1627,产品数据!$B:$D,3,FALSE),"")</f>
        <v/>
      </c>
      <c r="G1627" s="6"/>
    </row>
    <row r="1628" spans="1:7">
      <c r="A1628" s="6"/>
      <c r="B1628" s="5"/>
      <c r="C1628" s="7"/>
      <c r="D1628" s="8" t="str">
        <f>IFERROR(VLOOKUP(C1628,产品数据!$B:$D,2,FALSE),"")</f>
        <v/>
      </c>
      <c r="E1628" s="6"/>
      <c r="F1628" s="8" t="str">
        <f>IFERROR(VLOOKUP(C1628,产品数据!$B:$D,3,FALSE),"")</f>
        <v/>
      </c>
      <c r="G1628" s="6"/>
    </row>
    <row r="1629" spans="1:7">
      <c r="A1629" s="6"/>
      <c r="B1629" s="5"/>
      <c r="C1629" s="7"/>
      <c r="D1629" s="8" t="str">
        <f>IFERROR(VLOOKUP(C1629,产品数据!$B:$D,2,FALSE),"")</f>
        <v/>
      </c>
      <c r="E1629" s="6"/>
      <c r="F1629" s="8" t="str">
        <f>IFERROR(VLOOKUP(C1629,产品数据!$B:$D,3,FALSE),"")</f>
        <v/>
      </c>
      <c r="G1629" s="6"/>
    </row>
    <row r="1630" spans="1:7">
      <c r="A1630" s="6"/>
      <c r="B1630" s="5"/>
      <c r="C1630" s="7"/>
      <c r="D1630" s="8" t="str">
        <f>IFERROR(VLOOKUP(C1630,产品数据!$B:$D,2,FALSE),"")</f>
        <v/>
      </c>
      <c r="E1630" s="6"/>
      <c r="F1630" s="8" t="str">
        <f>IFERROR(VLOOKUP(C1630,产品数据!$B:$D,3,FALSE),"")</f>
        <v/>
      </c>
      <c r="G1630" s="6"/>
    </row>
    <row r="1631" spans="1:7">
      <c r="A1631" s="6"/>
      <c r="B1631" s="5"/>
      <c r="C1631" s="7"/>
      <c r="D1631" s="8" t="str">
        <f>IFERROR(VLOOKUP(C1631,产品数据!$B:$D,2,FALSE),"")</f>
        <v/>
      </c>
      <c r="E1631" s="6"/>
      <c r="F1631" s="8" t="str">
        <f>IFERROR(VLOOKUP(C1631,产品数据!$B:$D,3,FALSE),"")</f>
        <v/>
      </c>
      <c r="G1631" s="6"/>
    </row>
    <row r="1632" spans="1:7">
      <c r="A1632" s="6"/>
      <c r="B1632" s="5"/>
      <c r="C1632" s="7"/>
      <c r="D1632" s="8" t="str">
        <f>IFERROR(VLOOKUP(C1632,产品数据!$B:$D,2,FALSE),"")</f>
        <v/>
      </c>
      <c r="E1632" s="6"/>
      <c r="F1632" s="8" t="str">
        <f>IFERROR(VLOOKUP(C1632,产品数据!$B:$D,3,FALSE),"")</f>
        <v/>
      </c>
      <c r="G1632" s="6"/>
    </row>
    <row r="1633" spans="1:7">
      <c r="A1633" s="6"/>
      <c r="B1633" s="5"/>
      <c r="C1633" s="7"/>
      <c r="D1633" s="8" t="str">
        <f>IFERROR(VLOOKUP(C1633,产品数据!$B:$D,2,FALSE),"")</f>
        <v/>
      </c>
      <c r="E1633" s="6"/>
      <c r="F1633" s="8" t="str">
        <f>IFERROR(VLOOKUP(C1633,产品数据!$B:$D,3,FALSE),"")</f>
        <v/>
      </c>
      <c r="G1633" s="6"/>
    </row>
    <row r="1634" spans="1:7">
      <c r="A1634" s="6"/>
      <c r="B1634" s="5"/>
      <c r="C1634" s="7"/>
      <c r="D1634" s="8" t="str">
        <f>IFERROR(VLOOKUP(C1634,产品数据!$B:$D,2,FALSE),"")</f>
        <v/>
      </c>
      <c r="E1634" s="6"/>
      <c r="F1634" s="8" t="str">
        <f>IFERROR(VLOOKUP(C1634,产品数据!$B:$D,3,FALSE),"")</f>
        <v/>
      </c>
      <c r="G1634" s="6"/>
    </row>
    <row r="1635" spans="1:7">
      <c r="A1635" s="6"/>
      <c r="B1635" s="5"/>
      <c r="C1635" s="7"/>
      <c r="D1635" s="8" t="str">
        <f>IFERROR(VLOOKUP(C1635,产品数据!$B:$D,2,FALSE),"")</f>
        <v/>
      </c>
      <c r="E1635" s="6"/>
      <c r="F1635" s="8" t="str">
        <f>IFERROR(VLOOKUP(C1635,产品数据!$B:$D,3,FALSE),"")</f>
        <v/>
      </c>
      <c r="G1635" s="6"/>
    </row>
    <row r="1636" spans="1:7">
      <c r="A1636" s="6"/>
      <c r="B1636" s="5"/>
      <c r="C1636" s="7"/>
      <c r="D1636" s="8" t="str">
        <f>IFERROR(VLOOKUP(C1636,产品数据!$B:$D,2,FALSE),"")</f>
        <v/>
      </c>
      <c r="E1636" s="6"/>
      <c r="F1636" s="8" t="str">
        <f>IFERROR(VLOOKUP(C1636,产品数据!$B:$D,3,FALSE),"")</f>
        <v/>
      </c>
      <c r="G1636" s="6"/>
    </row>
    <row r="1637" spans="1:7">
      <c r="A1637" s="6"/>
      <c r="B1637" s="5"/>
      <c r="C1637" s="7"/>
      <c r="D1637" s="8" t="str">
        <f>IFERROR(VLOOKUP(C1637,产品数据!$B:$D,2,FALSE),"")</f>
        <v/>
      </c>
      <c r="E1637" s="6"/>
      <c r="F1637" s="8" t="str">
        <f>IFERROR(VLOOKUP(C1637,产品数据!$B:$D,3,FALSE),"")</f>
        <v/>
      </c>
      <c r="G1637" s="6"/>
    </row>
    <row r="1638" spans="1:7">
      <c r="A1638" s="6"/>
      <c r="B1638" s="5"/>
      <c r="C1638" s="7"/>
      <c r="D1638" s="8" t="str">
        <f>IFERROR(VLOOKUP(C1638,产品数据!$B:$D,2,FALSE),"")</f>
        <v/>
      </c>
      <c r="E1638" s="6"/>
      <c r="F1638" s="8" t="str">
        <f>IFERROR(VLOOKUP(C1638,产品数据!$B:$D,3,FALSE),"")</f>
        <v/>
      </c>
      <c r="G1638" s="6"/>
    </row>
    <row r="1639" spans="1:7">
      <c r="A1639" s="6"/>
      <c r="B1639" s="5"/>
      <c r="C1639" s="7"/>
      <c r="D1639" s="8" t="str">
        <f>IFERROR(VLOOKUP(C1639,产品数据!$B:$D,2,FALSE),"")</f>
        <v/>
      </c>
      <c r="E1639" s="6"/>
      <c r="F1639" s="8" t="str">
        <f>IFERROR(VLOOKUP(C1639,产品数据!$B:$D,3,FALSE),"")</f>
        <v/>
      </c>
      <c r="G1639" s="6"/>
    </row>
    <row r="1640" spans="1:7">
      <c r="A1640" s="6"/>
      <c r="B1640" s="5"/>
      <c r="C1640" s="7"/>
      <c r="D1640" s="8" t="str">
        <f>IFERROR(VLOOKUP(C1640,产品数据!$B:$D,2,FALSE),"")</f>
        <v/>
      </c>
      <c r="E1640" s="6"/>
      <c r="F1640" s="8" t="str">
        <f>IFERROR(VLOOKUP(C1640,产品数据!$B:$D,3,FALSE),"")</f>
        <v/>
      </c>
      <c r="G1640" s="6"/>
    </row>
    <row r="1641" spans="1:7">
      <c r="A1641" s="6"/>
      <c r="B1641" s="5"/>
      <c r="C1641" s="7"/>
      <c r="D1641" s="8" t="str">
        <f>IFERROR(VLOOKUP(C1641,产品数据!$B:$D,2,FALSE),"")</f>
        <v/>
      </c>
      <c r="E1641" s="6"/>
      <c r="F1641" s="8" t="str">
        <f>IFERROR(VLOOKUP(C1641,产品数据!$B:$D,3,FALSE),"")</f>
        <v/>
      </c>
      <c r="G1641" s="6"/>
    </row>
    <row r="1642" spans="1:7">
      <c r="A1642" s="6"/>
      <c r="B1642" s="5"/>
      <c r="C1642" s="7"/>
      <c r="D1642" s="8" t="str">
        <f>IFERROR(VLOOKUP(C1642,产品数据!$B:$D,2,FALSE),"")</f>
        <v/>
      </c>
      <c r="E1642" s="6"/>
      <c r="F1642" s="8" t="str">
        <f>IFERROR(VLOOKUP(C1642,产品数据!$B:$D,3,FALSE),"")</f>
        <v/>
      </c>
      <c r="G1642" s="6"/>
    </row>
    <row r="1643" spans="1:7">
      <c r="A1643" s="6"/>
      <c r="B1643" s="5"/>
      <c r="C1643" s="7"/>
      <c r="D1643" s="8" t="str">
        <f>IFERROR(VLOOKUP(C1643,产品数据!$B:$D,2,FALSE),"")</f>
        <v/>
      </c>
      <c r="E1643" s="6"/>
      <c r="F1643" s="8" t="str">
        <f>IFERROR(VLOOKUP(C1643,产品数据!$B:$D,3,FALSE),"")</f>
        <v/>
      </c>
      <c r="G1643" s="6"/>
    </row>
    <row r="1644" spans="1:7">
      <c r="A1644" s="6"/>
      <c r="B1644" s="5"/>
      <c r="C1644" s="7"/>
      <c r="D1644" s="8" t="str">
        <f>IFERROR(VLOOKUP(C1644,产品数据!$B:$D,2,FALSE),"")</f>
        <v/>
      </c>
      <c r="E1644" s="6"/>
      <c r="F1644" s="8" t="str">
        <f>IFERROR(VLOOKUP(C1644,产品数据!$B:$D,3,FALSE),"")</f>
        <v/>
      </c>
      <c r="G1644" s="6"/>
    </row>
    <row r="1645" spans="1:7">
      <c r="A1645" s="6"/>
      <c r="B1645" s="5"/>
      <c r="C1645" s="7"/>
      <c r="D1645" s="8" t="str">
        <f>IFERROR(VLOOKUP(C1645,产品数据!$B:$D,2,FALSE),"")</f>
        <v/>
      </c>
      <c r="E1645" s="6"/>
      <c r="F1645" s="8" t="str">
        <f>IFERROR(VLOOKUP(C1645,产品数据!$B:$D,3,FALSE),"")</f>
        <v/>
      </c>
      <c r="G1645" s="6"/>
    </row>
    <row r="1646" spans="1:7">
      <c r="A1646" s="6"/>
      <c r="B1646" s="5"/>
      <c r="C1646" s="7"/>
      <c r="D1646" s="8" t="str">
        <f>IFERROR(VLOOKUP(C1646,产品数据!$B:$D,2,FALSE),"")</f>
        <v/>
      </c>
      <c r="E1646" s="6"/>
      <c r="F1646" s="8" t="str">
        <f>IFERROR(VLOOKUP(C1646,产品数据!$B:$D,3,FALSE),"")</f>
        <v/>
      </c>
      <c r="G1646" s="6"/>
    </row>
    <row r="1647" spans="1:7">
      <c r="A1647" s="6"/>
      <c r="B1647" s="5"/>
      <c r="C1647" s="7"/>
      <c r="D1647" s="8" t="str">
        <f>IFERROR(VLOOKUP(C1647,产品数据!$B:$D,2,FALSE),"")</f>
        <v/>
      </c>
      <c r="E1647" s="6"/>
      <c r="F1647" s="8" t="str">
        <f>IFERROR(VLOOKUP(C1647,产品数据!$B:$D,3,FALSE),"")</f>
        <v/>
      </c>
      <c r="G1647" s="6"/>
    </row>
    <row r="1648" spans="1:7">
      <c r="A1648" s="6"/>
      <c r="B1648" s="5"/>
      <c r="C1648" s="7"/>
      <c r="D1648" s="8" t="str">
        <f>IFERROR(VLOOKUP(C1648,产品数据!$B:$D,2,FALSE),"")</f>
        <v/>
      </c>
      <c r="E1648" s="6"/>
      <c r="F1648" s="8" t="str">
        <f>IFERROR(VLOOKUP(C1648,产品数据!$B:$D,3,FALSE),"")</f>
        <v/>
      </c>
      <c r="G1648" s="6"/>
    </row>
    <row r="1649" spans="1:7">
      <c r="A1649" s="6"/>
      <c r="B1649" s="5"/>
      <c r="C1649" s="7"/>
      <c r="D1649" s="8" t="str">
        <f>IFERROR(VLOOKUP(C1649,产品数据!$B:$D,2,FALSE),"")</f>
        <v/>
      </c>
      <c r="E1649" s="6"/>
      <c r="F1649" s="8" t="str">
        <f>IFERROR(VLOOKUP(C1649,产品数据!$B:$D,3,FALSE),"")</f>
        <v/>
      </c>
      <c r="G1649" s="6"/>
    </row>
    <row r="1650" spans="1:7">
      <c r="A1650" s="6"/>
      <c r="B1650" s="5"/>
      <c r="C1650" s="7"/>
      <c r="D1650" s="8" t="str">
        <f>IFERROR(VLOOKUP(C1650,产品数据!$B:$D,2,FALSE),"")</f>
        <v/>
      </c>
      <c r="E1650" s="6"/>
      <c r="F1650" s="8" t="str">
        <f>IFERROR(VLOOKUP(C1650,产品数据!$B:$D,3,FALSE),"")</f>
        <v/>
      </c>
      <c r="G1650" s="6"/>
    </row>
    <row r="1651" spans="1:7">
      <c r="A1651" s="6"/>
      <c r="B1651" s="5"/>
      <c r="C1651" s="7"/>
      <c r="D1651" s="8" t="str">
        <f>IFERROR(VLOOKUP(C1651,产品数据!$B:$D,2,FALSE),"")</f>
        <v/>
      </c>
      <c r="E1651" s="6"/>
      <c r="F1651" s="8" t="str">
        <f>IFERROR(VLOOKUP(C1651,产品数据!$B:$D,3,FALSE),"")</f>
        <v/>
      </c>
      <c r="G1651" s="6"/>
    </row>
    <row r="1652" spans="1:7">
      <c r="A1652" s="6"/>
      <c r="B1652" s="5"/>
      <c r="C1652" s="7"/>
      <c r="D1652" s="8" t="str">
        <f>IFERROR(VLOOKUP(C1652,产品数据!$B:$D,2,FALSE),"")</f>
        <v/>
      </c>
      <c r="E1652" s="6"/>
      <c r="F1652" s="8" t="str">
        <f>IFERROR(VLOOKUP(C1652,产品数据!$B:$D,3,FALSE),"")</f>
        <v/>
      </c>
      <c r="G1652" s="6"/>
    </row>
    <row r="1653" spans="1:7">
      <c r="A1653" s="6"/>
      <c r="B1653" s="5"/>
      <c r="C1653" s="7"/>
      <c r="D1653" s="8" t="str">
        <f>IFERROR(VLOOKUP(C1653,产品数据!$B:$D,2,FALSE),"")</f>
        <v/>
      </c>
      <c r="E1653" s="6"/>
      <c r="F1653" s="8" t="str">
        <f>IFERROR(VLOOKUP(C1653,产品数据!$B:$D,3,FALSE),"")</f>
        <v/>
      </c>
      <c r="G1653" s="6"/>
    </row>
    <row r="1654" spans="1:7">
      <c r="A1654" s="6"/>
      <c r="B1654" s="5"/>
      <c r="C1654" s="7"/>
      <c r="D1654" s="8" t="str">
        <f>IFERROR(VLOOKUP(C1654,产品数据!$B:$D,2,FALSE),"")</f>
        <v/>
      </c>
      <c r="E1654" s="6"/>
      <c r="F1654" s="8" t="str">
        <f>IFERROR(VLOOKUP(C1654,产品数据!$B:$D,3,FALSE),"")</f>
        <v/>
      </c>
      <c r="G1654" s="6"/>
    </row>
    <row r="1655" spans="1:7">
      <c r="A1655" s="6"/>
      <c r="B1655" s="5"/>
      <c r="C1655" s="7"/>
      <c r="D1655" s="8" t="str">
        <f>IFERROR(VLOOKUP(C1655,产品数据!$B:$D,2,FALSE),"")</f>
        <v/>
      </c>
      <c r="E1655" s="6"/>
      <c r="F1655" s="8" t="str">
        <f>IFERROR(VLOOKUP(C1655,产品数据!$B:$D,3,FALSE),"")</f>
        <v/>
      </c>
      <c r="G1655" s="6"/>
    </row>
    <row r="1656" spans="1:7">
      <c r="A1656" s="6"/>
      <c r="B1656" s="5"/>
      <c r="C1656" s="7"/>
      <c r="D1656" s="8" t="str">
        <f>IFERROR(VLOOKUP(C1656,产品数据!$B:$D,2,FALSE),"")</f>
        <v/>
      </c>
      <c r="E1656" s="6"/>
      <c r="F1656" s="8" t="str">
        <f>IFERROR(VLOOKUP(C1656,产品数据!$B:$D,3,FALSE),"")</f>
        <v/>
      </c>
      <c r="G1656" s="6"/>
    </row>
    <row r="1657" spans="1:7">
      <c r="A1657" s="6"/>
      <c r="B1657" s="5"/>
      <c r="C1657" s="7"/>
      <c r="D1657" s="8" t="str">
        <f>IFERROR(VLOOKUP(C1657,产品数据!$B:$D,2,FALSE),"")</f>
        <v/>
      </c>
      <c r="E1657" s="6"/>
      <c r="F1657" s="8" t="str">
        <f>IFERROR(VLOOKUP(C1657,产品数据!$B:$D,3,FALSE),"")</f>
        <v/>
      </c>
      <c r="G1657" s="6"/>
    </row>
    <row r="1658" spans="1:7">
      <c r="A1658" s="6"/>
      <c r="B1658" s="5"/>
      <c r="C1658" s="7"/>
      <c r="D1658" s="8" t="str">
        <f>IFERROR(VLOOKUP(C1658,产品数据!$B:$D,2,FALSE),"")</f>
        <v/>
      </c>
      <c r="E1658" s="6"/>
      <c r="F1658" s="8" t="str">
        <f>IFERROR(VLOOKUP(C1658,产品数据!$B:$D,3,FALSE),"")</f>
        <v/>
      </c>
      <c r="G1658" s="6"/>
    </row>
    <row r="1659" spans="1:7">
      <c r="A1659" s="6"/>
      <c r="B1659" s="5"/>
      <c r="C1659" s="7"/>
      <c r="D1659" s="8" t="str">
        <f>IFERROR(VLOOKUP(C1659,产品数据!$B:$D,2,FALSE),"")</f>
        <v/>
      </c>
      <c r="E1659" s="6"/>
      <c r="F1659" s="8" t="str">
        <f>IFERROR(VLOOKUP(C1659,产品数据!$B:$D,3,FALSE),"")</f>
        <v/>
      </c>
      <c r="G1659" s="6"/>
    </row>
    <row r="1660" spans="1:7">
      <c r="A1660" s="6"/>
      <c r="B1660" s="5"/>
      <c r="C1660" s="7"/>
      <c r="D1660" s="8" t="str">
        <f>IFERROR(VLOOKUP(C1660,产品数据!$B:$D,2,FALSE),"")</f>
        <v/>
      </c>
      <c r="E1660" s="6"/>
      <c r="F1660" s="8" t="str">
        <f>IFERROR(VLOOKUP(C1660,产品数据!$B:$D,3,FALSE),"")</f>
        <v/>
      </c>
      <c r="G1660" s="6"/>
    </row>
    <row r="1661" spans="1:7">
      <c r="A1661" s="6"/>
      <c r="B1661" s="5"/>
      <c r="C1661" s="7"/>
      <c r="D1661" s="8" t="str">
        <f>IFERROR(VLOOKUP(C1661,产品数据!$B:$D,2,FALSE),"")</f>
        <v/>
      </c>
      <c r="E1661" s="6"/>
      <c r="F1661" s="8" t="str">
        <f>IFERROR(VLOOKUP(C1661,产品数据!$B:$D,3,FALSE),"")</f>
        <v/>
      </c>
      <c r="G1661" s="6"/>
    </row>
    <row r="1662" spans="1:7">
      <c r="A1662" s="6"/>
      <c r="B1662" s="5"/>
      <c r="C1662" s="7"/>
      <c r="D1662" s="8" t="str">
        <f>IFERROR(VLOOKUP(C1662,产品数据!$B:$D,2,FALSE),"")</f>
        <v/>
      </c>
      <c r="E1662" s="6"/>
      <c r="F1662" s="8" t="str">
        <f>IFERROR(VLOOKUP(C1662,产品数据!$B:$D,3,FALSE),"")</f>
        <v/>
      </c>
      <c r="G1662" s="6"/>
    </row>
    <row r="1663" spans="1:7">
      <c r="A1663" s="6"/>
      <c r="B1663" s="5"/>
      <c r="C1663" s="7"/>
      <c r="D1663" s="8" t="str">
        <f>IFERROR(VLOOKUP(C1663,产品数据!$B:$D,2,FALSE),"")</f>
        <v/>
      </c>
      <c r="E1663" s="6"/>
      <c r="F1663" s="8" t="str">
        <f>IFERROR(VLOOKUP(C1663,产品数据!$B:$D,3,FALSE),"")</f>
        <v/>
      </c>
      <c r="G1663" s="6"/>
    </row>
    <row r="1664" spans="1:7">
      <c r="A1664" s="6"/>
      <c r="B1664" s="5"/>
      <c r="C1664" s="7"/>
      <c r="D1664" s="8" t="str">
        <f>IFERROR(VLOOKUP(C1664,产品数据!$B:$D,2,FALSE),"")</f>
        <v/>
      </c>
      <c r="E1664" s="6"/>
      <c r="F1664" s="8" t="str">
        <f>IFERROR(VLOOKUP(C1664,产品数据!$B:$D,3,FALSE),"")</f>
        <v/>
      </c>
      <c r="G1664" s="6"/>
    </row>
    <row r="1665" spans="1:7">
      <c r="A1665" s="6"/>
      <c r="B1665" s="5"/>
      <c r="C1665" s="7"/>
      <c r="D1665" s="8" t="str">
        <f>IFERROR(VLOOKUP(C1665,产品数据!$B:$D,2,FALSE),"")</f>
        <v/>
      </c>
      <c r="E1665" s="6"/>
      <c r="F1665" s="8" t="str">
        <f>IFERROR(VLOOKUP(C1665,产品数据!$B:$D,3,FALSE),"")</f>
        <v/>
      </c>
      <c r="G1665" s="6"/>
    </row>
    <row r="1666" spans="1:7">
      <c r="A1666" s="6"/>
      <c r="B1666" s="5"/>
      <c r="C1666" s="7"/>
      <c r="D1666" s="8" t="str">
        <f>IFERROR(VLOOKUP(C1666,产品数据!$B:$D,2,FALSE),"")</f>
        <v/>
      </c>
      <c r="E1666" s="6"/>
      <c r="F1666" s="8" t="str">
        <f>IFERROR(VLOOKUP(C1666,产品数据!$B:$D,3,FALSE),"")</f>
        <v/>
      </c>
      <c r="G1666" s="6"/>
    </row>
    <row r="1667" spans="1:7">
      <c r="A1667" s="6"/>
      <c r="B1667" s="5"/>
      <c r="C1667" s="7"/>
      <c r="D1667" s="8" t="str">
        <f>IFERROR(VLOOKUP(C1667,产品数据!$B:$D,2,FALSE),"")</f>
        <v/>
      </c>
      <c r="E1667" s="6"/>
      <c r="F1667" s="8" t="str">
        <f>IFERROR(VLOOKUP(C1667,产品数据!$B:$D,3,FALSE),"")</f>
        <v/>
      </c>
      <c r="G1667" s="6"/>
    </row>
    <row r="1668" spans="1:7">
      <c r="A1668" s="6"/>
      <c r="B1668" s="5"/>
      <c r="C1668" s="7"/>
      <c r="D1668" s="8" t="str">
        <f>IFERROR(VLOOKUP(C1668,产品数据!$B:$D,2,FALSE),"")</f>
        <v/>
      </c>
      <c r="E1668" s="6"/>
      <c r="F1668" s="8" t="str">
        <f>IFERROR(VLOOKUP(C1668,产品数据!$B:$D,3,FALSE),"")</f>
        <v/>
      </c>
      <c r="G1668" s="6"/>
    </row>
    <row r="1669" spans="1:7">
      <c r="A1669" s="6"/>
      <c r="B1669" s="5"/>
      <c r="C1669" s="7"/>
      <c r="D1669" s="8" t="str">
        <f>IFERROR(VLOOKUP(C1669,产品数据!$B:$D,2,FALSE),"")</f>
        <v/>
      </c>
      <c r="E1669" s="6"/>
      <c r="F1669" s="8" t="str">
        <f>IFERROR(VLOOKUP(C1669,产品数据!$B:$D,3,FALSE),"")</f>
        <v/>
      </c>
      <c r="G1669" s="6"/>
    </row>
    <row r="1670" spans="1:7">
      <c r="A1670" s="6"/>
      <c r="B1670" s="5"/>
      <c r="C1670" s="7"/>
      <c r="D1670" s="8" t="str">
        <f>IFERROR(VLOOKUP(C1670,产品数据!$B:$D,2,FALSE),"")</f>
        <v/>
      </c>
      <c r="E1670" s="6"/>
      <c r="F1670" s="8" t="str">
        <f>IFERROR(VLOOKUP(C1670,产品数据!$B:$D,3,FALSE),"")</f>
        <v/>
      </c>
      <c r="G1670" s="6"/>
    </row>
    <row r="1671" spans="1:7">
      <c r="A1671" s="6"/>
      <c r="B1671" s="5"/>
      <c r="C1671" s="7"/>
      <c r="D1671" s="8" t="str">
        <f>IFERROR(VLOOKUP(C1671,产品数据!$B:$D,2,FALSE),"")</f>
        <v/>
      </c>
      <c r="E1671" s="6"/>
      <c r="F1671" s="8" t="str">
        <f>IFERROR(VLOOKUP(C1671,产品数据!$B:$D,3,FALSE),"")</f>
        <v/>
      </c>
      <c r="G1671" s="6"/>
    </row>
    <row r="1672" spans="1:7">
      <c r="A1672" s="6"/>
      <c r="B1672" s="5"/>
      <c r="C1672" s="7"/>
      <c r="D1672" s="8" t="str">
        <f>IFERROR(VLOOKUP(C1672,产品数据!$B:$D,2,FALSE),"")</f>
        <v/>
      </c>
      <c r="E1672" s="6"/>
      <c r="F1672" s="8" t="str">
        <f>IFERROR(VLOOKUP(C1672,产品数据!$B:$D,3,FALSE),"")</f>
        <v/>
      </c>
      <c r="G1672" s="6"/>
    </row>
    <row r="1673" spans="1:7">
      <c r="A1673" s="6"/>
      <c r="B1673" s="5"/>
      <c r="C1673" s="7"/>
      <c r="D1673" s="8" t="str">
        <f>IFERROR(VLOOKUP(C1673,产品数据!$B:$D,2,FALSE),"")</f>
        <v/>
      </c>
      <c r="E1673" s="6"/>
      <c r="F1673" s="8" t="str">
        <f>IFERROR(VLOOKUP(C1673,产品数据!$B:$D,3,FALSE),"")</f>
        <v/>
      </c>
      <c r="G1673" s="6"/>
    </row>
    <row r="1674" spans="1:7">
      <c r="A1674" s="6"/>
      <c r="B1674" s="5"/>
      <c r="C1674" s="7"/>
      <c r="D1674" s="8" t="str">
        <f>IFERROR(VLOOKUP(C1674,产品数据!$B:$D,2,FALSE),"")</f>
        <v/>
      </c>
      <c r="E1674" s="6"/>
      <c r="F1674" s="8" t="str">
        <f>IFERROR(VLOOKUP(C1674,产品数据!$B:$D,3,FALSE),"")</f>
        <v/>
      </c>
      <c r="G1674" s="6"/>
    </row>
    <row r="1675" spans="1:7">
      <c r="A1675" s="6"/>
      <c r="B1675" s="5"/>
      <c r="C1675" s="7"/>
      <c r="D1675" s="8" t="str">
        <f>IFERROR(VLOOKUP(C1675,产品数据!$B:$D,2,FALSE),"")</f>
        <v/>
      </c>
      <c r="E1675" s="6"/>
      <c r="F1675" s="8" t="str">
        <f>IFERROR(VLOOKUP(C1675,产品数据!$B:$D,3,FALSE),"")</f>
        <v/>
      </c>
      <c r="G1675" s="6"/>
    </row>
    <row r="1676" spans="1:7">
      <c r="A1676" s="6"/>
      <c r="B1676" s="5"/>
      <c r="C1676" s="7"/>
      <c r="D1676" s="8" t="str">
        <f>IFERROR(VLOOKUP(C1676,产品数据!$B:$D,2,FALSE),"")</f>
        <v/>
      </c>
      <c r="E1676" s="6"/>
      <c r="F1676" s="8" t="str">
        <f>IFERROR(VLOOKUP(C1676,产品数据!$B:$D,3,FALSE),"")</f>
        <v/>
      </c>
      <c r="G1676" s="6"/>
    </row>
    <row r="1677" spans="1:7">
      <c r="A1677" s="6"/>
      <c r="B1677" s="5"/>
      <c r="C1677" s="7"/>
      <c r="D1677" s="8" t="str">
        <f>IFERROR(VLOOKUP(C1677,产品数据!$B:$D,2,FALSE),"")</f>
        <v/>
      </c>
      <c r="E1677" s="6"/>
      <c r="F1677" s="8" t="str">
        <f>IFERROR(VLOOKUP(C1677,产品数据!$B:$D,3,FALSE),"")</f>
        <v/>
      </c>
      <c r="G1677" s="6"/>
    </row>
    <row r="1678" spans="1:7">
      <c r="A1678" s="6"/>
      <c r="B1678" s="5"/>
      <c r="C1678" s="7"/>
      <c r="D1678" s="8" t="str">
        <f>IFERROR(VLOOKUP(C1678,产品数据!$B:$D,2,FALSE),"")</f>
        <v/>
      </c>
      <c r="E1678" s="6"/>
      <c r="F1678" s="8" t="str">
        <f>IFERROR(VLOOKUP(C1678,产品数据!$B:$D,3,FALSE),"")</f>
        <v/>
      </c>
      <c r="G1678" s="6"/>
    </row>
    <row r="1679" spans="1:7">
      <c r="A1679" s="6"/>
      <c r="B1679" s="5"/>
      <c r="C1679" s="7"/>
      <c r="D1679" s="8" t="str">
        <f>IFERROR(VLOOKUP(C1679,产品数据!$B:$D,2,FALSE),"")</f>
        <v/>
      </c>
      <c r="E1679" s="6"/>
      <c r="F1679" s="8" t="str">
        <f>IFERROR(VLOOKUP(C1679,产品数据!$B:$D,3,FALSE),"")</f>
        <v/>
      </c>
      <c r="G1679" s="6"/>
    </row>
    <row r="1680" spans="1:7">
      <c r="A1680" s="6"/>
      <c r="B1680" s="5"/>
      <c r="C1680" s="7"/>
      <c r="D1680" s="8" t="str">
        <f>IFERROR(VLOOKUP(C1680,产品数据!$B:$D,2,FALSE),"")</f>
        <v/>
      </c>
      <c r="E1680" s="6"/>
      <c r="F1680" s="8" t="str">
        <f>IFERROR(VLOOKUP(C1680,产品数据!$B:$D,3,FALSE),"")</f>
        <v/>
      </c>
      <c r="G1680" s="6"/>
    </row>
    <row r="1681" spans="1:7">
      <c r="A1681" s="6"/>
      <c r="B1681" s="5"/>
      <c r="C1681" s="7"/>
      <c r="D1681" s="8" t="str">
        <f>IFERROR(VLOOKUP(C1681,产品数据!$B:$D,2,FALSE),"")</f>
        <v/>
      </c>
      <c r="E1681" s="6"/>
      <c r="F1681" s="8" t="str">
        <f>IFERROR(VLOOKUP(C1681,产品数据!$B:$D,3,FALSE),"")</f>
        <v/>
      </c>
      <c r="G1681" s="6"/>
    </row>
    <row r="1682" spans="1:7">
      <c r="A1682" s="6"/>
      <c r="B1682" s="5"/>
      <c r="C1682" s="7"/>
      <c r="D1682" s="8" t="str">
        <f>IFERROR(VLOOKUP(C1682,产品数据!$B:$D,2,FALSE),"")</f>
        <v/>
      </c>
      <c r="E1682" s="6"/>
      <c r="F1682" s="8" t="str">
        <f>IFERROR(VLOOKUP(C1682,产品数据!$B:$D,3,FALSE),"")</f>
        <v/>
      </c>
      <c r="G1682" s="6"/>
    </row>
    <row r="1683" spans="1:7">
      <c r="A1683" s="6"/>
      <c r="B1683" s="5"/>
      <c r="C1683" s="7"/>
      <c r="D1683" s="8" t="str">
        <f>IFERROR(VLOOKUP(C1683,产品数据!$B:$D,2,FALSE),"")</f>
        <v/>
      </c>
      <c r="E1683" s="6"/>
      <c r="F1683" s="8" t="str">
        <f>IFERROR(VLOOKUP(C1683,产品数据!$B:$D,3,FALSE),"")</f>
        <v/>
      </c>
      <c r="G1683" s="6"/>
    </row>
    <row r="1684" spans="1:7">
      <c r="A1684" s="6"/>
      <c r="B1684" s="5"/>
      <c r="C1684" s="7"/>
      <c r="D1684" s="8" t="str">
        <f>IFERROR(VLOOKUP(C1684,产品数据!$B:$D,2,FALSE),"")</f>
        <v/>
      </c>
      <c r="E1684" s="6"/>
      <c r="F1684" s="8" t="str">
        <f>IFERROR(VLOOKUP(C1684,产品数据!$B:$D,3,FALSE),"")</f>
        <v/>
      </c>
      <c r="G1684" s="6"/>
    </row>
    <row r="1685" spans="1:7">
      <c r="A1685" s="6"/>
      <c r="B1685" s="5"/>
      <c r="C1685" s="7"/>
      <c r="D1685" s="8" t="str">
        <f>IFERROR(VLOOKUP(C1685,产品数据!$B:$D,2,FALSE),"")</f>
        <v/>
      </c>
      <c r="E1685" s="6"/>
      <c r="F1685" s="8" t="str">
        <f>IFERROR(VLOOKUP(C1685,产品数据!$B:$D,3,FALSE),"")</f>
        <v/>
      </c>
      <c r="G1685" s="6"/>
    </row>
    <row r="1686" spans="1:7">
      <c r="A1686" s="6"/>
      <c r="B1686" s="5"/>
      <c r="C1686" s="7"/>
      <c r="D1686" s="8" t="str">
        <f>IFERROR(VLOOKUP(C1686,产品数据!$B:$D,2,FALSE),"")</f>
        <v/>
      </c>
      <c r="E1686" s="6"/>
      <c r="F1686" s="8" t="str">
        <f>IFERROR(VLOOKUP(C1686,产品数据!$B:$D,3,FALSE),"")</f>
        <v/>
      </c>
      <c r="G1686" s="6"/>
    </row>
    <row r="1687" spans="1:7">
      <c r="A1687" s="6"/>
      <c r="B1687" s="5"/>
      <c r="C1687" s="7"/>
      <c r="D1687" s="8" t="str">
        <f>IFERROR(VLOOKUP(C1687,产品数据!$B:$D,2,FALSE),"")</f>
        <v/>
      </c>
      <c r="E1687" s="6"/>
      <c r="F1687" s="8" t="str">
        <f>IFERROR(VLOOKUP(C1687,产品数据!$B:$D,3,FALSE),"")</f>
        <v/>
      </c>
      <c r="G1687" s="6"/>
    </row>
    <row r="1688" spans="1:7">
      <c r="A1688" s="6"/>
      <c r="B1688" s="5"/>
      <c r="C1688" s="7"/>
      <c r="D1688" s="8" t="str">
        <f>IFERROR(VLOOKUP(C1688,产品数据!$B:$D,2,FALSE),"")</f>
        <v/>
      </c>
      <c r="E1688" s="6"/>
      <c r="F1688" s="8" t="str">
        <f>IFERROR(VLOOKUP(C1688,产品数据!$B:$D,3,FALSE),"")</f>
        <v/>
      </c>
      <c r="G1688" s="6"/>
    </row>
    <row r="1689" spans="1:7">
      <c r="A1689" s="6"/>
      <c r="B1689" s="5"/>
      <c r="C1689" s="7"/>
      <c r="D1689" s="8" t="str">
        <f>IFERROR(VLOOKUP(C1689,产品数据!$B:$D,2,FALSE),"")</f>
        <v/>
      </c>
      <c r="E1689" s="6"/>
      <c r="F1689" s="8" t="str">
        <f>IFERROR(VLOOKUP(C1689,产品数据!$B:$D,3,FALSE),"")</f>
        <v/>
      </c>
      <c r="G1689" s="6"/>
    </row>
    <row r="1690" spans="1:7">
      <c r="A1690" s="6"/>
      <c r="B1690" s="5"/>
      <c r="C1690" s="7"/>
      <c r="D1690" s="8" t="str">
        <f>IFERROR(VLOOKUP(C1690,产品数据!$B:$D,2,FALSE),"")</f>
        <v/>
      </c>
      <c r="E1690" s="6"/>
      <c r="F1690" s="8" t="str">
        <f>IFERROR(VLOOKUP(C1690,产品数据!$B:$D,3,FALSE),"")</f>
        <v/>
      </c>
      <c r="G1690" s="6"/>
    </row>
    <row r="1691" spans="1:7">
      <c r="A1691" s="6"/>
      <c r="B1691" s="5"/>
      <c r="C1691" s="7"/>
      <c r="D1691" s="8" t="str">
        <f>IFERROR(VLOOKUP(C1691,产品数据!$B:$D,2,FALSE),"")</f>
        <v/>
      </c>
      <c r="E1691" s="6"/>
      <c r="F1691" s="8" t="str">
        <f>IFERROR(VLOOKUP(C1691,产品数据!$B:$D,3,FALSE),"")</f>
        <v/>
      </c>
      <c r="G1691" s="6"/>
    </row>
    <row r="1692" spans="1:7">
      <c r="A1692" s="6"/>
      <c r="B1692" s="5"/>
      <c r="C1692" s="7"/>
      <c r="D1692" s="8" t="str">
        <f>IFERROR(VLOOKUP(C1692,产品数据!$B:$D,2,FALSE),"")</f>
        <v/>
      </c>
      <c r="E1692" s="6"/>
      <c r="F1692" s="8" t="str">
        <f>IFERROR(VLOOKUP(C1692,产品数据!$B:$D,3,FALSE),"")</f>
        <v/>
      </c>
      <c r="G1692" s="6"/>
    </row>
    <row r="1693" spans="1:7">
      <c r="A1693" s="6"/>
      <c r="B1693" s="5"/>
      <c r="C1693" s="7"/>
      <c r="D1693" s="8" t="str">
        <f>IFERROR(VLOOKUP(C1693,产品数据!$B:$D,2,FALSE),"")</f>
        <v/>
      </c>
      <c r="E1693" s="6"/>
      <c r="F1693" s="8" t="str">
        <f>IFERROR(VLOOKUP(C1693,产品数据!$B:$D,3,FALSE),"")</f>
        <v/>
      </c>
      <c r="G1693" s="6"/>
    </row>
    <row r="1694" spans="1:7">
      <c r="A1694" s="6"/>
      <c r="B1694" s="5"/>
      <c r="C1694" s="7"/>
      <c r="D1694" s="8" t="str">
        <f>IFERROR(VLOOKUP(C1694,产品数据!$B:$D,2,FALSE),"")</f>
        <v/>
      </c>
      <c r="E1694" s="6"/>
      <c r="F1694" s="8" t="str">
        <f>IFERROR(VLOOKUP(C1694,产品数据!$B:$D,3,FALSE),"")</f>
        <v/>
      </c>
      <c r="G1694" s="6"/>
    </row>
    <row r="1695" spans="1:7">
      <c r="A1695" s="6"/>
      <c r="B1695" s="5"/>
      <c r="C1695" s="7"/>
      <c r="D1695" s="8" t="str">
        <f>IFERROR(VLOOKUP(C1695,产品数据!$B:$D,2,FALSE),"")</f>
        <v/>
      </c>
      <c r="E1695" s="6"/>
      <c r="F1695" s="8" t="str">
        <f>IFERROR(VLOOKUP(C1695,产品数据!$B:$D,3,FALSE),"")</f>
        <v/>
      </c>
      <c r="G1695" s="6"/>
    </row>
    <row r="1696" spans="1:7">
      <c r="A1696" s="6"/>
      <c r="B1696" s="5"/>
      <c r="C1696" s="7"/>
      <c r="D1696" s="8" t="str">
        <f>IFERROR(VLOOKUP(C1696,产品数据!$B:$D,2,FALSE),"")</f>
        <v/>
      </c>
      <c r="E1696" s="6"/>
      <c r="F1696" s="8" t="str">
        <f>IFERROR(VLOOKUP(C1696,产品数据!$B:$D,3,FALSE),"")</f>
        <v/>
      </c>
      <c r="G1696" s="6"/>
    </row>
    <row r="1697" spans="1:7">
      <c r="A1697" s="6"/>
      <c r="B1697" s="5"/>
      <c r="C1697" s="7"/>
      <c r="D1697" s="8" t="str">
        <f>IFERROR(VLOOKUP(C1697,产品数据!$B:$D,2,FALSE),"")</f>
        <v/>
      </c>
      <c r="E1697" s="6"/>
      <c r="F1697" s="8" t="str">
        <f>IFERROR(VLOOKUP(C1697,产品数据!$B:$D,3,FALSE),"")</f>
        <v/>
      </c>
      <c r="G1697" s="6"/>
    </row>
    <row r="1698" spans="1:7">
      <c r="A1698" s="6"/>
      <c r="B1698" s="5"/>
      <c r="C1698" s="7"/>
      <c r="D1698" s="8" t="str">
        <f>IFERROR(VLOOKUP(C1698,产品数据!$B:$D,2,FALSE),"")</f>
        <v/>
      </c>
      <c r="E1698" s="6"/>
      <c r="F1698" s="8" t="str">
        <f>IFERROR(VLOOKUP(C1698,产品数据!$B:$D,3,FALSE),"")</f>
        <v/>
      </c>
      <c r="G1698" s="6"/>
    </row>
    <row r="1699" spans="1:7">
      <c r="A1699" s="6"/>
      <c r="B1699" s="5"/>
      <c r="C1699" s="7"/>
      <c r="D1699" s="8" t="str">
        <f>IFERROR(VLOOKUP(C1699,产品数据!$B:$D,2,FALSE),"")</f>
        <v/>
      </c>
      <c r="E1699" s="6"/>
      <c r="F1699" s="8" t="str">
        <f>IFERROR(VLOOKUP(C1699,产品数据!$B:$D,3,FALSE),"")</f>
        <v/>
      </c>
      <c r="G1699" s="6"/>
    </row>
    <row r="1700" spans="1:7">
      <c r="A1700" s="6"/>
      <c r="B1700" s="5"/>
      <c r="C1700" s="7"/>
      <c r="D1700" s="8" t="str">
        <f>IFERROR(VLOOKUP(C1700,产品数据!$B:$D,2,FALSE),"")</f>
        <v/>
      </c>
      <c r="E1700" s="6"/>
      <c r="F1700" s="8" t="str">
        <f>IFERROR(VLOOKUP(C1700,产品数据!$B:$D,3,FALSE),"")</f>
        <v/>
      </c>
      <c r="G1700" s="6"/>
    </row>
    <row r="1701" spans="1:7">
      <c r="A1701" s="6"/>
      <c r="B1701" s="5"/>
      <c r="C1701" s="7"/>
      <c r="D1701" s="8" t="str">
        <f>IFERROR(VLOOKUP(C1701,产品数据!$B:$D,2,FALSE),"")</f>
        <v/>
      </c>
      <c r="E1701" s="6"/>
      <c r="F1701" s="8" t="str">
        <f>IFERROR(VLOOKUP(C1701,产品数据!$B:$D,3,FALSE),"")</f>
        <v/>
      </c>
      <c r="G1701" s="6"/>
    </row>
    <row r="1702" spans="1:7">
      <c r="A1702" s="6"/>
      <c r="B1702" s="5"/>
      <c r="C1702" s="7"/>
      <c r="D1702" s="8" t="str">
        <f>IFERROR(VLOOKUP(C1702,产品数据!$B:$D,2,FALSE),"")</f>
        <v/>
      </c>
      <c r="E1702" s="6"/>
      <c r="F1702" s="8" t="str">
        <f>IFERROR(VLOOKUP(C1702,产品数据!$B:$D,3,FALSE),"")</f>
        <v/>
      </c>
      <c r="G1702" s="6"/>
    </row>
    <row r="1703" spans="1:7">
      <c r="A1703" s="6"/>
      <c r="B1703" s="5"/>
      <c r="C1703" s="7"/>
      <c r="D1703" s="8" t="str">
        <f>IFERROR(VLOOKUP(C1703,产品数据!$B:$D,2,FALSE),"")</f>
        <v/>
      </c>
      <c r="E1703" s="6"/>
      <c r="F1703" s="8" t="str">
        <f>IFERROR(VLOOKUP(C1703,产品数据!$B:$D,3,FALSE),"")</f>
        <v/>
      </c>
      <c r="G1703" s="6"/>
    </row>
    <row r="1704" spans="1:7">
      <c r="A1704" s="6"/>
      <c r="B1704" s="5"/>
      <c r="C1704" s="7"/>
      <c r="D1704" s="8" t="str">
        <f>IFERROR(VLOOKUP(C1704,产品数据!$B:$D,2,FALSE),"")</f>
        <v/>
      </c>
      <c r="E1704" s="6"/>
      <c r="F1704" s="8" t="str">
        <f>IFERROR(VLOOKUP(C1704,产品数据!$B:$D,3,FALSE),"")</f>
        <v/>
      </c>
      <c r="G1704" s="6"/>
    </row>
    <row r="1705" spans="1:7">
      <c r="A1705" s="6"/>
      <c r="B1705" s="5"/>
      <c r="C1705" s="7"/>
      <c r="D1705" s="8" t="str">
        <f>IFERROR(VLOOKUP(C1705,产品数据!$B:$D,2,FALSE),"")</f>
        <v/>
      </c>
      <c r="E1705" s="6"/>
      <c r="F1705" s="8" t="str">
        <f>IFERROR(VLOOKUP(C1705,产品数据!$B:$D,3,FALSE),"")</f>
        <v/>
      </c>
      <c r="G1705" s="6"/>
    </row>
    <row r="1706" spans="1:7">
      <c r="A1706" s="6"/>
      <c r="B1706" s="5"/>
      <c r="C1706" s="7"/>
      <c r="D1706" s="8" t="str">
        <f>IFERROR(VLOOKUP(C1706,产品数据!$B:$D,2,FALSE),"")</f>
        <v/>
      </c>
      <c r="E1706" s="6"/>
      <c r="F1706" s="8" t="str">
        <f>IFERROR(VLOOKUP(C1706,产品数据!$B:$D,3,FALSE),"")</f>
        <v/>
      </c>
      <c r="G1706" s="6"/>
    </row>
    <row r="1707" spans="1:7">
      <c r="A1707" s="6"/>
      <c r="B1707" s="5"/>
      <c r="C1707" s="7"/>
      <c r="D1707" s="8" t="str">
        <f>IFERROR(VLOOKUP(C1707,产品数据!$B:$D,2,FALSE),"")</f>
        <v/>
      </c>
      <c r="E1707" s="6"/>
      <c r="F1707" s="8" t="str">
        <f>IFERROR(VLOOKUP(C1707,产品数据!$B:$D,3,FALSE),"")</f>
        <v/>
      </c>
      <c r="G1707" s="6"/>
    </row>
    <row r="1708" spans="1:7">
      <c r="A1708" s="6"/>
      <c r="B1708" s="5"/>
      <c r="C1708" s="7"/>
      <c r="D1708" s="8" t="str">
        <f>IFERROR(VLOOKUP(C1708,产品数据!$B:$D,2,FALSE),"")</f>
        <v/>
      </c>
      <c r="E1708" s="6"/>
      <c r="F1708" s="8" t="str">
        <f>IFERROR(VLOOKUP(C1708,产品数据!$B:$D,3,FALSE),"")</f>
        <v/>
      </c>
      <c r="G1708" s="6"/>
    </row>
    <row r="1709" spans="1:7">
      <c r="A1709" s="6"/>
      <c r="B1709" s="5"/>
      <c r="C1709" s="7"/>
      <c r="D1709" s="8" t="str">
        <f>IFERROR(VLOOKUP(C1709,产品数据!$B:$D,2,FALSE),"")</f>
        <v/>
      </c>
      <c r="E1709" s="6"/>
      <c r="F1709" s="8" t="str">
        <f>IFERROR(VLOOKUP(C1709,产品数据!$B:$D,3,FALSE),"")</f>
        <v/>
      </c>
      <c r="G1709" s="6"/>
    </row>
    <row r="1710" spans="1:7">
      <c r="A1710" s="6"/>
      <c r="B1710" s="5"/>
      <c r="C1710" s="7"/>
      <c r="D1710" s="8" t="str">
        <f>IFERROR(VLOOKUP(C1710,产品数据!$B:$D,2,FALSE),"")</f>
        <v/>
      </c>
      <c r="E1710" s="6"/>
      <c r="F1710" s="8" t="str">
        <f>IFERROR(VLOOKUP(C1710,产品数据!$B:$D,3,FALSE),"")</f>
        <v/>
      </c>
      <c r="G1710" s="6"/>
    </row>
    <row r="1711" spans="1:7">
      <c r="A1711" s="6"/>
      <c r="B1711" s="5"/>
      <c r="C1711" s="7"/>
      <c r="D1711" s="8" t="str">
        <f>IFERROR(VLOOKUP(C1711,产品数据!$B:$D,2,FALSE),"")</f>
        <v/>
      </c>
      <c r="E1711" s="6"/>
      <c r="F1711" s="8" t="str">
        <f>IFERROR(VLOOKUP(C1711,产品数据!$B:$D,3,FALSE),"")</f>
        <v/>
      </c>
      <c r="G1711" s="6"/>
    </row>
    <row r="1712" spans="1:7">
      <c r="A1712" s="6"/>
      <c r="B1712" s="5"/>
      <c r="C1712" s="7"/>
      <c r="D1712" s="8" t="str">
        <f>IFERROR(VLOOKUP(C1712,产品数据!$B:$D,2,FALSE),"")</f>
        <v/>
      </c>
      <c r="E1712" s="6"/>
      <c r="F1712" s="8" t="str">
        <f>IFERROR(VLOOKUP(C1712,产品数据!$B:$D,3,FALSE),"")</f>
        <v/>
      </c>
      <c r="G1712" s="6"/>
    </row>
    <row r="1713" spans="1:7">
      <c r="A1713" s="6"/>
      <c r="B1713" s="5"/>
      <c r="C1713" s="7"/>
      <c r="D1713" s="8" t="str">
        <f>IFERROR(VLOOKUP(C1713,产品数据!$B:$D,2,FALSE),"")</f>
        <v/>
      </c>
      <c r="E1713" s="6"/>
      <c r="F1713" s="8" t="str">
        <f>IFERROR(VLOOKUP(C1713,产品数据!$B:$D,3,FALSE),"")</f>
        <v/>
      </c>
      <c r="G1713" s="6"/>
    </row>
    <row r="1714" spans="1:7">
      <c r="A1714" s="6"/>
      <c r="B1714" s="5"/>
      <c r="C1714" s="7"/>
      <c r="D1714" s="8" t="str">
        <f>IFERROR(VLOOKUP(C1714,产品数据!$B:$D,2,FALSE),"")</f>
        <v/>
      </c>
      <c r="E1714" s="6"/>
      <c r="F1714" s="8" t="str">
        <f>IFERROR(VLOOKUP(C1714,产品数据!$B:$D,3,FALSE),"")</f>
        <v/>
      </c>
      <c r="G1714" s="6"/>
    </row>
    <row r="1715" spans="1:7">
      <c r="A1715" s="6"/>
      <c r="B1715" s="5"/>
      <c r="C1715" s="7"/>
      <c r="D1715" s="8" t="str">
        <f>IFERROR(VLOOKUP(C1715,产品数据!$B:$D,2,FALSE),"")</f>
        <v/>
      </c>
      <c r="E1715" s="6"/>
      <c r="F1715" s="8" t="str">
        <f>IFERROR(VLOOKUP(C1715,产品数据!$B:$D,3,FALSE),"")</f>
        <v/>
      </c>
      <c r="G1715" s="6"/>
    </row>
    <row r="1716" spans="1:7">
      <c r="A1716" s="6"/>
      <c r="B1716" s="5"/>
      <c r="C1716" s="7"/>
      <c r="D1716" s="8" t="str">
        <f>IFERROR(VLOOKUP(C1716,产品数据!$B:$D,2,FALSE),"")</f>
        <v/>
      </c>
      <c r="E1716" s="6"/>
      <c r="F1716" s="8" t="str">
        <f>IFERROR(VLOOKUP(C1716,产品数据!$B:$D,3,FALSE),"")</f>
        <v/>
      </c>
      <c r="G1716" s="6"/>
    </row>
    <row r="1717" spans="1:7">
      <c r="A1717" s="6"/>
      <c r="B1717" s="5"/>
      <c r="C1717" s="7"/>
      <c r="D1717" s="8" t="str">
        <f>IFERROR(VLOOKUP(C1717,产品数据!$B:$D,2,FALSE),"")</f>
        <v/>
      </c>
      <c r="E1717" s="6"/>
      <c r="F1717" s="8" t="str">
        <f>IFERROR(VLOOKUP(C1717,产品数据!$B:$D,3,FALSE),"")</f>
        <v/>
      </c>
      <c r="G1717" s="6"/>
    </row>
    <row r="1718" spans="1:7">
      <c r="A1718" s="6"/>
      <c r="B1718" s="5"/>
      <c r="C1718" s="7"/>
      <c r="D1718" s="8" t="str">
        <f>IFERROR(VLOOKUP(C1718,产品数据!$B:$D,2,FALSE),"")</f>
        <v/>
      </c>
      <c r="E1718" s="6"/>
      <c r="F1718" s="8" t="str">
        <f>IFERROR(VLOOKUP(C1718,产品数据!$B:$D,3,FALSE),"")</f>
        <v/>
      </c>
      <c r="G1718" s="6"/>
    </row>
    <row r="1719" spans="1:7">
      <c r="A1719" s="6"/>
      <c r="B1719" s="5"/>
      <c r="C1719" s="7"/>
      <c r="D1719" s="8" t="str">
        <f>IFERROR(VLOOKUP(C1719,产品数据!$B:$D,2,FALSE),"")</f>
        <v/>
      </c>
      <c r="E1719" s="6"/>
      <c r="F1719" s="8" t="str">
        <f>IFERROR(VLOOKUP(C1719,产品数据!$B:$D,3,FALSE),"")</f>
        <v/>
      </c>
      <c r="G1719" s="6"/>
    </row>
    <row r="1720" spans="1:7">
      <c r="A1720" s="6"/>
      <c r="B1720" s="5"/>
      <c r="C1720" s="7"/>
      <c r="D1720" s="8" t="str">
        <f>IFERROR(VLOOKUP(C1720,产品数据!$B:$D,2,FALSE),"")</f>
        <v/>
      </c>
      <c r="E1720" s="6"/>
      <c r="F1720" s="8" t="str">
        <f>IFERROR(VLOOKUP(C1720,产品数据!$B:$D,3,FALSE),"")</f>
        <v/>
      </c>
      <c r="G1720" s="6"/>
    </row>
    <row r="1721" spans="1:7">
      <c r="A1721" s="6"/>
      <c r="B1721" s="5"/>
      <c r="C1721" s="7"/>
      <c r="D1721" s="8" t="str">
        <f>IFERROR(VLOOKUP(C1721,产品数据!$B:$D,2,FALSE),"")</f>
        <v/>
      </c>
      <c r="E1721" s="6"/>
      <c r="F1721" s="8" t="str">
        <f>IFERROR(VLOOKUP(C1721,产品数据!$B:$D,3,FALSE),"")</f>
        <v/>
      </c>
      <c r="G1721" s="6"/>
    </row>
    <row r="1722" spans="1:7">
      <c r="A1722" s="6"/>
      <c r="B1722" s="5"/>
      <c r="C1722" s="7"/>
      <c r="D1722" s="8" t="str">
        <f>IFERROR(VLOOKUP(C1722,产品数据!$B:$D,2,FALSE),"")</f>
        <v/>
      </c>
      <c r="E1722" s="6"/>
      <c r="F1722" s="8" t="str">
        <f>IFERROR(VLOOKUP(C1722,产品数据!$B:$D,3,FALSE),"")</f>
        <v/>
      </c>
      <c r="G1722" s="6"/>
    </row>
    <row r="1723" spans="1:7">
      <c r="A1723" s="6"/>
      <c r="B1723" s="5"/>
      <c r="C1723" s="7"/>
      <c r="D1723" s="8" t="str">
        <f>IFERROR(VLOOKUP(C1723,产品数据!$B:$D,2,FALSE),"")</f>
        <v/>
      </c>
      <c r="E1723" s="6"/>
      <c r="F1723" s="8" t="str">
        <f>IFERROR(VLOOKUP(C1723,产品数据!$B:$D,3,FALSE),"")</f>
        <v/>
      </c>
      <c r="G1723" s="6"/>
    </row>
    <row r="1724" spans="1:7">
      <c r="A1724" s="6"/>
      <c r="B1724" s="5"/>
      <c r="C1724" s="7"/>
      <c r="D1724" s="8" t="str">
        <f>IFERROR(VLOOKUP(C1724,产品数据!$B:$D,2,FALSE),"")</f>
        <v/>
      </c>
      <c r="E1724" s="6"/>
      <c r="F1724" s="8" t="str">
        <f>IFERROR(VLOOKUP(C1724,产品数据!$B:$D,3,FALSE),"")</f>
        <v/>
      </c>
      <c r="G1724" s="6"/>
    </row>
    <row r="1725" spans="1:7">
      <c r="A1725" s="6"/>
      <c r="B1725" s="5"/>
      <c r="C1725" s="7"/>
      <c r="D1725" s="8" t="str">
        <f>IFERROR(VLOOKUP(C1725,产品数据!$B:$D,2,FALSE),"")</f>
        <v/>
      </c>
      <c r="E1725" s="6"/>
      <c r="F1725" s="8" t="str">
        <f>IFERROR(VLOOKUP(C1725,产品数据!$B:$D,3,FALSE),"")</f>
        <v/>
      </c>
      <c r="G1725" s="6"/>
    </row>
    <row r="1726" spans="1:7">
      <c r="A1726" s="6"/>
      <c r="B1726" s="5"/>
      <c r="C1726" s="7"/>
      <c r="D1726" s="8" t="str">
        <f>IFERROR(VLOOKUP(C1726,产品数据!$B:$D,2,FALSE),"")</f>
        <v/>
      </c>
      <c r="E1726" s="6"/>
      <c r="F1726" s="8" t="str">
        <f>IFERROR(VLOOKUP(C1726,产品数据!$B:$D,3,FALSE),"")</f>
        <v/>
      </c>
      <c r="G1726" s="6"/>
    </row>
    <row r="1727" spans="1:7">
      <c r="A1727" s="6"/>
      <c r="B1727" s="5"/>
      <c r="C1727" s="7"/>
      <c r="D1727" s="8" t="str">
        <f>IFERROR(VLOOKUP(C1727,产品数据!$B:$D,2,FALSE),"")</f>
        <v/>
      </c>
      <c r="E1727" s="6"/>
      <c r="F1727" s="8" t="str">
        <f>IFERROR(VLOOKUP(C1727,产品数据!$B:$D,3,FALSE),"")</f>
        <v/>
      </c>
      <c r="G1727" s="6"/>
    </row>
    <row r="1728" spans="1:7">
      <c r="A1728" s="6"/>
      <c r="B1728" s="5"/>
      <c r="C1728" s="7"/>
      <c r="D1728" s="8" t="str">
        <f>IFERROR(VLOOKUP(C1728,产品数据!$B:$D,2,FALSE),"")</f>
        <v/>
      </c>
      <c r="E1728" s="6"/>
      <c r="F1728" s="8" t="str">
        <f>IFERROR(VLOOKUP(C1728,产品数据!$B:$D,3,FALSE),"")</f>
        <v/>
      </c>
      <c r="G1728" s="6"/>
    </row>
    <row r="1729" spans="1:7">
      <c r="A1729" s="6"/>
      <c r="B1729" s="5"/>
      <c r="C1729" s="7"/>
      <c r="D1729" s="8" t="str">
        <f>IFERROR(VLOOKUP(C1729,产品数据!$B:$D,2,FALSE),"")</f>
        <v/>
      </c>
      <c r="E1729" s="6"/>
      <c r="F1729" s="8" t="str">
        <f>IFERROR(VLOOKUP(C1729,产品数据!$B:$D,3,FALSE),"")</f>
        <v/>
      </c>
      <c r="G1729" s="6"/>
    </row>
    <row r="1730" spans="1:7">
      <c r="A1730" s="6"/>
      <c r="B1730" s="5"/>
      <c r="C1730" s="7"/>
      <c r="D1730" s="8" t="str">
        <f>IFERROR(VLOOKUP(C1730,产品数据!$B:$D,2,FALSE),"")</f>
        <v/>
      </c>
      <c r="E1730" s="6"/>
      <c r="F1730" s="8" t="str">
        <f>IFERROR(VLOOKUP(C1730,产品数据!$B:$D,3,FALSE),"")</f>
        <v/>
      </c>
      <c r="G1730" s="6"/>
    </row>
    <row r="1731" spans="1:7">
      <c r="A1731" s="6"/>
      <c r="B1731" s="5"/>
      <c r="C1731" s="7"/>
      <c r="D1731" s="8" t="str">
        <f>IFERROR(VLOOKUP(C1731,产品数据!$B:$D,2,FALSE),"")</f>
        <v/>
      </c>
      <c r="E1731" s="6"/>
      <c r="F1731" s="8" t="str">
        <f>IFERROR(VLOOKUP(C1731,产品数据!$B:$D,3,FALSE),"")</f>
        <v/>
      </c>
      <c r="G1731" s="6"/>
    </row>
    <row r="1732" spans="1:7">
      <c r="A1732" s="6"/>
      <c r="B1732" s="5"/>
      <c r="C1732" s="7"/>
      <c r="D1732" s="8" t="str">
        <f>IFERROR(VLOOKUP(C1732,产品数据!$B:$D,2,FALSE),"")</f>
        <v/>
      </c>
      <c r="E1732" s="6"/>
      <c r="F1732" s="8" t="str">
        <f>IFERROR(VLOOKUP(C1732,产品数据!$B:$D,3,FALSE),"")</f>
        <v/>
      </c>
      <c r="G1732" s="6"/>
    </row>
    <row r="1733" spans="1:7">
      <c r="A1733" s="6"/>
      <c r="B1733" s="5"/>
      <c r="C1733" s="7"/>
      <c r="D1733" s="8" t="str">
        <f>IFERROR(VLOOKUP(C1733,产品数据!$B:$D,2,FALSE),"")</f>
        <v/>
      </c>
      <c r="E1733" s="6"/>
      <c r="F1733" s="8" t="str">
        <f>IFERROR(VLOOKUP(C1733,产品数据!$B:$D,3,FALSE),"")</f>
        <v/>
      </c>
      <c r="G1733" s="6"/>
    </row>
    <row r="1734" spans="1:7">
      <c r="A1734" s="6"/>
      <c r="B1734" s="5"/>
      <c r="C1734" s="7"/>
      <c r="D1734" s="8" t="str">
        <f>IFERROR(VLOOKUP(C1734,产品数据!$B:$D,2,FALSE),"")</f>
        <v/>
      </c>
      <c r="E1734" s="6"/>
      <c r="F1734" s="8" t="str">
        <f>IFERROR(VLOOKUP(C1734,产品数据!$B:$D,3,FALSE),"")</f>
        <v/>
      </c>
      <c r="G1734" s="6"/>
    </row>
    <row r="1735" spans="1:7">
      <c r="A1735" s="6"/>
      <c r="B1735" s="5"/>
      <c r="C1735" s="7"/>
      <c r="D1735" s="8" t="str">
        <f>IFERROR(VLOOKUP(C1735,产品数据!$B:$D,2,FALSE),"")</f>
        <v/>
      </c>
      <c r="E1735" s="6"/>
      <c r="F1735" s="8" t="str">
        <f>IFERROR(VLOOKUP(C1735,产品数据!$B:$D,3,FALSE),"")</f>
        <v/>
      </c>
      <c r="G1735" s="6"/>
    </row>
    <row r="1736" spans="1:7">
      <c r="A1736" s="6"/>
      <c r="B1736" s="5"/>
      <c r="C1736" s="7"/>
      <c r="D1736" s="8" t="str">
        <f>IFERROR(VLOOKUP(C1736,产品数据!$B:$D,2,FALSE),"")</f>
        <v/>
      </c>
      <c r="E1736" s="6"/>
      <c r="F1736" s="8" t="str">
        <f>IFERROR(VLOOKUP(C1736,产品数据!$B:$D,3,FALSE),"")</f>
        <v/>
      </c>
      <c r="G1736" s="6"/>
    </row>
    <row r="1737" spans="1:7">
      <c r="A1737" s="6"/>
      <c r="B1737" s="5"/>
      <c r="C1737" s="7"/>
      <c r="D1737" s="8" t="str">
        <f>IFERROR(VLOOKUP(C1737,产品数据!$B:$D,2,FALSE),"")</f>
        <v/>
      </c>
      <c r="E1737" s="6"/>
      <c r="F1737" s="8" t="str">
        <f>IFERROR(VLOOKUP(C1737,产品数据!$B:$D,3,FALSE),"")</f>
        <v/>
      </c>
      <c r="G1737" s="6"/>
    </row>
    <row r="1738" spans="1:7">
      <c r="A1738" s="6"/>
      <c r="B1738" s="5"/>
      <c r="C1738" s="7"/>
      <c r="D1738" s="8" t="str">
        <f>IFERROR(VLOOKUP(C1738,产品数据!$B:$D,2,FALSE),"")</f>
        <v/>
      </c>
      <c r="E1738" s="6"/>
      <c r="F1738" s="8" t="str">
        <f>IFERROR(VLOOKUP(C1738,产品数据!$B:$D,3,FALSE),"")</f>
        <v/>
      </c>
      <c r="G1738" s="6"/>
    </row>
    <row r="1739" spans="1:7">
      <c r="A1739" s="6"/>
      <c r="B1739" s="5"/>
      <c r="C1739" s="7"/>
      <c r="D1739" s="8" t="str">
        <f>IFERROR(VLOOKUP(C1739,产品数据!$B:$D,2,FALSE),"")</f>
        <v/>
      </c>
      <c r="E1739" s="6"/>
      <c r="F1739" s="8" t="str">
        <f>IFERROR(VLOOKUP(C1739,产品数据!$B:$D,3,FALSE),"")</f>
        <v/>
      </c>
      <c r="G1739" s="6"/>
    </row>
    <row r="1740" spans="1:7">
      <c r="A1740" s="6"/>
      <c r="B1740" s="5"/>
      <c r="C1740" s="7"/>
      <c r="D1740" s="8" t="str">
        <f>IFERROR(VLOOKUP(C1740,产品数据!$B:$D,2,FALSE),"")</f>
        <v/>
      </c>
      <c r="E1740" s="6"/>
      <c r="F1740" s="8" t="str">
        <f>IFERROR(VLOOKUP(C1740,产品数据!$B:$D,3,FALSE),"")</f>
        <v/>
      </c>
      <c r="G1740" s="6"/>
    </row>
    <row r="1741" spans="1:7">
      <c r="A1741" s="6"/>
      <c r="B1741" s="5"/>
      <c r="C1741" s="7"/>
      <c r="D1741" s="8" t="str">
        <f>IFERROR(VLOOKUP(C1741,产品数据!$B:$D,2,FALSE),"")</f>
        <v/>
      </c>
      <c r="E1741" s="6"/>
      <c r="F1741" s="8" t="str">
        <f>IFERROR(VLOOKUP(C1741,产品数据!$B:$D,3,FALSE),"")</f>
        <v/>
      </c>
      <c r="G1741" s="6"/>
    </row>
    <row r="1742" spans="1:7">
      <c r="A1742" s="6"/>
      <c r="B1742" s="5"/>
      <c r="C1742" s="7"/>
      <c r="D1742" s="8" t="str">
        <f>IFERROR(VLOOKUP(C1742,产品数据!$B:$D,2,FALSE),"")</f>
        <v/>
      </c>
      <c r="E1742" s="6"/>
      <c r="F1742" s="8" t="str">
        <f>IFERROR(VLOOKUP(C1742,产品数据!$B:$D,3,FALSE),"")</f>
        <v/>
      </c>
      <c r="G1742" s="6"/>
    </row>
    <row r="1743" spans="1:7">
      <c r="A1743" s="6"/>
      <c r="B1743" s="5"/>
      <c r="C1743" s="7"/>
      <c r="D1743" s="8" t="str">
        <f>IFERROR(VLOOKUP(C1743,产品数据!$B:$D,2,FALSE),"")</f>
        <v/>
      </c>
      <c r="E1743" s="6"/>
      <c r="F1743" s="8" t="str">
        <f>IFERROR(VLOOKUP(C1743,产品数据!$B:$D,3,FALSE),"")</f>
        <v/>
      </c>
      <c r="G1743" s="6"/>
    </row>
    <row r="1744" spans="1:7">
      <c r="A1744" s="6"/>
      <c r="B1744" s="5"/>
      <c r="C1744" s="7"/>
      <c r="D1744" s="8" t="str">
        <f>IFERROR(VLOOKUP(C1744,产品数据!$B:$D,2,FALSE),"")</f>
        <v/>
      </c>
      <c r="E1744" s="6"/>
      <c r="F1744" s="8" t="str">
        <f>IFERROR(VLOOKUP(C1744,产品数据!$B:$D,3,FALSE),"")</f>
        <v/>
      </c>
      <c r="G1744" s="6"/>
    </row>
    <row r="1745" spans="1:7">
      <c r="A1745" s="6"/>
      <c r="B1745" s="5"/>
      <c r="C1745" s="7"/>
      <c r="D1745" s="8" t="str">
        <f>IFERROR(VLOOKUP(C1745,产品数据!$B:$D,2,FALSE),"")</f>
        <v/>
      </c>
      <c r="E1745" s="6"/>
      <c r="F1745" s="8" t="str">
        <f>IFERROR(VLOOKUP(C1745,产品数据!$B:$D,3,FALSE),"")</f>
        <v/>
      </c>
      <c r="G1745" s="6"/>
    </row>
    <row r="1746" spans="1:7">
      <c r="A1746" s="6"/>
      <c r="B1746" s="5"/>
      <c r="C1746" s="7"/>
      <c r="D1746" s="8" t="str">
        <f>IFERROR(VLOOKUP(C1746,产品数据!$B:$D,2,FALSE),"")</f>
        <v/>
      </c>
      <c r="E1746" s="6"/>
      <c r="F1746" s="8" t="str">
        <f>IFERROR(VLOOKUP(C1746,产品数据!$B:$D,3,FALSE),"")</f>
        <v/>
      </c>
      <c r="G1746" s="6"/>
    </row>
    <row r="1747" spans="1:7">
      <c r="A1747" s="6"/>
      <c r="B1747" s="5"/>
      <c r="C1747" s="7"/>
      <c r="D1747" s="8" t="str">
        <f>IFERROR(VLOOKUP(C1747,产品数据!$B:$D,2,FALSE),"")</f>
        <v/>
      </c>
      <c r="E1747" s="6"/>
      <c r="F1747" s="8" t="str">
        <f>IFERROR(VLOOKUP(C1747,产品数据!$B:$D,3,FALSE),"")</f>
        <v/>
      </c>
      <c r="G1747" s="6"/>
    </row>
    <row r="1748" spans="1:7">
      <c r="A1748" s="6"/>
      <c r="B1748" s="5"/>
      <c r="C1748" s="7"/>
      <c r="D1748" s="8" t="str">
        <f>IFERROR(VLOOKUP(C1748,产品数据!$B:$D,2,FALSE),"")</f>
        <v/>
      </c>
      <c r="E1748" s="6"/>
      <c r="F1748" s="8" t="str">
        <f>IFERROR(VLOOKUP(C1748,产品数据!$B:$D,3,FALSE),"")</f>
        <v/>
      </c>
      <c r="G1748" s="6"/>
    </row>
    <row r="1749" spans="1:7">
      <c r="A1749" s="6"/>
      <c r="B1749" s="5"/>
      <c r="C1749" s="7"/>
      <c r="D1749" s="8" t="str">
        <f>IFERROR(VLOOKUP(C1749,产品数据!$B:$D,2,FALSE),"")</f>
        <v/>
      </c>
      <c r="E1749" s="6"/>
      <c r="F1749" s="8" t="str">
        <f>IFERROR(VLOOKUP(C1749,产品数据!$B:$D,3,FALSE),"")</f>
        <v/>
      </c>
      <c r="G1749" s="6"/>
    </row>
    <row r="1750" spans="1:7">
      <c r="A1750" s="6"/>
      <c r="B1750" s="5"/>
      <c r="C1750" s="7"/>
      <c r="D1750" s="8" t="str">
        <f>IFERROR(VLOOKUP(C1750,产品数据!$B:$D,2,FALSE),"")</f>
        <v/>
      </c>
      <c r="E1750" s="6"/>
      <c r="F1750" s="8" t="str">
        <f>IFERROR(VLOOKUP(C1750,产品数据!$B:$D,3,FALSE),"")</f>
        <v/>
      </c>
      <c r="G1750" s="6"/>
    </row>
    <row r="1751" spans="1:7">
      <c r="A1751" s="6"/>
      <c r="B1751" s="5"/>
      <c r="C1751" s="7"/>
      <c r="D1751" s="8" t="str">
        <f>IFERROR(VLOOKUP(C1751,产品数据!$B:$D,2,FALSE),"")</f>
        <v/>
      </c>
      <c r="E1751" s="6"/>
      <c r="F1751" s="8" t="str">
        <f>IFERROR(VLOOKUP(C1751,产品数据!$B:$D,3,FALSE),"")</f>
        <v/>
      </c>
      <c r="G1751" s="6"/>
    </row>
    <row r="1752" spans="1:7">
      <c r="A1752" s="6"/>
      <c r="B1752" s="5"/>
      <c r="C1752" s="7"/>
      <c r="D1752" s="8" t="str">
        <f>IFERROR(VLOOKUP(C1752,产品数据!$B:$D,2,FALSE),"")</f>
        <v/>
      </c>
      <c r="E1752" s="6"/>
      <c r="F1752" s="8" t="str">
        <f>IFERROR(VLOOKUP(C1752,产品数据!$B:$D,3,FALSE),"")</f>
        <v/>
      </c>
      <c r="G1752" s="6"/>
    </row>
    <row r="1753" spans="1:7">
      <c r="A1753" s="6"/>
      <c r="B1753" s="5"/>
      <c r="C1753" s="7"/>
      <c r="D1753" s="8" t="str">
        <f>IFERROR(VLOOKUP(C1753,产品数据!$B:$D,2,FALSE),"")</f>
        <v/>
      </c>
      <c r="E1753" s="6"/>
      <c r="F1753" s="8" t="str">
        <f>IFERROR(VLOOKUP(C1753,产品数据!$B:$D,3,FALSE),"")</f>
        <v/>
      </c>
      <c r="G1753" s="6"/>
    </row>
    <row r="1754" spans="1:7">
      <c r="A1754" s="6"/>
      <c r="B1754" s="5"/>
      <c r="C1754" s="7"/>
      <c r="D1754" s="8" t="str">
        <f>IFERROR(VLOOKUP(C1754,产品数据!$B:$D,2,FALSE),"")</f>
        <v/>
      </c>
      <c r="E1754" s="6"/>
      <c r="F1754" s="8" t="str">
        <f>IFERROR(VLOOKUP(C1754,产品数据!$B:$D,3,FALSE),"")</f>
        <v/>
      </c>
      <c r="G1754" s="6"/>
    </row>
    <row r="1755" spans="1:7">
      <c r="A1755" s="6"/>
      <c r="B1755" s="5"/>
      <c r="C1755" s="7"/>
      <c r="D1755" s="8" t="str">
        <f>IFERROR(VLOOKUP(C1755,产品数据!$B:$D,2,FALSE),"")</f>
        <v/>
      </c>
      <c r="E1755" s="6"/>
      <c r="F1755" s="8" t="str">
        <f>IFERROR(VLOOKUP(C1755,产品数据!$B:$D,3,FALSE),"")</f>
        <v/>
      </c>
      <c r="G1755" s="6"/>
    </row>
    <row r="1756" spans="1:7">
      <c r="A1756" s="6"/>
      <c r="B1756" s="5"/>
      <c r="C1756" s="7"/>
      <c r="D1756" s="8" t="str">
        <f>IFERROR(VLOOKUP(C1756,产品数据!$B:$D,2,FALSE),"")</f>
        <v/>
      </c>
      <c r="E1756" s="6"/>
      <c r="F1756" s="8" t="str">
        <f>IFERROR(VLOOKUP(C1756,产品数据!$B:$D,3,FALSE),"")</f>
        <v/>
      </c>
      <c r="G1756" s="6"/>
    </row>
    <row r="1757" spans="1:7">
      <c r="A1757" s="6"/>
      <c r="B1757" s="5"/>
      <c r="C1757" s="7"/>
      <c r="D1757" s="8" t="str">
        <f>IFERROR(VLOOKUP(C1757,产品数据!$B:$D,2,FALSE),"")</f>
        <v/>
      </c>
      <c r="E1757" s="6"/>
      <c r="F1757" s="8" t="str">
        <f>IFERROR(VLOOKUP(C1757,产品数据!$B:$D,3,FALSE),"")</f>
        <v/>
      </c>
      <c r="G1757" s="6"/>
    </row>
    <row r="1758" spans="1:7">
      <c r="A1758" s="6"/>
      <c r="B1758" s="5"/>
      <c r="C1758" s="7"/>
      <c r="D1758" s="8" t="str">
        <f>IFERROR(VLOOKUP(C1758,产品数据!$B:$D,2,FALSE),"")</f>
        <v/>
      </c>
      <c r="E1758" s="6"/>
      <c r="F1758" s="8" t="str">
        <f>IFERROR(VLOOKUP(C1758,产品数据!$B:$D,3,FALSE),"")</f>
        <v/>
      </c>
      <c r="G1758" s="6"/>
    </row>
    <row r="1759" spans="1:7">
      <c r="A1759" s="6"/>
      <c r="B1759" s="5"/>
      <c r="C1759" s="7"/>
      <c r="D1759" s="8" t="str">
        <f>IFERROR(VLOOKUP(C1759,产品数据!$B:$D,2,FALSE),"")</f>
        <v/>
      </c>
      <c r="E1759" s="6"/>
      <c r="F1759" s="8" t="str">
        <f>IFERROR(VLOOKUP(C1759,产品数据!$B:$D,3,FALSE),"")</f>
        <v/>
      </c>
      <c r="G1759" s="6"/>
    </row>
    <row r="1760" spans="1:7">
      <c r="A1760" s="6"/>
      <c r="B1760" s="5"/>
      <c r="C1760" s="7"/>
      <c r="D1760" s="8" t="str">
        <f>IFERROR(VLOOKUP(C1760,产品数据!$B:$D,2,FALSE),"")</f>
        <v/>
      </c>
      <c r="E1760" s="6"/>
      <c r="F1760" s="8" t="str">
        <f>IFERROR(VLOOKUP(C1760,产品数据!$B:$D,3,FALSE),"")</f>
        <v/>
      </c>
      <c r="G1760" s="6"/>
    </row>
    <row r="1761" spans="1:7">
      <c r="A1761" s="6"/>
      <c r="B1761" s="5"/>
      <c r="C1761" s="7"/>
      <c r="D1761" s="8" t="str">
        <f>IFERROR(VLOOKUP(C1761,产品数据!$B:$D,2,FALSE),"")</f>
        <v/>
      </c>
      <c r="E1761" s="6"/>
      <c r="F1761" s="8" t="str">
        <f>IFERROR(VLOOKUP(C1761,产品数据!$B:$D,3,FALSE),"")</f>
        <v/>
      </c>
      <c r="G1761" s="6"/>
    </row>
    <row r="1762" spans="1:7">
      <c r="A1762" s="6"/>
      <c r="B1762" s="5"/>
      <c r="C1762" s="7"/>
      <c r="D1762" s="8" t="str">
        <f>IFERROR(VLOOKUP(C1762,产品数据!$B:$D,2,FALSE),"")</f>
        <v/>
      </c>
      <c r="E1762" s="6"/>
      <c r="F1762" s="8" t="str">
        <f>IFERROR(VLOOKUP(C1762,产品数据!$B:$D,3,FALSE),"")</f>
        <v/>
      </c>
      <c r="G1762" s="6"/>
    </row>
    <row r="1763" spans="1:7">
      <c r="A1763" s="6"/>
      <c r="B1763" s="5"/>
      <c r="C1763" s="7"/>
      <c r="D1763" s="8" t="str">
        <f>IFERROR(VLOOKUP(C1763,产品数据!$B:$D,2,FALSE),"")</f>
        <v/>
      </c>
      <c r="E1763" s="6"/>
      <c r="F1763" s="8" t="str">
        <f>IFERROR(VLOOKUP(C1763,产品数据!$B:$D,3,FALSE),"")</f>
        <v/>
      </c>
      <c r="G1763" s="6"/>
    </row>
    <row r="1764" spans="1:7">
      <c r="A1764" s="6"/>
      <c r="B1764" s="5"/>
      <c r="C1764" s="7"/>
      <c r="D1764" s="8" t="str">
        <f>IFERROR(VLOOKUP(C1764,产品数据!$B:$D,2,FALSE),"")</f>
        <v/>
      </c>
      <c r="E1764" s="6"/>
      <c r="F1764" s="8" t="str">
        <f>IFERROR(VLOOKUP(C1764,产品数据!$B:$D,3,FALSE),"")</f>
        <v/>
      </c>
      <c r="G1764" s="6"/>
    </row>
    <row r="1765" spans="1:7">
      <c r="A1765" s="6"/>
      <c r="B1765" s="5"/>
      <c r="C1765" s="7"/>
      <c r="D1765" s="8" t="str">
        <f>IFERROR(VLOOKUP(C1765,产品数据!$B:$D,2,FALSE),"")</f>
        <v/>
      </c>
      <c r="E1765" s="6"/>
      <c r="F1765" s="8" t="str">
        <f>IFERROR(VLOOKUP(C1765,产品数据!$B:$D,3,FALSE),"")</f>
        <v/>
      </c>
      <c r="G1765" s="6"/>
    </row>
    <row r="1766" spans="1:7">
      <c r="A1766" s="6"/>
      <c r="B1766" s="5"/>
      <c r="C1766" s="7"/>
      <c r="D1766" s="8" t="str">
        <f>IFERROR(VLOOKUP(C1766,产品数据!$B:$D,2,FALSE),"")</f>
        <v/>
      </c>
      <c r="E1766" s="6"/>
      <c r="F1766" s="8" t="str">
        <f>IFERROR(VLOOKUP(C1766,产品数据!$B:$D,3,FALSE),"")</f>
        <v/>
      </c>
      <c r="G1766" s="6"/>
    </row>
    <row r="1767" spans="1:7">
      <c r="A1767" s="6"/>
      <c r="B1767" s="5"/>
      <c r="C1767" s="7"/>
      <c r="D1767" s="8" t="str">
        <f>IFERROR(VLOOKUP(C1767,产品数据!$B:$D,2,FALSE),"")</f>
        <v/>
      </c>
      <c r="E1767" s="6"/>
      <c r="F1767" s="8" t="str">
        <f>IFERROR(VLOOKUP(C1767,产品数据!$B:$D,3,FALSE),"")</f>
        <v/>
      </c>
      <c r="G1767" s="6"/>
    </row>
    <row r="1768" spans="1:7">
      <c r="A1768" s="6"/>
      <c r="B1768" s="5"/>
      <c r="C1768" s="7"/>
      <c r="D1768" s="8" t="str">
        <f>IFERROR(VLOOKUP(C1768,产品数据!$B:$D,2,FALSE),"")</f>
        <v/>
      </c>
      <c r="E1768" s="6"/>
      <c r="F1768" s="8" t="str">
        <f>IFERROR(VLOOKUP(C1768,产品数据!$B:$D,3,FALSE),"")</f>
        <v/>
      </c>
      <c r="G1768" s="6"/>
    </row>
    <row r="1769" spans="1:7">
      <c r="A1769" s="6"/>
      <c r="B1769" s="5"/>
      <c r="C1769" s="7"/>
      <c r="D1769" s="8" t="str">
        <f>IFERROR(VLOOKUP(C1769,产品数据!$B:$D,2,FALSE),"")</f>
        <v/>
      </c>
      <c r="E1769" s="6"/>
      <c r="F1769" s="8" t="str">
        <f>IFERROR(VLOOKUP(C1769,产品数据!$B:$D,3,FALSE),"")</f>
        <v/>
      </c>
      <c r="G1769" s="6"/>
    </row>
    <row r="1770" spans="1:7">
      <c r="A1770" s="6"/>
      <c r="B1770" s="5"/>
      <c r="C1770" s="7"/>
      <c r="D1770" s="8" t="str">
        <f>IFERROR(VLOOKUP(C1770,产品数据!$B:$D,2,FALSE),"")</f>
        <v/>
      </c>
      <c r="E1770" s="6"/>
      <c r="F1770" s="8" t="str">
        <f>IFERROR(VLOOKUP(C1770,产品数据!$B:$D,3,FALSE),"")</f>
        <v/>
      </c>
      <c r="G1770" s="6"/>
    </row>
    <row r="1771" spans="1:7">
      <c r="A1771" s="6"/>
      <c r="B1771" s="5"/>
      <c r="C1771" s="7"/>
      <c r="D1771" s="8" t="str">
        <f>IFERROR(VLOOKUP(C1771,产品数据!$B:$D,2,FALSE),"")</f>
        <v/>
      </c>
      <c r="E1771" s="6"/>
      <c r="F1771" s="8" t="str">
        <f>IFERROR(VLOOKUP(C1771,产品数据!$B:$D,3,FALSE),"")</f>
        <v/>
      </c>
      <c r="G1771" s="6"/>
    </row>
    <row r="1772" spans="1:7">
      <c r="A1772" s="6"/>
      <c r="B1772" s="5"/>
      <c r="C1772" s="7"/>
      <c r="D1772" s="8" t="str">
        <f>IFERROR(VLOOKUP(C1772,产品数据!$B:$D,2,FALSE),"")</f>
        <v/>
      </c>
      <c r="E1772" s="6"/>
      <c r="F1772" s="8" t="str">
        <f>IFERROR(VLOOKUP(C1772,产品数据!$B:$D,3,FALSE),"")</f>
        <v/>
      </c>
      <c r="G1772" s="6"/>
    </row>
    <row r="1773" spans="1:7">
      <c r="A1773" s="6"/>
      <c r="B1773" s="5"/>
      <c r="C1773" s="7"/>
      <c r="D1773" s="8" t="str">
        <f>IFERROR(VLOOKUP(C1773,产品数据!$B:$D,2,FALSE),"")</f>
        <v/>
      </c>
      <c r="E1773" s="6"/>
      <c r="F1773" s="8" t="str">
        <f>IFERROR(VLOOKUP(C1773,产品数据!$B:$D,3,FALSE),"")</f>
        <v/>
      </c>
      <c r="G1773" s="6"/>
    </row>
    <row r="1774" spans="1:7">
      <c r="A1774" s="6"/>
      <c r="B1774" s="5"/>
      <c r="C1774" s="7"/>
      <c r="D1774" s="8" t="str">
        <f>IFERROR(VLOOKUP(C1774,产品数据!$B:$D,2,FALSE),"")</f>
        <v/>
      </c>
      <c r="E1774" s="6"/>
      <c r="F1774" s="8" t="str">
        <f>IFERROR(VLOOKUP(C1774,产品数据!$B:$D,3,FALSE),"")</f>
        <v/>
      </c>
      <c r="G1774" s="6"/>
    </row>
    <row r="1775" spans="1:7">
      <c r="A1775" s="6"/>
      <c r="B1775" s="5"/>
      <c r="C1775" s="7"/>
      <c r="D1775" s="8" t="str">
        <f>IFERROR(VLOOKUP(C1775,产品数据!$B:$D,2,FALSE),"")</f>
        <v/>
      </c>
      <c r="E1775" s="6"/>
      <c r="F1775" s="8" t="str">
        <f>IFERROR(VLOOKUP(C1775,产品数据!$B:$D,3,FALSE),"")</f>
        <v/>
      </c>
      <c r="G1775" s="6"/>
    </row>
    <row r="1776" spans="1:7">
      <c r="A1776" s="6"/>
      <c r="B1776" s="5"/>
      <c r="C1776" s="7"/>
      <c r="D1776" s="8" t="str">
        <f>IFERROR(VLOOKUP(C1776,产品数据!$B:$D,2,FALSE),"")</f>
        <v/>
      </c>
      <c r="E1776" s="6"/>
      <c r="F1776" s="8" t="str">
        <f>IFERROR(VLOOKUP(C1776,产品数据!$B:$D,3,FALSE),"")</f>
        <v/>
      </c>
      <c r="G1776" s="6"/>
    </row>
    <row r="1777" spans="1:7">
      <c r="A1777" s="6"/>
      <c r="B1777" s="5"/>
      <c r="C1777" s="7"/>
      <c r="D1777" s="8" t="str">
        <f>IFERROR(VLOOKUP(C1777,产品数据!$B:$D,2,FALSE),"")</f>
        <v/>
      </c>
      <c r="E1777" s="6"/>
      <c r="F1777" s="8" t="str">
        <f>IFERROR(VLOOKUP(C1777,产品数据!$B:$D,3,FALSE),"")</f>
        <v/>
      </c>
      <c r="G1777" s="6"/>
    </row>
    <row r="1778" spans="1:7">
      <c r="A1778" s="6"/>
      <c r="B1778" s="5"/>
      <c r="C1778" s="7"/>
      <c r="D1778" s="8" t="str">
        <f>IFERROR(VLOOKUP(C1778,产品数据!$B:$D,2,FALSE),"")</f>
        <v/>
      </c>
      <c r="E1778" s="6"/>
      <c r="F1778" s="8" t="str">
        <f>IFERROR(VLOOKUP(C1778,产品数据!$B:$D,3,FALSE),"")</f>
        <v/>
      </c>
      <c r="G1778" s="6"/>
    </row>
    <row r="1779" spans="1:7">
      <c r="A1779" s="6"/>
      <c r="B1779" s="5"/>
      <c r="C1779" s="7"/>
      <c r="D1779" s="8" t="str">
        <f>IFERROR(VLOOKUP(C1779,产品数据!$B:$D,2,FALSE),"")</f>
        <v/>
      </c>
      <c r="E1779" s="6"/>
      <c r="F1779" s="8" t="str">
        <f>IFERROR(VLOOKUP(C1779,产品数据!$B:$D,3,FALSE),"")</f>
        <v/>
      </c>
      <c r="G1779" s="6"/>
    </row>
    <row r="1780" spans="1:7">
      <c r="A1780" s="6"/>
      <c r="B1780" s="5"/>
      <c r="C1780" s="7"/>
      <c r="D1780" s="8" t="str">
        <f>IFERROR(VLOOKUP(C1780,产品数据!$B:$D,2,FALSE),"")</f>
        <v/>
      </c>
      <c r="E1780" s="6"/>
      <c r="F1780" s="8" t="str">
        <f>IFERROR(VLOOKUP(C1780,产品数据!$B:$D,3,FALSE),"")</f>
        <v/>
      </c>
      <c r="G1780" s="6"/>
    </row>
    <row r="1781" spans="1:7">
      <c r="A1781" s="6"/>
      <c r="B1781" s="5"/>
      <c r="C1781" s="7"/>
      <c r="D1781" s="8" t="str">
        <f>IFERROR(VLOOKUP(C1781,产品数据!$B:$D,2,FALSE),"")</f>
        <v/>
      </c>
      <c r="E1781" s="6"/>
      <c r="F1781" s="8" t="str">
        <f>IFERROR(VLOOKUP(C1781,产品数据!$B:$D,3,FALSE),"")</f>
        <v/>
      </c>
      <c r="G1781" s="6"/>
    </row>
    <row r="1782" spans="1:7">
      <c r="A1782" s="6"/>
      <c r="B1782" s="5"/>
      <c r="C1782" s="7"/>
      <c r="D1782" s="8" t="str">
        <f>IFERROR(VLOOKUP(C1782,产品数据!$B:$D,2,FALSE),"")</f>
        <v/>
      </c>
      <c r="E1782" s="6"/>
      <c r="F1782" s="8" t="str">
        <f>IFERROR(VLOOKUP(C1782,产品数据!$B:$D,3,FALSE),"")</f>
        <v/>
      </c>
      <c r="G1782" s="6"/>
    </row>
    <row r="1783" spans="1:7">
      <c r="A1783" s="6"/>
      <c r="B1783" s="5"/>
      <c r="C1783" s="7"/>
      <c r="D1783" s="8" t="str">
        <f>IFERROR(VLOOKUP(C1783,产品数据!$B:$D,2,FALSE),"")</f>
        <v/>
      </c>
      <c r="E1783" s="6"/>
      <c r="F1783" s="8" t="str">
        <f>IFERROR(VLOOKUP(C1783,产品数据!$B:$D,3,FALSE),"")</f>
        <v/>
      </c>
      <c r="G1783" s="6"/>
    </row>
    <row r="1784" spans="1:7">
      <c r="A1784" s="6"/>
      <c r="B1784" s="5"/>
      <c r="C1784" s="7"/>
      <c r="D1784" s="8" t="str">
        <f>IFERROR(VLOOKUP(C1784,产品数据!$B:$D,2,FALSE),"")</f>
        <v/>
      </c>
      <c r="E1784" s="6"/>
      <c r="F1784" s="8" t="str">
        <f>IFERROR(VLOOKUP(C1784,产品数据!$B:$D,3,FALSE),"")</f>
        <v/>
      </c>
      <c r="G1784" s="6"/>
    </row>
    <row r="1785" spans="1:7">
      <c r="A1785" s="6"/>
      <c r="B1785" s="5"/>
      <c r="C1785" s="7"/>
      <c r="D1785" s="8" t="str">
        <f>IFERROR(VLOOKUP(C1785,产品数据!$B:$D,2,FALSE),"")</f>
        <v/>
      </c>
      <c r="E1785" s="6"/>
      <c r="F1785" s="8" t="str">
        <f>IFERROR(VLOOKUP(C1785,产品数据!$B:$D,3,FALSE),"")</f>
        <v/>
      </c>
      <c r="G1785" s="6"/>
    </row>
    <row r="1786" spans="1:7">
      <c r="A1786" s="6"/>
      <c r="B1786" s="5"/>
      <c r="C1786" s="7"/>
      <c r="D1786" s="8" t="str">
        <f>IFERROR(VLOOKUP(C1786,产品数据!$B:$D,2,FALSE),"")</f>
        <v/>
      </c>
      <c r="E1786" s="6"/>
      <c r="F1786" s="8" t="str">
        <f>IFERROR(VLOOKUP(C1786,产品数据!$B:$D,3,FALSE),"")</f>
        <v/>
      </c>
      <c r="G1786" s="6"/>
    </row>
    <row r="1787" spans="1:7">
      <c r="A1787" s="6"/>
      <c r="B1787" s="5"/>
      <c r="C1787" s="7"/>
      <c r="D1787" s="8" t="str">
        <f>IFERROR(VLOOKUP(C1787,产品数据!$B:$D,2,FALSE),"")</f>
        <v/>
      </c>
      <c r="E1787" s="6"/>
      <c r="F1787" s="8" t="str">
        <f>IFERROR(VLOOKUP(C1787,产品数据!$B:$D,3,FALSE),"")</f>
        <v/>
      </c>
      <c r="G1787" s="6"/>
    </row>
    <row r="1788" spans="1:7">
      <c r="A1788" s="6"/>
      <c r="B1788" s="5"/>
      <c r="C1788" s="7"/>
      <c r="D1788" s="8" t="str">
        <f>IFERROR(VLOOKUP(C1788,产品数据!$B:$D,2,FALSE),"")</f>
        <v/>
      </c>
      <c r="E1788" s="6"/>
      <c r="F1788" s="8" t="str">
        <f>IFERROR(VLOOKUP(C1788,产品数据!$B:$D,3,FALSE),"")</f>
        <v/>
      </c>
      <c r="G1788" s="6"/>
    </row>
    <row r="1789" spans="1:7">
      <c r="A1789" s="6"/>
      <c r="B1789" s="5"/>
      <c r="C1789" s="7"/>
      <c r="D1789" s="8" t="str">
        <f>IFERROR(VLOOKUP(C1789,产品数据!$B:$D,2,FALSE),"")</f>
        <v/>
      </c>
      <c r="E1789" s="6"/>
      <c r="F1789" s="8" t="str">
        <f>IFERROR(VLOOKUP(C1789,产品数据!$B:$D,3,FALSE),"")</f>
        <v/>
      </c>
      <c r="G1789" s="6"/>
    </row>
    <row r="1790" spans="1:7">
      <c r="A1790" s="6"/>
      <c r="B1790" s="5"/>
      <c r="C1790" s="7"/>
      <c r="D1790" s="8" t="str">
        <f>IFERROR(VLOOKUP(C1790,产品数据!$B:$D,2,FALSE),"")</f>
        <v/>
      </c>
      <c r="E1790" s="6"/>
      <c r="F1790" s="8" t="str">
        <f>IFERROR(VLOOKUP(C1790,产品数据!$B:$D,3,FALSE),"")</f>
        <v/>
      </c>
      <c r="G1790" s="6"/>
    </row>
    <row r="1791" spans="1:7">
      <c r="A1791" s="6"/>
      <c r="B1791" s="5"/>
      <c r="C1791" s="7"/>
      <c r="D1791" s="8" t="str">
        <f>IFERROR(VLOOKUP(C1791,产品数据!$B:$D,2,FALSE),"")</f>
        <v/>
      </c>
      <c r="E1791" s="6"/>
      <c r="F1791" s="8" t="str">
        <f>IFERROR(VLOOKUP(C1791,产品数据!$B:$D,3,FALSE),"")</f>
        <v/>
      </c>
      <c r="G1791" s="6"/>
    </row>
    <row r="1792" spans="1:7">
      <c r="A1792" s="6"/>
      <c r="B1792" s="5"/>
      <c r="C1792" s="7"/>
      <c r="D1792" s="8" t="str">
        <f>IFERROR(VLOOKUP(C1792,产品数据!$B:$D,2,FALSE),"")</f>
        <v/>
      </c>
      <c r="E1792" s="6"/>
      <c r="F1792" s="8" t="str">
        <f>IFERROR(VLOOKUP(C1792,产品数据!$B:$D,3,FALSE),"")</f>
        <v/>
      </c>
      <c r="G1792" s="6"/>
    </row>
    <row r="1793" spans="1:7">
      <c r="A1793" s="6"/>
      <c r="B1793" s="5"/>
      <c r="C1793" s="7"/>
      <c r="D1793" s="8" t="str">
        <f>IFERROR(VLOOKUP(C1793,产品数据!$B:$D,2,FALSE),"")</f>
        <v/>
      </c>
      <c r="E1793" s="6"/>
      <c r="F1793" s="8" t="str">
        <f>IFERROR(VLOOKUP(C1793,产品数据!$B:$D,3,FALSE),"")</f>
        <v/>
      </c>
      <c r="G1793" s="6"/>
    </row>
    <row r="1794" spans="1:7">
      <c r="A1794" s="6"/>
      <c r="B1794" s="5"/>
      <c r="C1794" s="7"/>
      <c r="D1794" s="8" t="str">
        <f>IFERROR(VLOOKUP(C1794,产品数据!$B:$D,2,FALSE),"")</f>
        <v/>
      </c>
      <c r="E1794" s="6"/>
      <c r="F1794" s="8" t="str">
        <f>IFERROR(VLOOKUP(C1794,产品数据!$B:$D,3,FALSE),"")</f>
        <v/>
      </c>
      <c r="G1794" s="6"/>
    </row>
    <row r="1795" spans="1:7">
      <c r="A1795" s="6"/>
      <c r="B1795" s="5"/>
      <c r="C1795" s="7"/>
      <c r="D1795" s="8" t="str">
        <f>IFERROR(VLOOKUP(C1795,产品数据!$B:$D,2,FALSE),"")</f>
        <v/>
      </c>
      <c r="E1795" s="6"/>
      <c r="F1795" s="8" t="str">
        <f>IFERROR(VLOOKUP(C1795,产品数据!$B:$D,3,FALSE),"")</f>
        <v/>
      </c>
      <c r="G1795" s="6"/>
    </row>
    <row r="1796" spans="1:7">
      <c r="A1796" s="6"/>
      <c r="B1796" s="5"/>
      <c r="C1796" s="7"/>
      <c r="D1796" s="8" t="str">
        <f>IFERROR(VLOOKUP(C1796,产品数据!$B:$D,2,FALSE),"")</f>
        <v/>
      </c>
      <c r="E1796" s="6"/>
      <c r="F1796" s="8" t="str">
        <f>IFERROR(VLOOKUP(C1796,产品数据!$B:$D,3,FALSE),"")</f>
        <v/>
      </c>
      <c r="G1796" s="6"/>
    </row>
    <row r="1797" spans="1:7">
      <c r="A1797" s="6"/>
      <c r="B1797" s="5"/>
      <c r="C1797" s="7"/>
      <c r="D1797" s="8" t="str">
        <f>IFERROR(VLOOKUP(C1797,产品数据!$B:$D,2,FALSE),"")</f>
        <v/>
      </c>
      <c r="E1797" s="6"/>
      <c r="F1797" s="8" t="str">
        <f>IFERROR(VLOOKUP(C1797,产品数据!$B:$D,3,FALSE),"")</f>
        <v/>
      </c>
      <c r="G1797" s="6"/>
    </row>
    <row r="1798" spans="1:7">
      <c r="A1798" s="6"/>
      <c r="B1798" s="5"/>
      <c r="C1798" s="7"/>
      <c r="D1798" s="8" t="str">
        <f>IFERROR(VLOOKUP(C1798,产品数据!$B:$D,2,FALSE),"")</f>
        <v/>
      </c>
      <c r="E1798" s="6"/>
      <c r="F1798" s="8" t="str">
        <f>IFERROR(VLOOKUP(C1798,产品数据!$B:$D,3,FALSE),"")</f>
        <v/>
      </c>
      <c r="G1798" s="6"/>
    </row>
    <row r="1799" spans="1:7">
      <c r="A1799" s="6"/>
      <c r="B1799" s="5"/>
      <c r="C1799" s="7"/>
      <c r="D1799" s="8" t="str">
        <f>IFERROR(VLOOKUP(C1799,产品数据!$B:$D,2,FALSE),"")</f>
        <v/>
      </c>
      <c r="E1799" s="6"/>
      <c r="F1799" s="8" t="str">
        <f>IFERROR(VLOOKUP(C1799,产品数据!$B:$D,3,FALSE),"")</f>
        <v/>
      </c>
      <c r="G1799" s="6"/>
    </row>
    <row r="1800" spans="1:7">
      <c r="A1800" s="6"/>
      <c r="B1800" s="5"/>
      <c r="C1800" s="7"/>
      <c r="D1800" s="8" t="str">
        <f>IFERROR(VLOOKUP(C1800,产品数据!$B:$D,2,FALSE),"")</f>
        <v/>
      </c>
      <c r="E1800" s="6"/>
      <c r="F1800" s="8" t="str">
        <f>IFERROR(VLOOKUP(C1800,产品数据!$B:$D,3,FALSE),"")</f>
        <v/>
      </c>
      <c r="G1800" s="6"/>
    </row>
    <row r="1801" spans="1:7">
      <c r="A1801" s="6"/>
      <c r="B1801" s="5"/>
      <c r="C1801" s="7"/>
      <c r="D1801" s="8" t="str">
        <f>IFERROR(VLOOKUP(C1801,产品数据!$B:$D,2,FALSE),"")</f>
        <v/>
      </c>
      <c r="E1801" s="6"/>
      <c r="F1801" s="8" t="str">
        <f>IFERROR(VLOOKUP(C1801,产品数据!$B:$D,3,FALSE),"")</f>
        <v/>
      </c>
      <c r="G1801" s="6"/>
    </row>
    <row r="1802" spans="1:7">
      <c r="A1802" s="6"/>
      <c r="B1802" s="5"/>
      <c r="C1802" s="7"/>
      <c r="D1802" s="8" t="str">
        <f>IFERROR(VLOOKUP(C1802,产品数据!$B:$D,2,FALSE),"")</f>
        <v/>
      </c>
      <c r="E1802" s="6"/>
      <c r="F1802" s="8" t="str">
        <f>IFERROR(VLOOKUP(C1802,产品数据!$B:$D,3,FALSE),"")</f>
        <v/>
      </c>
      <c r="G1802" s="6"/>
    </row>
    <row r="1803" spans="1:7">
      <c r="A1803" s="6"/>
      <c r="B1803" s="5"/>
      <c r="C1803" s="7"/>
      <c r="D1803" s="8" t="str">
        <f>IFERROR(VLOOKUP(C1803,产品数据!$B:$D,2,FALSE),"")</f>
        <v/>
      </c>
      <c r="E1803" s="6"/>
      <c r="F1803" s="8" t="str">
        <f>IFERROR(VLOOKUP(C1803,产品数据!$B:$D,3,FALSE),"")</f>
        <v/>
      </c>
      <c r="G1803" s="6"/>
    </row>
    <row r="1804" spans="1:7">
      <c r="A1804" s="6"/>
      <c r="B1804" s="5"/>
      <c r="C1804" s="7"/>
      <c r="D1804" s="8" t="str">
        <f>IFERROR(VLOOKUP(C1804,产品数据!$B:$D,2,FALSE),"")</f>
        <v/>
      </c>
      <c r="E1804" s="6"/>
      <c r="F1804" s="8" t="str">
        <f>IFERROR(VLOOKUP(C1804,产品数据!$B:$D,3,FALSE),"")</f>
        <v/>
      </c>
      <c r="G1804" s="6"/>
    </row>
    <row r="1805" spans="1:7">
      <c r="A1805" s="6"/>
      <c r="B1805" s="5"/>
      <c r="C1805" s="7"/>
      <c r="D1805" s="8" t="str">
        <f>IFERROR(VLOOKUP(C1805,产品数据!$B:$D,2,FALSE),"")</f>
        <v/>
      </c>
      <c r="E1805" s="6"/>
      <c r="F1805" s="8" t="str">
        <f>IFERROR(VLOOKUP(C1805,产品数据!$B:$D,3,FALSE),"")</f>
        <v/>
      </c>
      <c r="G1805" s="6"/>
    </row>
    <row r="1806" spans="1:7">
      <c r="A1806" s="6"/>
      <c r="B1806" s="5"/>
      <c r="C1806" s="7"/>
      <c r="D1806" s="8" t="str">
        <f>IFERROR(VLOOKUP(C1806,产品数据!$B:$D,2,FALSE),"")</f>
        <v/>
      </c>
      <c r="E1806" s="6"/>
      <c r="F1806" s="8" t="str">
        <f>IFERROR(VLOOKUP(C1806,产品数据!$B:$D,3,FALSE),"")</f>
        <v/>
      </c>
      <c r="G1806" s="6"/>
    </row>
    <row r="1807" spans="1:7">
      <c r="A1807" s="6"/>
      <c r="B1807" s="5"/>
      <c r="C1807" s="7"/>
      <c r="D1807" s="8" t="str">
        <f>IFERROR(VLOOKUP(C1807,产品数据!$B:$D,2,FALSE),"")</f>
        <v/>
      </c>
      <c r="E1807" s="6"/>
      <c r="F1807" s="8" t="str">
        <f>IFERROR(VLOOKUP(C1807,产品数据!$B:$D,3,FALSE),"")</f>
        <v/>
      </c>
      <c r="G1807" s="6"/>
    </row>
    <row r="1808" spans="1:7">
      <c r="A1808" s="6"/>
      <c r="B1808" s="5"/>
      <c r="C1808" s="7"/>
      <c r="D1808" s="8" t="str">
        <f>IFERROR(VLOOKUP(C1808,产品数据!$B:$D,2,FALSE),"")</f>
        <v/>
      </c>
      <c r="E1808" s="6"/>
      <c r="F1808" s="8" t="str">
        <f>IFERROR(VLOOKUP(C1808,产品数据!$B:$D,3,FALSE),"")</f>
        <v/>
      </c>
      <c r="G1808" s="6"/>
    </row>
    <row r="1809" spans="1:7">
      <c r="A1809" s="6"/>
      <c r="B1809" s="5"/>
      <c r="C1809" s="7"/>
      <c r="D1809" s="8" t="str">
        <f>IFERROR(VLOOKUP(C1809,产品数据!$B:$D,2,FALSE),"")</f>
        <v/>
      </c>
      <c r="E1809" s="6"/>
      <c r="F1809" s="8" t="str">
        <f>IFERROR(VLOOKUP(C1809,产品数据!$B:$D,3,FALSE),"")</f>
        <v/>
      </c>
      <c r="G1809" s="6"/>
    </row>
    <row r="1810" spans="1:7">
      <c r="A1810" s="6"/>
      <c r="B1810" s="5"/>
      <c r="C1810" s="7"/>
      <c r="D1810" s="8" t="str">
        <f>IFERROR(VLOOKUP(C1810,产品数据!$B:$D,2,FALSE),"")</f>
        <v/>
      </c>
      <c r="E1810" s="6"/>
      <c r="F1810" s="8" t="str">
        <f>IFERROR(VLOOKUP(C1810,产品数据!$B:$D,3,FALSE),"")</f>
        <v/>
      </c>
      <c r="G1810" s="6"/>
    </row>
    <row r="1811" spans="1:7">
      <c r="A1811" s="6"/>
      <c r="B1811" s="5"/>
      <c r="C1811" s="7"/>
      <c r="D1811" s="8" t="str">
        <f>IFERROR(VLOOKUP(C1811,产品数据!$B:$D,2,FALSE),"")</f>
        <v/>
      </c>
      <c r="E1811" s="6"/>
      <c r="F1811" s="8" t="str">
        <f>IFERROR(VLOOKUP(C1811,产品数据!$B:$D,3,FALSE),"")</f>
        <v/>
      </c>
      <c r="G1811" s="6"/>
    </row>
    <row r="1812" spans="1:7">
      <c r="A1812" s="6"/>
      <c r="B1812" s="5"/>
      <c r="C1812" s="7"/>
      <c r="D1812" s="8" t="str">
        <f>IFERROR(VLOOKUP(C1812,产品数据!$B:$D,2,FALSE),"")</f>
        <v/>
      </c>
      <c r="E1812" s="6"/>
      <c r="F1812" s="8" t="str">
        <f>IFERROR(VLOOKUP(C1812,产品数据!$B:$D,3,FALSE),"")</f>
        <v/>
      </c>
      <c r="G1812" s="6"/>
    </row>
    <row r="1813" spans="1:7">
      <c r="A1813" s="6"/>
      <c r="B1813" s="5"/>
      <c r="C1813" s="7"/>
      <c r="D1813" s="8" t="str">
        <f>IFERROR(VLOOKUP(C1813,产品数据!$B:$D,2,FALSE),"")</f>
        <v/>
      </c>
      <c r="E1813" s="6"/>
      <c r="F1813" s="8" t="str">
        <f>IFERROR(VLOOKUP(C1813,产品数据!$B:$D,3,FALSE),"")</f>
        <v/>
      </c>
      <c r="G1813" s="6"/>
    </row>
    <row r="1814" spans="1:7">
      <c r="A1814" s="6"/>
      <c r="B1814" s="5"/>
      <c r="C1814" s="7"/>
      <c r="D1814" s="8" t="str">
        <f>IFERROR(VLOOKUP(C1814,产品数据!$B:$D,2,FALSE),"")</f>
        <v/>
      </c>
      <c r="E1814" s="6"/>
      <c r="F1814" s="8" t="str">
        <f>IFERROR(VLOOKUP(C1814,产品数据!$B:$D,3,FALSE),"")</f>
        <v/>
      </c>
      <c r="G1814" s="6"/>
    </row>
    <row r="1815" spans="1:7">
      <c r="A1815" s="6"/>
      <c r="B1815" s="5"/>
      <c r="C1815" s="7"/>
      <c r="D1815" s="8" t="str">
        <f>IFERROR(VLOOKUP(C1815,产品数据!$B:$D,2,FALSE),"")</f>
        <v/>
      </c>
      <c r="E1815" s="6"/>
      <c r="F1815" s="8" t="str">
        <f>IFERROR(VLOOKUP(C1815,产品数据!$B:$D,3,FALSE),"")</f>
        <v/>
      </c>
      <c r="G1815" s="6"/>
    </row>
    <row r="1816" spans="1:7">
      <c r="A1816" s="6"/>
      <c r="B1816" s="5"/>
      <c r="C1816" s="7"/>
      <c r="D1816" s="8" t="str">
        <f>IFERROR(VLOOKUP(C1816,产品数据!$B:$D,2,FALSE),"")</f>
        <v/>
      </c>
      <c r="E1816" s="6"/>
      <c r="F1816" s="8" t="str">
        <f>IFERROR(VLOOKUP(C1816,产品数据!$B:$D,3,FALSE),"")</f>
        <v/>
      </c>
      <c r="G1816" s="6"/>
    </row>
    <row r="1817" spans="1:7">
      <c r="A1817" s="6"/>
      <c r="B1817" s="5"/>
      <c r="C1817" s="7"/>
      <c r="D1817" s="8" t="str">
        <f>IFERROR(VLOOKUP(C1817,产品数据!$B:$D,2,FALSE),"")</f>
        <v/>
      </c>
      <c r="E1817" s="6"/>
      <c r="F1817" s="8" t="str">
        <f>IFERROR(VLOOKUP(C1817,产品数据!$B:$D,3,FALSE),"")</f>
        <v/>
      </c>
      <c r="G1817" s="6"/>
    </row>
    <row r="1818" spans="1:7">
      <c r="A1818" s="6"/>
      <c r="B1818" s="5"/>
      <c r="C1818" s="7"/>
      <c r="D1818" s="8" t="str">
        <f>IFERROR(VLOOKUP(C1818,产品数据!$B:$D,2,FALSE),"")</f>
        <v/>
      </c>
      <c r="E1818" s="6"/>
      <c r="F1818" s="8" t="str">
        <f>IFERROR(VLOOKUP(C1818,产品数据!$B:$D,3,FALSE),"")</f>
        <v/>
      </c>
      <c r="G1818" s="6"/>
    </row>
    <row r="1819" spans="1:7">
      <c r="A1819" s="6"/>
      <c r="B1819" s="5"/>
      <c r="C1819" s="7"/>
      <c r="D1819" s="8" t="str">
        <f>IFERROR(VLOOKUP(C1819,产品数据!$B:$D,2,FALSE),"")</f>
        <v/>
      </c>
      <c r="E1819" s="6"/>
      <c r="F1819" s="8" t="str">
        <f>IFERROR(VLOOKUP(C1819,产品数据!$B:$D,3,FALSE),"")</f>
        <v/>
      </c>
      <c r="G1819" s="6"/>
    </row>
    <row r="1820" spans="1:7">
      <c r="A1820" s="6"/>
      <c r="B1820" s="5"/>
      <c r="C1820" s="7"/>
      <c r="D1820" s="8" t="str">
        <f>IFERROR(VLOOKUP(C1820,产品数据!$B:$D,2,FALSE),"")</f>
        <v/>
      </c>
      <c r="E1820" s="6"/>
      <c r="F1820" s="8" t="str">
        <f>IFERROR(VLOOKUP(C1820,产品数据!$B:$D,3,FALSE),"")</f>
        <v/>
      </c>
      <c r="G1820" s="6"/>
    </row>
    <row r="1821" spans="1:7">
      <c r="A1821" s="6"/>
      <c r="B1821" s="5"/>
      <c r="C1821" s="7"/>
      <c r="D1821" s="8" t="str">
        <f>IFERROR(VLOOKUP(C1821,产品数据!$B:$D,2,FALSE),"")</f>
        <v/>
      </c>
      <c r="E1821" s="6"/>
      <c r="F1821" s="8" t="str">
        <f>IFERROR(VLOOKUP(C1821,产品数据!$B:$D,3,FALSE),"")</f>
        <v/>
      </c>
      <c r="G1821" s="6"/>
    </row>
    <row r="1822" spans="1:7">
      <c r="A1822" s="6"/>
      <c r="B1822" s="5"/>
      <c r="C1822" s="7"/>
      <c r="D1822" s="8" t="str">
        <f>IFERROR(VLOOKUP(C1822,产品数据!$B:$D,2,FALSE),"")</f>
        <v/>
      </c>
      <c r="E1822" s="6"/>
      <c r="F1822" s="8" t="str">
        <f>IFERROR(VLOOKUP(C1822,产品数据!$B:$D,3,FALSE),"")</f>
        <v/>
      </c>
      <c r="G1822" s="6"/>
    </row>
    <row r="1823" spans="1:7">
      <c r="A1823" s="6"/>
      <c r="B1823" s="5"/>
      <c r="C1823" s="7"/>
      <c r="D1823" s="8" t="str">
        <f>IFERROR(VLOOKUP(C1823,产品数据!$B:$D,2,FALSE),"")</f>
        <v/>
      </c>
      <c r="E1823" s="6"/>
      <c r="F1823" s="8" t="str">
        <f>IFERROR(VLOOKUP(C1823,产品数据!$B:$D,3,FALSE),"")</f>
        <v/>
      </c>
      <c r="G1823" s="6"/>
    </row>
    <row r="1824" spans="1:7">
      <c r="A1824" s="6"/>
      <c r="B1824" s="5"/>
      <c r="C1824" s="7"/>
      <c r="D1824" s="8" t="str">
        <f>IFERROR(VLOOKUP(C1824,产品数据!$B:$D,2,FALSE),"")</f>
        <v/>
      </c>
      <c r="E1824" s="6"/>
      <c r="F1824" s="8" t="str">
        <f>IFERROR(VLOOKUP(C1824,产品数据!$B:$D,3,FALSE),"")</f>
        <v/>
      </c>
      <c r="G1824" s="6"/>
    </row>
    <row r="1825" spans="1:7">
      <c r="A1825" s="6"/>
      <c r="B1825" s="5"/>
      <c r="C1825" s="7"/>
      <c r="D1825" s="8" t="str">
        <f>IFERROR(VLOOKUP(C1825,产品数据!$B:$D,2,FALSE),"")</f>
        <v/>
      </c>
      <c r="E1825" s="6"/>
      <c r="F1825" s="8" t="str">
        <f>IFERROR(VLOOKUP(C1825,产品数据!$B:$D,3,FALSE),"")</f>
        <v/>
      </c>
      <c r="G1825" s="6"/>
    </row>
    <row r="1826" spans="1:7">
      <c r="A1826" s="6"/>
      <c r="B1826" s="5"/>
      <c r="C1826" s="7"/>
      <c r="D1826" s="8" t="str">
        <f>IFERROR(VLOOKUP(C1826,产品数据!$B:$D,2,FALSE),"")</f>
        <v/>
      </c>
      <c r="E1826" s="6"/>
      <c r="F1826" s="8" t="str">
        <f>IFERROR(VLOOKUP(C1826,产品数据!$B:$D,3,FALSE),"")</f>
        <v/>
      </c>
      <c r="G1826" s="6"/>
    </row>
    <row r="1827" spans="1:7">
      <c r="A1827" s="6"/>
      <c r="B1827" s="5"/>
      <c r="C1827" s="7"/>
      <c r="D1827" s="8" t="str">
        <f>IFERROR(VLOOKUP(C1827,产品数据!$B:$D,2,FALSE),"")</f>
        <v/>
      </c>
      <c r="E1827" s="6"/>
      <c r="F1827" s="8" t="str">
        <f>IFERROR(VLOOKUP(C1827,产品数据!$B:$D,3,FALSE),"")</f>
        <v/>
      </c>
      <c r="G1827" s="6"/>
    </row>
    <row r="1828" spans="1:7">
      <c r="A1828" s="6"/>
      <c r="B1828" s="5"/>
      <c r="C1828" s="7"/>
      <c r="D1828" s="8" t="str">
        <f>IFERROR(VLOOKUP(C1828,产品数据!$B:$D,2,FALSE),"")</f>
        <v/>
      </c>
      <c r="E1828" s="6"/>
      <c r="F1828" s="8" t="str">
        <f>IFERROR(VLOOKUP(C1828,产品数据!$B:$D,3,FALSE),"")</f>
        <v/>
      </c>
      <c r="G1828" s="6"/>
    </row>
    <row r="1829" spans="1:7">
      <c r="A1829" s="6"/>
      <c r="B1829" s="5"/>
      <c r="C1829" s="7"/>
      <c r="D1829" s="8" t="str">
        <f>IFERROR(VLOOKUP(C1829,产品数据!$B:$D,2,FALSE),"")</f>
        <v/>
      </c>
      <c r="E1829" s="6"/>
      <c r="F1829" s="8" t="str">
        <f>IFERROR(VLOOKUP(C1829,产品数据!$B:$D,3,FALSE),"")</f>
        <v/>
      </c>
      <c r="G1829" s="6"/>
    </row>
    <row r="1830" spans="1:7">
      <c r="A1830" s="6"/>
      <c r="B1830" s="5"/>
      <c r="C1830" s="7"/>
      <c r="D1830" s="8" t="str">
        <f>IFERROR(VLOOKUP(C1830,产品数据!$B:$D,2,FALSE),"")</f>
        <v/>
      </c>
      <c r="E1830" s="6"/>
      <c r="F1830" s="8" t="str">
        <f>IFERROR(VLOOKUP(C1830,产品数据!$B:$D,3,FALSE),"")</f>
        <v/>
      </c>
      <c r="G1830" s="6"/>
    </row>
    <row r="1831" spans="1:7">
      <c r="A1831" s="6"/>
      <c r="B1831" s="5"/>
      <c r="C1831" s="7"/>
      <c r="D1831" s="8" t="str">
        <f>IFERROR(VLOOKUP(C1831,产品数据!$B:$D,2,FALSE),"")</f>
        <v/>
      </c>
      <c r="E1831" s="6"/>
      <c r="F1831" s="8" t="str">
        <f>IFERROR(VLOOKUP(C1831,产品数据!$B:$D,3,FALSE),"")</f>
        <v/>
      </c>
      <c r="G1831" s="6"/>
    </row>
    <row r="1832" spans="1:7">
      <c r="A1832" s="6"/>
      <c r="B1832" s="5"/>
      <c r="C1832" s="7"/>
      <c r="D1832" s="8" t="str">
        <f>IFERROR(VLOOKUP(C1832,产品数据!$B:$D,2,FALSE),"")</f>
        <v/>
      </c>
      <c r="E1832" s="6"/>
      <c r="F1832" s="8" t="str">
        <f>IFERROR(VLOOKUP(C1832,产品数据!$B:$D,3,FALSE),"")</f>
        <v/>
      </c>
      <c r="G1832" s="6"/>
    </row>
    <row r="1833" spans="1:7">
      <c r="A1833" s="6"/>
      <c r="B1833" s="5"/>
      <c r="C1833" s="7"/>
      <c r="D1833" s="8" t="str">
        <f>IFERROR(VLOOKUP(C1833,产品数据!$B:$D,2,FALSE),"")</f>
        <v/>
      </c>
      <c r="E1833" s="6"/>
      <c r="F1833" s="8" t="str">
        <f>IFERROR(VLOOKUP(C1833,产品数据!$B:$D,3,FALSE),"")</f>
        <v/>
      </c>
      <c r="G1833" s="6"/>
    </row>
    <row r="1834" spans="1:7">
      <c r="D1834" s="8" t="str">
        <f>IFERROR(VLOOKUP(C1834,产品数据!$B:$D,2,FALSE),"")</f>
        <v/>
      </c>
      <c r="F1834" s="8" t="str">
        <f>IFERROR(VLOOKUP(C1834,产品数据!$B:$D,3,FALSE),"")</f>
        <v/>
      </c>
    </row>
    <row r="1835" spans="1:7">
      <c r="F1835" s="8" t="str">
        <f>IFERROR(VLOOKUP(C1835,产品数据!$B:$D,3,FALSE),"")</f>
        <v/>
      </c>
    </row>
    <row r="1836" spans="1:7">
      <c r="F1836" s="8" t="str">
        <f>IFERROR(VLOOKUP(C1836,产品数据!$B:$D,3,FALSE),"")</f>
        <v/>
      </c>
    </row>
    <row r="1837" spans="1:7">
      <c r="F1837" s="8" t="str">
        <f>IFERROR(VLOOKUP(C1837,产品数据!$B:$D,3,FALSE),"")</f>
        <v/>
      </c>
    </row>
    <row r="1838" spans="1:7">
      <c r="F1838" s="8" t="str">
        <f>IFERROR(VLOOKUP(C1838,产品数据!$B:$D,3,FALSE),"")</f>
        <v/>
      </c>
    </row>
    <row r="1839" spans="1:7">
      <c r="F1839" s="8" t="str">
        <f>IFERROR(VLOOKUP(C1839,产品数据!$B:$D,3,FALSE),"")</f>
        <v/>
      </c>
    </row>
  </sheetData>
  <dataValidations count="2">
    <dataValidation type="list" allowBlank="1" showInputMessage="1" showErrorMessage="1" sqref="C608 C2:C392 C394:C554">
      <formula1>产品数据!$B:$B</formula1>
    </dataValidation>
    <dataValidation type="list" allowBlank="1" showInputMessage="1" showErrorMessage="1" sqref="G2:G112">
      <formula1>"面点房,厨房,明档,小食堂,烧饭"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1月台账表</vt:lpstr>
      <vt:lpstr>产品数据</vt:lpstr>
      <vt:lpstr>入库流水账</vt:lpstr>
      <vt:lpstr>出库流水账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你的益达</cp:lastModifiedBy>
  <dcterms:created xsi:type="dcterms:W3CDTF">2025-12-29T01:45:00Z</dcterms:created>
  <dcterms:modified xsi:type="dcterms:W3CDTF">2026-06-03T03:02:05Z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AB9DF5042D6F4E3AA12EF9E2F4A5D219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